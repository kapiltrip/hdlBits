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17d5b2562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f55543237b4f7f"/>
    <x:sheet xmlns:r="http://schemas.openxmlformats.org/officeDocument/2006/relationships" name="Tracker" sheetId="2" r:id="R620c29682a98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02060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  <x:font>
      <x:sz val="9"/>
      <x:color rgb="FF0563C1"/>
      <x:name val="Carlito"/>
    </x:font>
    <x:font>
      <x:b/>
      <x:sz val="11"/>
      <x:color rgb="FFFFFFFF"/>
      <x:name val="Carlito"/>
    </x:font>
    <x:font>
      <x:b/>
      <x:i/>
      <x:sz val="10"/>
      <x:color rgb="FF002060"/>
      <x:name val="Carlito"/>
    </x:font>
    <x:font>
      <x:b/>
      <x:sz val="20"/>
      <x:color rgb="FFFFFFFF"/>
      <x:name val="Carlito"/>
    </x:font>
    <x:font>
      <x:i/>
      <x:sz val="11"/>
      <x:color rgb="FF002060"/>
      <x:name val="Carlito"/>
    </x:font>
    <x:font>
      <x:b/>
      <x:sz val="11"/>
      <x:color rgb="FF002060"/>
      <x:name val="Carlito"/>
    </x:font>
    <x:font>
      <x:b/>
      <x:sz val="16"/>
      <x:color rgb="FF002060"/>
      <x:name val="Carlito"/>
    </x:font>
    <x:font>
      <x:b/>
      <x:sz val="10"/>
      <x:color rgb="FF375623"/>
      <x:name val="Carlito"/>
    </x:font>
    <x:font>
      <x:sz val="11"/>
      <x:color rgb="FF0563C1"/>
      <x:name val="Carlito"/>
    </x:font>
    <x:font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001A4D"/>
      </x:patternFill>
    </x:fill>
    <x:fill>
      <x:patternFill patternType="solid">
        <x:fgColor rgb="FFEEF4FB"/>
      </x:patternFill>
    </x:fill>
    <x:fill>
      <x:patternFill patternType="solid">
        <x:fgColor rgb="FFE2F0D9"/>
      </x:patternFill>
    </x:fill>
    <x:fill>
      <x:patternFill patternType="solid">
        <x:fgColor rgb="FFFFFF99"/>
      </x:patternFill>
    </x:fill>
    <x:fill>
      <x:patternFill patternType="solid">
        <x:fgColor rgb="FFCCFFCC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CFFCC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0" fontId="4" fillId="0" borderId="4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  <x:xf numFmtId="201" fontId="4" fillId="0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200" fontId="4" fillId="2" borderId="2" xfId="0" applyNumberFormat="1" applyFont="1" applyFill="1" applyBorder="1" applyAlignment="1">
      <x:alignment horizontal="center" vertical="center" wrapText="1"/>
    </x:xf>
    <x:xf numFmtId="201" fontId="4" fillId="2" borderId="2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200" fontId="6" fillId="2" borderId="2" xfId="0" applyNumberFormat="1" applyFont="1" applyFill="1" applyBorder="1" applyAlignment="1">
      <x:alignment horizontal="center" vertical="center" wrapText="1"/>
    </x:xf>
    <x:xf numFmtId="201" fontId="6" fillId="2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left" vertical="center" wrapText="1"/>
    </x:xf>
    <x:xf numFmtId="200" fontId="6" fillId="2" borderId="2" xfId="0" applyNumberFormat="1" applyFont="1" applyFill="1" applyBorder="1" applyAlignment="1">
      <x:alignment horizontal="left" vertical="center" wrapText="1"/>
    </x:xf>
    <x:xf numFmtId="201" fontId="6" fillId="2" borderId="2" xfId="0" applyNumberFormat="1" applyFont="1" applyFill="1" applyBorder="1" applyAlignment="1">
      <x:alignment horizontal="left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200" fontId="4" fillId="5" borderId="3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horizontal="center" vertical="center" wrapText="1"/>
    </x:xf>
    <x:xf numFmtId="201" fontId="4" fillId="2" borderId="3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200" fontId="6" fillId="2" borderId="3" xfId="0" applyNumberFormat="1" applyFont="1" applyFill="1" applyBorder="1" applyAlignment="1">
      <x:alignment horizontal="center" vertical="center" wrapText="1"/>
    </x:xf>
    <x:xf numFmtId="201" fontId="6" fillId="2" borderId="3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left" vertical="center" wrapText="1"/>
    </x:xf>
    <x:xf numFmtId="200" fontId="6" fillId="2" borderId="3" xfId="0" applyNumberFormat="1" applyFont="1" applyFill="1" applyBorder="1" applyAlignment="1">
      <x:alignment horizontal="left" vertical="center" wrapText="1"/>
    </x:xf>
    <x:xf numFmtId="201" fontId="6" fillId="2" borderId="3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horizontal="center" vertical="center" wrapText="1"/>
    </x:xf>
    <x:xf numFmtId="201" fontId="4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vertical="center" wrapText="1"/>
    </x:xf>
    <x:xf numFmtId="200" fontId="7" fillId="3" borderId="3" xfId="0" applyNumberFormat="1" applyFont="1" applyFill="1" applyBorder="1" applyAlignment="1">
      <x:alignment horizontal="center" vertical="center" wrapText="1"/>
    </x:xf>
    <x:xf numFmtId="201" fontId="7" fillId="3" borderId="3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vertical="center" wrapText="1"/>
    </x:xf>
    <x:xf numFmtId="200" fontId="7" fillId="3" borderId="5" xfId="0" applyNumberFormat="1" applyFont="1" applyFill="1" applyBorder="1" applyAlignment="1">
      <x:alignment horizontal="center" vertical="center" wrapText="1"/>
    </x:xf>
    <x:xf numFmtId="201" fontId="7" fillId="3" borderId="5" xfId="0" applyNumberFormat="1" applyFont="1" applyFill="1" applyBorder="1" applyAlignment="1">
      <x:alignment horizontal="center" vertical="center" wrapText="1"/>
    </x:xf>
    <x:xf numFmtId="0" fontId="7" fillId="3" borderId="5" xfId="0" applyNumberFormat="1" applyFont="1" applyFill="1" applyBorder="1" applyAlignment="1">
      <x:alignment horizontal="left" vertical="center" wrapText="1"/>
    </x:xf>
    <x:xf numFmtId="200" fontId="7" fillId="3" borderId="5" xfId="0" applyNumberFormat="1" applyFont="1" applyFill="1" applyBorder="1" applyAlignment="1">
      <x:alignment horizontal="left" vertical="center" wrapText="1"/>
    </x:xf>
    <x:xf numFmtId="201" fontId="7" fillId="3" borderId="5" xfId="0" applyNumberFormat="1" applyFont="1" applyFill="1" applyBorder="1" applyAlignment="1">
      <x:alignment horizontal="left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201" fontId="4" fillId="5" borderId="4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1" xfId="0" applyNumberFormat="1" applyFont="1" applyFill="1" applyBorder="1"/>
    <x:xf numFmtId="0" fontId="0" fillId="11" borderId="1" xfId="0" applyNumberFormat="1" applyFont="1" applyFill="1" applyBorder="1"/>
    <x:xf numFmtId="0" fontId="14" fillId="9" borderId="1" xfId="0" applyNumberFormat="1" applyFont="1" applyFill="1" applyBorder="1"/>
    <x:xf numFmtId="0" fontId="14" fillId="10" borderId="1" xfId="0" applyNumberFormat="1" applyFont="1" applyFill="1" applyBorder="1"/>
    <x:xf numFmtId="0" fontId="14" fillId="11" borderId="1" xfId="0" applyNumberFormat="1" applyFont="1" applyFill="1" applyBorder="1"/>
    <x:xf numFmtId="200" fontId="14" fillId="10" borderId="1" xfId="0" applyNumberFormat="1" applyFont="1" applyFill="1" applyBorder="1"/>
    <x:xf numFmtId="202" fontId="14" fillId="11" borderId="1" xfId="0" applyNumberFormat="1" applyFont="1" applyFill="1" applyBorder="1"/>
  </x:cellXfs>
  <x:cellStyles count="1">
    <x:cellStyle name="Normal" xfId="0"/>
  </x:cellStyles>
  <x:dxfs count="4">
    <x:dxf>
      <x:font>
        <x:color rgb="FF006100"/>
      </x:font>
      <x:fill>
        <x:patternFill>
          <x:bgColor rgb="FFCCFFCC"/>
        </x:patternFill>
      </x:fill>
    </x:dxf>
    <x:dxf>
      <x:font>
        <x:b/>
        <x:color rgb="FF7F6000"/>
      </x:font>
      <x:fill>
        <x:patternFill>
          <x:bgColor rgb="FFFFFF99"/>
        </x:patternFill>
      </x:fill>
    </x:dxf>
    <x:dxf>
      <x:font>
        <x:color rgb="FF666666"/>
      </x:font>
      <x:fill>
        <x:patternFill>
          <x:bgColor rgb="FFF3F3F3"/>
        </x:patternFill>
      </x:fill>
    </x:dxf>
    <x:dxf>
      <x:font>
        <x:color rgb="FF006100"/>
      </x:font>
      <x:fill>
        <x:patternFill>
          <x:bgColor rgb="FFCCFF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52fda028b44c7" /><Relationship Type="http://schemas.openxmlformats.org/officeDocument/2006/relationships/theme" Target="/xl/theme/theme1.xml" Id="R213f489b4b0244d5" /><Relationship Type="http://schemas.openxmlformats.org/officeDocument/2006/relationships/sharedStrings" Target="/xl/sharedStrings.xml" Id="R7212dbed0ae54c86" /><Relationship Type="http://schemas.openxmlformats.org/officeDocument/2006/relationships/worksheet" Target="/xl/worksheets/sheet1.xml" Id="R06f55543237b4f7f" /><Relationship Type="http://schemas.openxmlformats.org/officeDocument/2006/relationships/worksheet" Target="/xl/worksheets/sheet2.xml" Id="R620c29682a984b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47" hidden="0" customWidth="1"/>
    <x:col min="7" max="7" width="15" hidden="0" customWidth="1"/>
    <x:col min="8" max="8" width="15" hidden="0" customWidth="1"/>
  </x:cols>
  <x:sheetData>
    <x:row r="1" ht="32" customHeight="1">
      <x:c r="A1" s="89" t="str">
        <x:v>HDLBits Learning Tracker</x:v>
      </x:c>
      <x:c r="B1" s="89" t="str">
        <x:v>HDLBits Learning Tracker</x:v>
      </x:c>
      <x:c r="C1" s="89" t="str">
        <x:v>HDLBits Learning Tracker</x:v>
      </x:c>
      <x:c r="D1" s="89" t="str">
        <x:v>HDLBits Learning Tracker</x:v>
      </x:c>
      <x:c r="E1" s="89" t="str">
        <x:v>HDLBits Learning Tracker</x:v>
      </x:c>
      <x:c r="F1" s="89" t="str">
        <x:v>HDLBits Learning Tracker</x:v>
      </x:c>
      <x:c r="G1" s="89" t="str">
        <x:v>HDLBits Learning Tracker</x:v>
      </x:c>
      <x:c r="H1" s="89" t="str">
        <x:v>HDLBits Learning Tracker</x:v>
      </x:c>
    </x:row>
    <x:row r="2" ht="32" customHeight="1">
      <x:c r="A2" s="89" t="str">
        <x:v>HDLBits Learning Tracker</x:v>
      </x:c>
      <x:c r="B2" s="89" t="str">
        <x:v>HDLBits Learning Tracker</x:v>
      </x:c>
      <x:c r="C2" s="89" t="str">
        <x:v>HDLBits Learning Tracker</x:v>
      </x:c>
      <x:c r="D2" s="89" t="str">
        <x:v>HDLBits Learning Tracker</x:v>
      </x:c>
      <x:c r="E2" s="89" t="str">
        <x:v>HDLBits Learning Tracker</x:v>
      </x:c>
      <x:c r="F2" s="89" t="str">
        <x:v>HDLBits Learning Tracker</x:v>
      </x:c>
      <x:c r="G2" s="89" t="str">
        <x:v>HDLBits Learning Tracker</x:v>
      </x:c>
      <x:c r="H2" s="89" t="str">
        <x:v>HDLBits Learning Tracker</x:v>
      </x:c>
    </x:row>
    <x:row r="3" ht="24" customHeight="1">
      <x:c r="A3" s="92" t="str">
        <x:f>"Exact website sequence · "&amp;A6&amp;" of "&amp;D6&amp;" completed · "&amp;B6&amp;" review · "&amp;C6&amp;" to do"</x:f>
        <x:v>Exact website sequence · 141 of 178 completed · 2 review · 35 to do</x:v>
      </x:c>
      <x:c r="B3" s="92"/>
      <x:c r="C3" s="92"/>
      <x:c r="D3" s="92"/>
      <x:c r="E3" s="92"/>
      <x:c r="F3" s="92"/>
      <x:c r="G3" s="92"/>
      <x:c r="H3" s="92"/>
    </x:row>
    <x:row r="5" ht="28" customHeight="1">
      <x:c r="A5" s="94" t="str">
        <x:v>Completed</x:v>
      </x:c>
      <x:c r="B5" s="94" t="str">
        <x:v>Review</x:v>
      </x:c>
      <x:c r="C5" s="94" t="str">
        <x:v>To do</x:v>
      </x:c>
      <x:c r="D5" s="94" t="str">
        <x:v>Full series</x:v>
      </x:c>
      <x:c r="F5" s="102" t="str">
        <x:v>Current review</x:v>
      </x:c>
      <x:c r="G5" s="102" t="str">
        <x:v>Current review</x:v>
      </x:c>
      <x:c r="H5" s="102" t="str">
        <x:v>Current review</x:v>
      </x:c>
    </x:row>
    <x:row r="6" ht="28" customHeight="1">
      <x:c r="A6" s="97" t="n">
        <x:f>COUNTIF('Tracker'!$G$6:$G$260,"Completed")</x:f>
        <x:v>141</x:v>
      </x:c>
      <x:c r="B6" s="97" t="n">
        <x:f>COUNTIF('Tracker'!$G$6:$G$260,"Review")</x:f>
        <x:v>2</x:v>
      </x:c>
      <x:c r="C6" s="97" t="n">
        <x:f>COUNTIF('Tracker'!$G$6:$G$260,"To Do")</x:f>
        <x:v>35</x:v>
      </x:c>
      <x:c r="D6" s="97" t="n">
        <x:f>COUNTA('Tracker'!$F$6:$F$260)</x:f>
        <x:v>178</x:v>
      </x:c>
      <x:c r="F6" s="103" t="str">
        <x:v>Problem</x:v>
      </x:c>
      <x:c r="G6" s="106" t="str">
        <x:v>Lemmings 2; Q2a: FSM</x:v>
      </x:c>
      <x:c r="H6" s="106"/>
    </x:row>
    <x:row r="7">
      <x:c r="F7" s="103" t="str">
        <x:v>Status</x:v>
      </x:c>
      <x:c r="G7" s="106" t="str">
        <x:v>Review - 10 unsuccessful attempts</x:v>
      </x:c>
      <x:c r="H7" s="106"/>
    </x:row>
    <x:row r="8" ht="25" customHeight="1">
      <x:c r="A8" s="100" t="str">
        <x:v>Sequence audit: 178/178 HDLBits IDs match the live website order (CS450 excluded).</x:v>
      </x:c>
      <x:c r="B8" s="100"/>
      <x:c r="C8" s="100"/>
      <x:c r="D8" s="100"/>
      <x:c r="F8" s="103" t="str">
        <x:v>Source</x:v>
      </x:c>
      <x:c r="G8" s="107" t="str">
        <x:v>Review.md</x:v>
      </x:c>
      <x:c r="H8" s="107"/>
    </x:row>
    <x:row r="10">
      <x:c r="A10" s="102" t="str">
        <x:v>Day</x:v>
      </x:c>
      <x:c r="B10" s="102" t="str">
        <x:v>Date</x:v>
      </x:c>
      <x:c r="C10" s="102" t="str">
        <x:v>Completed problems</x:v>
      </x:c>
      <x:c r="E10" s="102" t="str">
        <x:v>Major section</x:v>
      </x:c>
      <x:c r="F10" s="102" t="str">
        <x:v>Subsection</x:v>
      </x:c>
      <x:c r="G10" s="102" t="str">
        <x:v>Completed</x:v>
      </x:c>
      <x:c r="H10" s="102" t="str">
        <x:v>Total</x:v>
      </x:c>
    </x:row>
    <x:row r="11">
      <x:c r="A11" s="110" t="str">
        <x:v>Day 01</x:v>
      </x:c>
      <x:c r="B11" s="111" t="n">
        <x:v>46196</x:v>
      </x:c>
      <x:c r="C11" s="114" t="n">
        <x:f>COUNTIFS('Tracker'!$H$6:$H$260,A11,'Tracker'!$G$6:$G$260,"Completed")</x:f>
        <x:v>12</x:v>
      </x:c>
      <x:c r="E11" s="117" t="str">
        <x:v>Getting Started</x:v>
      </x:c>
      <x:c r="F11" s="116" t="str">
        <x:v>(all exercises)</x:v>
      </x:c>
      <x:c r="G11" s="118" t="n">
        <x:f>COUNTIFS('Tracker'!$C$6:$C$260,E11,'Tracker'!$G$6:$G$260,"Completed")</x:f>
        <x:v>0</x:v>
      </x:c>
      <x:c r="H11" s="118" t="n">
        <x:f>COUNTIF('Tracker'!$C$6:$C$260,E11)</x:f>
        <x:v>2</x:v>
      </x:c>
    </x:row>
    <x:row r="12">
      <x:c r="A12" s="110" t="str">
        <x:v>Day 02</x:v>
      </x:c>
      <x:c r="B12" s="111" t="n">
        <x:v>46197</x:v>
      </x:c>
      <x:c r="C12" s="114" t="n">
        <x:f>COUNTIFS('Tracker'!$H$6:$H$260,A12,'Tracker'!$G$6:$G$260,"Completed")</x:f>
        <x:v>34</x:v>
      </x:c>
      <x:c r="E12" s="117" t="str">
        <x:v>Verilog Language</x:v>
      </x:c>
      <x:c r="F12" s="116" t="str">
        <x:v>Basics</x:v>
      </x:c>
      <x:c r="G12" s="118" t="n">
        <x:f>COUNTIFS('Tracker'!$C$6:$C$260,E12,'Tracker'!$D$6:$D$260,F12,'Tracker'!$G$6:$G$260,"Completed")</x:f>
        <x:v>8</x:v>
      </x:c>
      <x:c r="H12" s="118" t="n">
        <x:f>COUNTIFS('Tracker'!$C$6:$C$260,E12,'Tracker'!$D$6:$D$260,F12)</x:f>
        <x:v>8</x:v>
      </x:c>
    </x:row>
    <x:row r="13">
      <x:c r="A13" s="110" t="str">
        <x:v>Day 03</x:v>
      </x:c>
      <x:c r="B13" s="111" t="n">
        <x:v>46198</x:v>
      </x:c>
      <x:c r="C13" s="114" t="n">
        <x:f>COUNTIFS('Tracker'!$H$6:$H$260,A13,'Tracker'!$G$6:$G$260,"Completed")</x:f>
        <x:v>42</x:v>
      </x:c>
      <x:c r="E13" s="117" t="str">
        <x:v>Verilog Language</x:v>
      </x:c>
      <x:c r="F13" s="116" t="str">
        <x:v>Vectors</x:v>
      </x:c>
      <x:c r="G13" s="118" t="n">
        <x:f>COUNTIFS('Tracker'!$C$6:$C$260,E13,'Tracker'!$D$6:$D$260,F13,'Tracker'!$G$6:$G$260,"Completed")</x:f>
        <x:v>9</x:v>
      </x:c>
      <x:c r="H13" s="118" t="n">
        <x:f>COUNTIFS('Tracker'!$C$6:$C$260,E13,'Tracker'!$D$6:$D$260,F13)</x:f>
        <x:v>9</x:v>
      </x:c>
    </x:row>
    <x:row r="14">
      <x:c r="A14" s="110" t="str">
        <x:v>Day 04</x:v>
      </x:c>
      <x:c r="B14" s="111" t="n">
        <x:v>46199</x:v>
      </x:c>
      <x:c r="C14" s="114" t="n">
        <x:f>COUNTIFS('Tracker'!$H$6:$H$260,A14,'Tracker'!$G$6:$G$260,"Completed")</x:f>
        <x:v>19</x:v>
      </x:c>
      <x:c r="E14" s="117" t="str">
        <x:v>Verilog Language</x:v>
      </x:c>
      <x:c r="F14" s="116" t="str">
        <x:v>Modules: Hierarchy</x:v>
      </x:c>
      <x:c r="G14" s="118" t="n">
        <x:f>COUNTIFS('Tracker'!$C$6:$C$260,E14,'Tracker'!$D$6:$D$260,F14,'Tracker'!$G$6:$G$260,"Completed")</x:f>
        <x:v>9</x:v>
      </x:c>
      <x:c r="H14" s="118" t="n">
        <x:f>COUNTIFS('Tracker'!$C$6:$C$260,E14,'Tracker'!$D$6:$D$260,F14)</x:f>
        <x:v>9</x:v>
      </x:c>
    </x:row>
    <x:row r="15">
      <x:c r="A15" s="110" t="str">
        <x:v>Day 05</x:v>
      </x:c>
      <x:c r="B15" s="111" t="n">
        <x:v>46200</x:v>
      </x:c>
      <x:c r="C15" s="114" t="n">
        <x:f>COUNTIFS('Tracker'!$H$6:$H$260,A15,'Tracker'!$G$6:$G$260,"Completed")</x:f>
        <x:v>12</x:v>
      </x:c>
      <x:c r="E15" s="117" t="str">
        <x:v>Verilog Language</x:v>
      </x:c>
      <x:c r="F15" s="116" t="str">
        <x:v>Procedures</x:v>
      </x:c>
      <x:c r="G15" s="118" t="n">
        <x:f>COUNTIFS('Tracker'!$C$6:$C$260,E15,'Tracker'!$D$6:$D$260,F15,'Tracker'!$G$6:$G$260,"Completed")</x:f>
        <x:v>8</x:v>
      </x:c>
      <x:c r="H15" s="118" t="n">
        <x:f>COUNTIFS('Tracker'!$C$6:$C$260,E15,'Tracker'!$D$6:$D$260,F15)</x:f>
        <x:v>8</x:v>
      </x:c>
    </x:row>
    <x:row r="16">
      <x:c r="A16" s="110" t="str">
        <x:v>Day 06</x:v>
      </x:c>
      <x:c r="B16" s="111" t="n">
        <x:v>46201</x:v>
      </x:c>
      <x:c r="C16" s="114" t="n">
        <x:f>COUNTIFS('Tracker'!$H$6:$H$260,A16,'Tracker'!$G$6:$G$260,"Completed")</x:f>
        <x:v>21</x:v>
      </x:c>
      <x:c r="E16" s="117" t="str">
        <x:v>Verilog Language</x:v>
      </x:c>
      <x:c r="F16" s="116" t="str">
        <x:v>More Verilog Features</x:v>
      </x:c>
      <x:c r="G16" s="118" t="n">
        <x:f>COUNTIFS('Tracker'!$C$6:$C$260,E16,'Tracker'!$D$6:$D$260,F16,'Tracker'!$G$6:$G$260,"Completed")</x:f>
        <x:v>7</x:v>
      </x:c>
      <x:c r="H16" s="118" t="n">
        <x:f>COUNTIFS('Tracker'!$C$6:$C$260,E16,'Tracker'!$D$6:$D$260,F16)</x:f>
        <x:v>7</x:v>
      </x:c>
    </x:row>
    <x:row r="17">
      <x:c r="A17" s="125" t="str">
        <x:v>Day 07</x:v>
      </x:c>
      <x:c r="B17" s="128" t="n">
        <x:v>46202</x:v>
      </x:c>
      <x:c r="C17" s="129" t="n">
        <x:f>COUNTIFS('Tracker'!$H$6:$H$260,A17,'Tracker'!$G$6:$G$260,"Completed")</x:f>
        <x:v>1</x:v>
      </x:c>
      <x:c r="E17" s="117" t="str">
        <x:v>Circuits</x:v>
      </x:c>
      <x:c r="F17" s="116" t="str">
        <x:v>Combinational Logic → Basic Gates</x:v>
      </x:c>
      <x:c r="G17" s="118" t="n">
        <x:f>COUNTIFS('Tracker'!$C$6:$C$260,E17,'Tracker'!$D$6:$D$260,F17,'Tracker'!$G$6:$G$260,"Completed")</x:f>
        <x:v>17</x:v>
      </x:c>
      <x:c r="H17" s="118" t="n">
        <x:f>COUNTIFS('Tracker'!$C$6:$C$260,E17,'Tracker'!$D$6:$D$260,F17)</x:f>
        <x:v>17</x:v>
      </x:c>
    </x:row>
    <x:row r="18">
      <x:c r="E18" s="117" t="str">
        <x:v>Circuits</x:v>
      </x:c>
      <x:c r="F18" s="116" t="str">
        <x:v>Combinational Logic → Multiplexers</x:v>
      </x:c>
      <x:c r="G18" s="118" t="n">
        <x:f>COUNTIFS('Tracker'!$C$6:$C$260,E18,'Tracker'!$D$6:$D$260,F18,'Tracker'!$G$6:$G$260,"Completed")</x:f>
        <x:v>5</x:v>
      </x:c>
      <x:c r="H18" s="118" t="n">
        <x:f>COUNTIFS('Tracker'!$C$6:$C$260,E18,'Tracker'!$D$6:$D$260,F18)</x:f>
        <x:v>5</x:v>
      </x:c>
    </x:row>
    <x:row r="19">
      <x:c r="E19" s="117" t="str">
        <x:v>Circuits</x:v>
      </x:c>
      <x:c r="F19" s="116" t="str">
        <x:v>Combinational Logic → Arithmetic Circuits</x:v>
      </x:c>
      <x:c r="G19" s="118" t="n">
        <x:f>COUNTIFS('Tracker'!$C$6:$C$260,E19,'Tracker'!$D$6:$D$260,F19,'Tracker'!$G$6:$G$260,"Completed")</x:f>
        <x:v>7</x:v>
      </x:c>
      <x:c r="H19" s="118" t="n">
        <x:f>COUNTIFS('Tracker'!$C$6:$C$260,E19,'Tracker'!$D$6:$D$260,F19)</x:f>
        <x:v>7</x:v>
      </x:c>
    </x:row>
    <x:row r="20">
      <x:c r="E20" s="117" t="str">
        <x:v>Circuits</x:v>
      </x:c>
      <x:c r="F20" s="116" t="str">
        <x:v>Combinational Logic → Karnaugh Map to Circuit</x:v>
      </x:c>
      <x:c r="G20" s="118" t="n">
        <x:f>COUNTIFS('Tracker'!$C$6:$C$260,E20,'Tracker'!$D$6:$D$260,F20,'Tracker'!$G$6:$G$260,"Completed")</x:f>
        <x:v>8</x:v>
      </x:c>
      <x:c r="H20" s="118" t="n">
        <x:f>COUNTIFS('Tracker'!$C$6:$C$260,E20,'Tracker'!$D$6:$D$260,F20)</x:f>
        <x:v>8</x:v>
      </x:c>
    </x:row>
    <x:row r="21">
      <x:c r="E21" s="117" t="str">
        <x:v>Circuits</x:v>
      </x:c>
      <x:c r="F21" s="116" t="str">
        <x:v>Sequential Logic → Latches and Flip-Flops</x:v>
      </x:c>
      <x:c r="G21" s="118" t="n">
        <x:f>COUNTIFS('Tracker'!$C$6:$C$260,E21,'Tracker'!$D$6:$D$260,F21,'Tracker'!$G$6:$G$260,"Completed")</x:f>
        <x:v>18</x:v>
      </x:c>
      <x:c r="H21" s="118" t="n">
        <x:f>COUNTIFS('Tracker'!$C$6:$C$260,E21,'Tracker'!$D$6:$D$260,F21)</x:f>
        <x:v>18</x:v>
      </x:c>
    </x:row>
    <x:row r="22">
      <x:c r="E22" s="117" t="str">
        <x:v>Circuits</x:v>
      </x:c>
      <x:c r="F22" s="116" t="str">
        <x:v>Sequential Logic → Counters</x:v>
      </x:c>
      <x:c r="G22" s="118" t="n">
        <x:f>COUNTIFS('Tracker'!$C$6:$C$260,E22,'Tracker'!$D$6:$D$260,F22,'Tracker'!$G$6:$G$260,"Completed")</x:f>
        <x:v>4</x:v>
      </x:c>
      <x:c r="H22" s="118" t="n">
        <x:f>COUNTIFS('Tracker'!$C$6:$C$260,E22,'Tracker'!$D$6:$D$260,F22)</x:f>
        <x:v>8</x:v>
      </x:c>
    </x:row>
    <x:row r="23">
      <x:c r="E23" s="117" t="str">
        <x:v>Circuits</x:v>
      </x:c>
      <x:c r="F23" s="116" t="str">
        <x:v>Sequential Logic → Shift Registers</x:v>
      </x:c>
      <x:c r="G23" s="118" t="n">
        <x:f>COUNTIFS('Tracker'!$C$6:$C$260,E23,'Tracker'!$D$6:$D$260,F23,'Tracker'!$G$6:$G$260,"Completed")</x:f>
        <x:v>9</x:v>
      </x:c>
      <x:c r="H23" s="118" t="n">
        <x:f>COUNTIFS('Tracker'!$C$6:$C$260,E23,'Tracker'!$D$6:$D$260,F23)</x:f>
        <x:v>9</x:v>
      </x:c>
    </x:row>
    <x:row r="24">
      <x:c r="E24" s="117" t="str">
        <x:v>Circuits</x:v>
      </x:c>
      <x:c r="F24" s="116" t="str">
        <x:v>Sequential Logic → More Circuits</x:v>
      </x:c>
      <x:c r="G24" s="118" t="n">
        <x:f>COUNTIFS('Tracker'!$C$6:$C$260,E24,'Tracker'!$D$6:$D$260,F24,'Tracker'!$G$6:$G$260,"Completed")</x:f>
        <x:v>0</x:v>
      </x:c>
      <x:c r="H24" s="118" t="n">
        <x:f>COUNTIFS('Tracker'!$C$6:$C$260,E24,'Tracker'!$D$6:$D$260,F24)</x:f>
        <x:v>3</x:v>
      </x:c>
    </x:row>
    <x:row r="25">
      <x:c r="E25" s="117" t="str">
        <x:v>Circuits</x:v>
      </x:c>
      <x:c r="F25" s="116" t="str">
        <x:v>Sequential Logic → Finite State Machines</x:v>
      </x:c>
      <x:c r="G25" s="118" t="n">
        <x:f>COUNTIFS('Tracker'!$C$6:$C$260,E25,'Tracker'!$D$6:$D$260,F25,'Tracker'!$G$6:$G$260,"Completed")</x:f>
        <x:v>12</x:v>
      </x:c>
      <x:c r="H25" s="118" t="n">
        <x:f>COUNTIFS('Tracker'!$C$6:$C$260,E25,'Tracker'!$D$6:$D$260,F25)</x:f>
        <x:v>33</x:v>
      </x:c>
    </x:row>
    <x:row r="26">
      <x:c r="E26" s="117" t="str">
        <x:v>Circuits</x:v>
      </x:c>
      <x:c r="F26" s="116" t="str">
        <x:v>Building Larger Circuits</x:v>
      </x:c>
      <x:c r="G26" s="118" t="n">
        <x:f>COUNTIFS('Tracker'!$C$6:$C$260,E26,'Tracker'!$D$6:$D$260,F26,'Tracker'!$G$6:$G$260,"Completed")</x:f>
        <x:v>0</x:v>
      </x:c>
      <x:c r="H26" s="118" t="n">
        <x:f>COUNTIFS('Tracker'!$C$6:$C$260,E26,'Tracker'!$D$6:$D$260,F26)</x:f>
        <x:v>7</x:v>
      </x:c>
    </x:row>
    <x:row r="27">
      <x:c r="E27" s="117" t="str">
        <x:v>Verification: Reading Simulations</x:v>
      </x:c>
      <x:c r="F27" s="116" t="str">
        <x:v>Finding bugs in code</x:v>
      </x:c>
      <x:c r="G27" s="118" t="n">
        <x:f>COUNTIFS('Tracker'!$C$6:$C$260,E27,'Tracker'!$D$6:$D$260,F27,'Tracker'!$G$6:$G$260,"Completed")</x:f>
        <x:v>5</x:v>
      </x:c>
      <x:c r="H27" s="118" t="n">
        <x:f>COUNTIFS('Tracker'!$C$6:$C$260,E27,'Tracker'!$D$6:$D$260,F27)</x:f>
        <x:v>5</x:v>
      </x:c>
    </x:row>
    <x:row r="28">
      <x:c r="E28" s="117" t="str">
        <x:v>Verification: Reading Simulations</x:v>
      </x:c>
      <x:c r="F28" s="116" t="str">
        <x:v>Build a circuit from a simulation waveform</x:v>
      </x:c>
      <x:c r="G28" s="118" t="n">
        <x:f>COUNTIFS('Tracker'!$C$6:$C$260,E28,'Tracker'!$D$6:$D$260,F28,'Tracker'!$G$6:$G$260,"Completed")</x:f>
        <x:v>10</x:v>
      </x:c>
      <x:c r="H28" s="118" t="n">
        <x:f>COUNTIFS('Tracker'!$C$6:$C$260,E28,'Tracker'!$D$6:$D$260,F28)</x:f>
        <x:v>10</x:v>
      </x:c>
    </x:row>
    <x:row r="29">
      <x:c r="E29" s="117" t="str">
        <x:v>Verification: Writing Testbenches</x:v>
      </x:c>
      <x:c r="F29" s="116" t="str">
        <x:v>(all exercises)</x:v>
      </x:c>
      <x:c r="G29" s="118" t="n">
        <x:f>COUNTIFS('Tracker'!$C$6:$C$260,E29,'Tracker'!$G$6:$G$260,"Completed")</x:f>
        <x:v>5</x:v>
      </x:c>
      <x:c r="H29" s="118" t="n">
        <x:f>COUNTIF('Tracker'!$C$6:$C$260,E29)</x:f>
        <x:v>5</x:v>
      </x:c>
    </x:row>
  </x:sheetData>
  <x:mergeCells>
    <x:mergeCell ref="A1:H2"/>
    <x:mergeCell ref="A3:H3"/>
    <x:mergeCell ref="A8:D8"/>
    <x:mergeCell ref="F5:H5"/>
    <x:mergeCell ref="G6:H6"/>
    <x:mergeCell ref="G7:H7"/>
    <x:mergeCell ref="G8:H8"/>
  </x:mergeCells>
  <x:conditionalFormatting sqref="G11:G29">
    <x:cfRule type="cellIs" dxfId="3" priority="1" operator="equal">
      <x:formula>H11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7" hidden="0" customWidth="1"/>
    <x:col min="4" max="4" width="38" hidden="0" customWidth="1"/>
    <x:col min="5" max="5" width="31" hidden="0" customWidth="1"/>
    <x:col min="6" max="6" width="26" hidden="0" customWidth="1"/>
    <x:col min="7" max="7" width="13" hidden="0" customWidth="1"/>
    <x:col min="8" max="8" width="11" hidden="0" customWidth="1"/>
    <x:col min="9" max="9" width="15" hidden="0" customWidth="1"/>
    <x:col min="10" max="10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58" hidden="0" customWidth="1"/>
    <x:col min="21" max="21" width="34" hidden="0" customWidth="1"/>
  </x:cols>
  <x:sheetData>
    <x:row r="1" ht="30" customHeight="1">
      <x:c r="A1" s="4" t="str">
        <x:v>HDLBits Course Sequence and Revision Log</x:v>
      </x:c>
      <x:c r="B1" s="4" t="str">
        <x:v>HDLBits Course Sequence and Revision Log</x:v>
      </x:c>
      <x:c r="C1" s="4" t="str">
        <x:v>HDLBits Course Sequence and Revision Log</x:v>
      </x:c>
      <x:c r="D1" s="4" t="str">
        <x:v>HDLBits Course Sequence and Revision Log</x:v>
      </x:c>
      <x:c r="E1" s="4" t="str">
        <x:v>HDLBits Course Sequence and Revision Log</x:v>
      </x:c>
      <x:c r="F1" s="4" t="str">
        <x:v>HDLBits Course Sequence and Revision Log</x:v>
      </x:c>
      <x:c r="G1" s="4" t="str">
        <x:v>HDLBits Course Sequence and Revision Log</x:v>
      </x:c>
      <x:c r="H1" s="4" t="str">
        <x:v>HDLBits Course Sequence and Revision Log</x:v>
      </x:c>
      <x:c r="I1" s="4" t="str">
        <x:v>HDLBits Course Sequence and Revision Log</x:v>
      </x:c>
      <x:c r="J1" s="4" t="str">
        <x:v>HDLBits Course Sequence and Revision Log</x:v>
      </x:c>
      <x:c r="K1" s="4" t="str">
        <x:v>HDLBits Course Sequence and Revision Log</x:v>
      </x:c>
      <x:c r="L1" s="4" t="str">
        <x:v>HDLBits Course Sequence and Revision Log</x:v>
      </x:c>
      <x:c r="M1" s="4" t="str">
        <x:v>HDLBits Course Sequence and Revision Log</x:v>
      </x:c>
      <x:c r="N1" s="4" t="str">
        <x:v>HDLBits Course Sequence and Revision Log</x:v>
      </x:c>
      <x:c r="O1" s="4" t="str">
        <x:v>HDLBits Course Sequence and Revision Log</x:v>
      </x:c>
      <x:c r="P1" s="4" t="str">
        <x:v>HDLBits Course Sequence and Revision Log</x:v>
      </x:c>
      <x:c r="Q1" s="4" t="str">
        <x:v>HDLBits Course Sequence and Revision Log</x:v>
      </x:c>
      <x:c r="R1" s="4" t="str">
        <x:v>HDLBits Course Sequence and Revision Log</x:v>
      </x:c>
      <x:c r="S1" s="4" t="str">
        <x:v>HDLBits Course Sequence and Revision Log</x:v>
      </x:c>
      <x:c r="T1" s="4" t="str">
        <x:v>HDLBits Course Sequence and Revision Log</x:v>
      </x:c>
      <x:c r="U1" s="4" t="str">
        <x:v>HDLBits Course Sequence and Revision Log</x:v>
      </x:c>
    </x:row>
    <x:row r="2" ht="30" customHeight="1">
      <x:c r="A2" s="4" t="str">
        <x:v>HDLBits Course Sequence and Revision Log</x:v>
      </x:c>
      <x:c r="B2" s="4" t="str">
        <x:v>HDLBits Course Sequence and Revision Log</x:v>
      </x:c>
      <x:c r="C2" s="4" t="str">
        <x:v>HDLBits Course Sequence and Revision Log</x:v>
      </x:c>
      <x:c r="D2" s="4" t="str">
        <x:v>HDLBits Course Sequence and Revision Log</x:v>
      </x:c>
      <x:c r="E2" s="4" t="str">
        <x:v>HDLBits Course Sequence and Revision Log</x:v>
      </x:c>
      <x:c r="F2" s="4" t="str">
        <x:v>HDLBits Course Sequence and Revision Log</x:v>
      </x:c>
      <x:c r="G2" s="4" t="str">
        <x:v>HDLBits Course Sequence and Revision Log</x:v>
      </x:c>
      <x:c r="H2" s="4" t="str">
        <x:v>HDLBits Course Sequence and Revision Log</x:v>
      </x:c>
      <x:c r="I2" s="4" t="str">
        <x:v>HDLBits Course Sequence and Revision Log</x:v>
      </x:c>
      <x:c r="J2" s="4" t="str">
        <x:v>HDLBits Course Sequence and Revision Log</x:v>
      </x:c>
      <x:c r="K2" s="4" t="str">
        <x:v>HDLBits Course Sequence and Revision Log</x:v>
      </x:c>
      <x:c r="L2" s="4" t="str">
        <x:v>HDLBits Course Sequence and Revision Log</x:v>
      </x:c>
      <x:c r="M2" s="4" t="str">
        <x:v>HDLBits Course Sequence and Revision Log</x:v>
      </x:c>
      <x:c r="N2" s="4" t="str">
        <x:v>HDLBits Course Sequence and Revision Log</x:v>
      </x:c>
      <x:c r="O2" s="4" t="str">
        <x:v>HDLBits Course Sequence and Revision Log</x:v>
      </x:c>
      <x:c r="P2" s="4" t="str">
        <x:v>HDLBits Course Sequence and Revision Log</x:v>
      </x:c>
      <x:c r="Q2" s="4" t="str">
        <x:v>HDLBits Course Sequence and Revision Log</x:v>
      </x:c>
      <x:c r="R2" s="4" t="str">
        <x:v>HDLBits Course Sequence and Revision Log</x:v>
      </x:c>
      <x:c r="S2" s="4" t="str">
        <x:v>HDLBits Course Sequence and Revision Log</x:v>
      </x:c>
      <x:c r="T2" s="4" t="str">
        <x:v>HDLBits Course Sequence and Revision Log</x:v>
      </x:c>
      <x:c r="U2" s="4" t="str">
        <x:v>HDLBits Course Sequence and Revision Log</x:v>
      </x:c>
    </x:row>
    <x:row r="3" ht="23" customHeight="1">
      <x:c r="A3" s="8" t="str">
        <x:f>"Website sequence verified: 178 of 178 IDs in exact order · "&amp;COUNTIF($G$6:$G$260,"Completed")&amp;" completed · "&amp;COUNTIF($G$6:$G$260,"Review")&amp;" review · "&amp;COUNTIF($G$6:$G$260,"To Do")&amp;" to do"</x:f>
        <x:v>Website sequence verified: 178 of 178 IDs in exact order · 141 completed · 2 review · 35 to do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5" ht="38" customHeight="1">
      <x:c r="A5" s="14" t="str">
        <x:v>Website #</x:v>
      </x:c>
      <x:c r="B5" s="14" t="str">
        <x:v>Archive #</x:v>
      </x:c>
      <x:c r="C5" s="14" t="str">
        <x:v>Major section</x:v>
      </x:c>
      <x:c r="D5" s="14" t="str">
        <x:v>Subsection</x:v>
      </x:c>
      <x:c r="E5" s="14" t="str">
        <x:v>Problem</x:v>
      </x:c>
      <x:c r="F5" s="14" t="str">
        <x:v>HDLBits ID</x:v>
      </x:c>
      <x:c r="G5" s="14" t="str">
        <x:v>Status</x:v>
      </x:c>
      <x:c r="H5" s="14" t="str">
        <x:v>Day</x:v>
      </x:c>
      <x:c r="I5" s="14" t="str">
        <x:v>Submission date</x:v>
      </x:c>
      <x:c r="J5" s="14" t="str">
        <x:v>Submission time</x:v>
      </x:c>
      <x:c r="K5" s="14" t="str">
        <x:v>Total attempts</x:v>
      </x:c>
      <x:c r="L5" s="14" t="str">
        <x:v>Incorrect</x:v>
      </x:c>
      <x:c r="M5" s="14" t="str">
        <x:v>Compile errors</x:v>
      </x:c>
      <x:c r="N5" s="14" t="str">
        <x:v>Simulation errors</x:v>
      </x:c>
      <x:c r="O5" s="14" t="str">
        <x:v>Success rate</x:v>
      </x:c>
      <x:c r="P5" s="14" t="str">
        <x:v>Problem note</x:v>
      </x:c>
      <x:c r="Q5" s="14" t="str">
        <x:v>Screenshot</x:v>
      </x:c>
      <x:c r="R5" s="14" t="str">
        <x:v>Verilog solution</x:v>
      </x:c>
      <x:c r="S5" s="14" t="str">
        <x:v>HDLBits page</x:v>
      </x:c>
      <x:c r="T5" s="14" t="str">
        <x:v>What the problem asks</x:v>
      </x:c>
      <x:c r="U5" s="14" t="str">
        <x:v>What I learned</x:v>
      </x:c>
    </x:row>
    <x:row r="6" ht="25" customHeight="1">
      <x:c r="A6" s="46" t="str">
        <x:v>SECTION · Getting Started</x:v>
      </x:c>
      <x:c r="B6" s="46"/>
      <x:c r="C6" s="46"/>
      <x:c r="D6" s="46"/>
      <x:c r="E6" s="46"/>
      <x:c r="F6" s="46"/>
      <x:c r="G6" s="46"/>
      <x:c r="H6" s="46"/>
      <x:c r="I6" s="47"/>
      <x:c r="J6" s="46"/>
      <x:c r="K6" s="46"/>
      <x:c r="L6" s="46"/>
      <x:c r="M6" s="46"/>
      <x:c r="N6" s="46"/>
      <x:c r="O6" s="48"/>
      <x:c r="P6" s="46"/>
      <x:c r="Q6" s="46"/>
      <x:c r="R6" s="46"/>
      <x:c r="S6" s="46"/>
      <x:c r="T6" s="46"/>
      <x:c r="U6" s="46"/>
    </x:row>
    <x:row r="7" ht="34" customHeight="1">
      <x:c r="A7" s="26" t="n">
        <x:v>1</x:v>
      </x:c>
      <x:c r="B7" s="26"/>
      <x:c r="C7" s="23" t="str">
        <x:v>Getting Started</x:v>
      </x:c>
      <x:c r="D7" s="23" t="str"/>
      <x:c r="E7" s="23" t="str">
        <x:v>Getting Started</x:v>
      </x:c>
      <x:c r="F7" s="23" t="str">
        <x:v>step_one</x:v>
      </x:c>
      <x:c r="G7" s="26" t="str">
        <x:v>To Do</x:v>
      </x:c>
      <x:c r="H7" s="26"/>
      <x:c r="I7" s="32"/>
      <x:c r="J7" s="26"/>
      <x:c r="K7" s="26" t="n">
        <x:v>0</x:v>
      </x:c>
      <x:c r="L7" s="26" t="n">
        <x:v>0</x:v>
      </x:c>
      <x:c r="M7" s="26" t="n">
        <x:v>0</x:v>
      </x:c>
      <x:c r="N7" s="26" t="n">
        <x:v>0</x:v>
      </x:c>
      <x:c r="O7" s="35"/>
      <x:c r="P7" s="29"/>
      <x:c r="Q7" s="29"/>
      <x:c r="R7" s="29"/>
      <x:c r="S7" s="29" t="e">
        <x:f>HYPERLINK("https://hdlbits.01xz.net/wiki/step_one","HDLBits")</x:f>
        <x:v>HYPERLINK is not implemented. linkLocation=https://hdlbits.01xz.net/wiki/step_one, friendlyName=HDLBits</x:v>
      </x:c>
      <x:c r="T7" s="23" t="str">
        <x:v>Not attempted yet. Read the HDLBits question, design the circuit or testbench, and obtain a successful submission.</x:v>
      </x:c>
      <x:c r="U7" s="23"/>
    </x:row>
    <x:row r="8" ht="34" customHeight="1">
      <x:c r="A8" s="49" t="n">
        <x:v>2</x:v>
      </x:c>
      <x:c r="B8" s="49"/>
      <x:c r="C8" s="50" t="str">
        <x:v>Getting Started</x:v>
      </x:c>
      <x:c r="D8" s="50" t="str"/>
      <x:c r="E8" s="50" t="str">
        <x:v>Output Zero</x:v>
      </x:c>
      <x:c r="F8" s="50" t="str">
        <x:v>zero</x:v>
      </x:c>
      <x:c r="G8" s="49" t="str">
        <x:v>To Do</x:v>
      </x:c>
      <x:c r="H8" s="49"/>
      <x:c r="I8" s="51"/>
      <x:c r="J8" s="49"/>
      <x:c r="K8" s="49" t="n">
        <x:v>0</x:v>
      </x:c>
      <x:c r="L8" s="49" t="n">
        <x:v>0</x:v>
      </x:c>
      <x:c r="M8" s="49" t="n">
        <x:v>0</x:v>
      </x:c>
      <x:c r="N8" s="49" t="n">
        <x:v>0</x:v>
      </x:c>
      <x:c r="O8" s="52"/>
      <x:c r="P8" s="53"/>
      <x:c r="Q8" s="53"/>
      <x:c r="R8" s="53"/>
      <x:c r="S8" s="53" t="e">
        <x:f>HYPERLINK("https://hdlbits.01xz.net/wiki/zero","HDLBits")</x:f>
        <x:v>HYPERLINK is not implemented. linkLocation=https://hdlbits.01xz.net/wiki/zero, friendlyName=HDLBits</x:v>
      </x:c>
      <x:c r="T8" s="50" t="str">
        <x:v>Not attempted yet. Read the HDLBits question, design the circuit or testbench, and obtain a successful submission.</x:v>
      </x:c>
      <x:c r="U8" s="50"/>
    </x:row>
    <x:row r="9" ht="25" customHeight="1">
      <x:c r="A9" s="63" t="str">
        <x:v>SECTION · Verilog Language</x:v>
      </x:c>
      <x:c r="B9" s="63"/>
      <x:c r="C9" s="63"/>
      <x:c r="D9" s="63"/>
      <x:c r="E9" s="63"/>
      <x:c r="F9" s="63"/>
      <x:c r="G9" s="63"/>
      <x:c r="H9" s="63"/>
      <x:c r="I9" s="64"/>
      <x:c r="J9" s="63"/>
      <x:c r="K9" s="63"/>
      <x:c r="L9" s="63"/>
      <x:c r="M9" s="63"/>
      <x:c r="N9" s="63"/>
      <x:c r="O9" s="65"/>
      <x:c r="P9" s="63"/>
      <x:c r="Q9" s="63"/>
      <x:c r="R9" s="63"/>
      <x:c r="S9" s="63"/>
      <x:c r="T9" s="63"/>
      <x:c r="U9" s="63"/>
    </x:row>
    <x:row r="10" ht="22" customHeight="1">
      <x:c r="A10" s="79" t="str">
        <x:v>SUBSECTION · Basics</x:v>
      </x:c>
      <x:c r="B10" s="79"/>
      <x:c r="C10" s="79"/>
      <x:c r="D10" s="79"/>
      <x:c r="E10" s="79"/>
      <x:c r="F10" s="79"/>
      <x:c r="G10" s="79"/>
      <x:c r="H10" s="79"/>
      <x:c r="I10" s="80"/>
      <x:c r="J10" s="79"/>
      <x:c r="K10" s="79"/>
      <x:c r="L10" s="79"/>
      <x:c r="M10" s="79"/>
      <x:c r="N10" s="79"/>
      <x:c r="O10" s="81"/>
      <x:c r="P10" s="79"/>
      <x:c r="Q10" s="79"/>
      <x:c r="R10" s="79"/>
      <x:c r="S10" s="79"/>
      <x:c r="T10" s="79"/>
      <x:c r="U10" s="79"/>
    </x:row>
    <x:row r="11" ht="34" customHeight="1">
      <x:c r="A11" s="26" t="n">
        <x:v>3</x:v>
      </x:c>
      <x:c r="B11" s="26" t="n">
        <x:v>1</x:v>
      </x:c>
      <x:c r="C11" s="23" t="str">
        <x:v>Verilog Language</x:v>
      </x:c>
      <x:c r="D11" s="23" t="str">
        <x:v>Basics</x:v>
      </x:c>
      <x:c r="E11" s="23" t="str">
        <x:v>Simple wire</x:v>
      </x:c>
      <x:c r="F11" s="23" t="str">
        <x:v>wire</x:v>
      </x:c>
      <x:c r="G11" s="26" t="str">
        <x:v>Completed</x:v>
      </x:c>
      <x:c r="H11" s="26" t="str">
        <x:v>Day 01</x:v>
      </x:c>
      <x:c r="I11" s="32" t="n">
        <x:v>46196</x:v>
      </x:c>
      <x:c r="J11" s="26" t="str">
        <x:v>5:47:07 PM</x:v>
      </x:c>
      <x:c r="K11" s="26" t="n">
        <x:v>1</x:v>
      </x:c>
      <x:c r="L11" s="26" t="n">
        <x:v>0</x:v>
      </x:c>
      <x:c r="M11" s="26" t="n">
        <x:v>0</x:v>
      </x:c>
      <x:c r="N11" s="26" t="n">
        <x:v>0</x:v>
      </x:c>
      <x:c r="O11" s="35" t="n">
        <x:v>1</x:v>
      </x:c>
      <x:c r="P11" s="29" t="e">
        <x:f>HYPERLINK("https://github.com/kapiltrip/hdlBits/blob/main/problems/Day%2001/001-wire.md","Note")</x:f>
        <x:v>HYPERLINK is not implemented. linkLocation=https://github.com/kapiltrip/hdlBits/blob/main/problems/Day%2001/001-wire.md, friendlyName=Note</x:v>
      </x:c>
      <x:c r="Q11" s="29" t="e">
        <x:f>HYPERLINK("https://github.com/kapiltrip/hdlBits/blob/main/images/Day%2001/001-wire.png","Image")</x:f>
        <x:v>HYPERLINK is not implemented. linkLocation=https://github.com/kapiltrip/hdlBits/blob/main/images/Day%2001/001-wire.png, friendlyName=Image</x:v>
      </x:c>
      <x:c r="R11" s="29" t="e">
        <x:f>HYPERLINK("https://github.com/kapiltrip/hdlBits/blob/main/solutions/Day%2001/001-wire.sv","Code")</x:f>
        <x:v>HYPERLINK is not implemented. linkLocation=https://github.com/kapiltrip/hdlBits/blob/main/solutions/Day%2001/001-wire.sv, friendlyName=Code</x:v>
      </x:c>
      <x:c r="S11" s="29" t="e">
        <x:f>HYPERLINK("https://hdlbits.01xz.net/wiki/wire","HDLBits")</x:f>
        <x:v>HYPERLINK is not implemented. linkLocation=https://hdlbits.01xz.net/wiki/wire, friendlyName=HDLBits</x:v>
      </x:c>
      <x:c r="T11" s="23" t="str">
        <x:v>Connect the single input directly to the output so the module behaves exactly like a wire.</x:v>
      </x:c>
      <x:c r="U11" s="23"/>
    </x:row>
    <x:row r="12" ht="34" customHeight="1">
      <x:c r="A12" s="49" t="n">
        <x:v>4</x:v>
      </x:c>
      <x:c r="B12" s="49" t="n">
        <x:v>2</x:v>
      </x:c>
      <x:c r="C12" s="50" t="str">
        <x:v>Verilog Language</x:v>
      </x:c>
      <x:c r="D12" s="50" t="str">
        <x:v>Basics</x:v>
      </x:c>
      <x:c r="E12" s="50" t="str">
        <x:v>Four wires</x:v>
      </x:c>
      <x:c r="F12" s="50" t="str">
        <x:v>wire4</x:v>
      </x:c>
      <x:c r="G12" s="49" t="str">
        <x:v>Completed</x:v>
      </x:c>
      <x:c r="H12" s="49" t="str">
        <x:v>Day 01</x:v>
      </x:c>
      <x:c r="I12" s="51" t="n">
        <x:v>46196</x:v>
      </x:c>
      <x:c r="J12" s="49" t="str">
        <x:v>5:50:30 PM</x:v>
      </x:c>
      <x:c r="K12" s="49" t="n">
        <x:v>2</x:v>
      </x:c>
      <x:c r="L12" s="49" t="n">
        <x:v>0</x:v>
      </x:c>
      <x:c r="M12" s="49" t="n">
        <x:v>1</x:v>
      </x:c>
      <x:c r="N12" s="49" t="n">
        <x:v>0</x:v>
      </x:c>
      <x:c r="O12" s="52" t="n">
        <x:v>0.5</x:v>
      </x:c>
      <x:c r="P12" s="53" t="e">
        <x:f>HYPERLINK("https://github.com/kapiltrip/hdlBits/blob/main/problems/Day%2001/002-wire4.md","Note")</x:f>
        <x:v>HYPERLINK is not implemented. linkLocation=https://github.com/kapiltrip/hdlBits/blob/main/problems/Day%2001/002-wire4.md, friendlyName=Note</x:v>
      </x:c>
      <x:c r="Q12" s="53" t="e">
        <x:f>HYPERLINK("https://github.com/kapiltrip/hdlBits/blob/main/images/Day%2001/002-wire4.png","Image")</x:f>
        <x:v>HYPERLINK is not implemented. linkLocation=https://github.com/kapiltrip/hdlBits/blob/main/images/Day%2001/002-wire4.png, friendlyName=Image</x:v>
      </x:c>
      <x:c r="R12" s="53" t="e">
        <x:f>HYPERLINK("https://github.com/kapiltrip/hdlBits/blob/main/solutions/Day%2001/002-wire4.sv","Code")</x:f>
        <x:v>HYPERLINK is not implemented. linkLocation=https://github.com/kapiltrip/hdlBits/blob/main/solutions/Day%2001/002-wire4.sv, friendlyName=Code</x:v>
      </x:c>
      <x:c r="S12" s="53" t="e">
        <x:f>HYPERLINK("https://hdlbits.01xz.net/wiki/wire4","HDLBits")</x:f>
        <x:v>HYPERLINK is not implemented. linkLocation=https://hdlbits.01xz.net/wiki/wire4, friendlyName=HDLBits</x:v>
      </x:c>
      <x:c r="T12" s="50" t="str">
        <x:v>Create the requested one-to-one and fan-out wire connections between the named inputs and outputs.</x:v>
      </x:c>
      <x:c r="U12" s="50"/>
    </x:row>
    <x:row r="13" ht="34" customHeight="1">
      <x:c r="A13" s="26" t="n">
        <x:v>5</x:v>
      </x:c>
      <x:c r="B13" s="26" t="n">
        <x:v>3</x:v>
      </x:c>
      <x:c r="C13" s="23" t="str">
        <x:v>Verilog Language</x:v>
      </x:c>
      <x:c r="D13" s="23" t="str">
        <x:v>Basics</x:v>
      </x:c>
      <x:c r="E13" s="23" t="str">
        <x:v>Inverter</x:v>
      </x:c>
      <x:c r="F13" s="23" t="str">
        <x:v>notgate</x:v>
      </x:c>
      <x:c r="G13" s="26" t="str">
        <x:v>Completed</x:v>
      </x:c>
      <x:c r="H13" s="26" t="str">
        <x:v>Day 01</x:v>
      </x:c>
      <x:c r="I13" s="32" t="n">
        <x:v>46196</x:v>
      </x:c>
      <x:c r="J13" s="26" t="str">
        <x:v>5:52:19 PM</x:v>
      </x:c>
      <x:c r="K13" s="26" t="n">
        <x:v>1</x:v>
      </x:c>
      <x:c r="L13" s="26" t="n">
        <x:v>0</x:v>
      </x:c>
      <x:c r="M13" s="26" t="n">
        <x:v>0</x:v>
      </x:c>
      <x:c r="N13" s="26" t="n">
        <x:v>0</x:v>
      </x:c>
      <x:c r="O13" s="35" t="n">
        <x:v>1</x:v>
      </x:c>
      <x:c r="P13" s="29" t="e">
        <x:f>HYPERLINK("https://github.com/kapiltrip/hdlBits/blob/main/problems/Day%2001/003-notgate.md","Note")</x:f>
        <x:v>HYPERLINK is not implemented. linkLocation=https://github.com/kapiltrip/hdlBits/blob/main/problems/Day%2001/003-notgate.md, friendlyName=Note</x:v>
      </x:c>
      <x:c r="Q13" s="29" t="e">
        <x:f>HYPERLINK("https://github.com/kapiltrip/hdlBits/blob/main/images/Day%2001/003-notgate.png","Image")</x:f>
        <x:v>HYPERLINK is not implemented. linkLocation=https://github.com/kapiltrip/hdlBits/blob/main/images/Day%2001/003-notgate.png, friendlyName=Image</x:v>
      </x:c>
      <x:c r="R13" s="29" t="e">
        <x:f>HYPERLINK("https://github.com/kapiltrip/hdlBits/blob/main/solutions/Day%2001/003-notgate.sv","Code")</x:f>
        <x:v>HYPERLINK is not implemented. linkLocation=https://github.com/kapiltrip/hdlBits/blob/main/solutions/Day%2001/003-notgate.sv, friendlyName=Code</x:v>
      </x:c>
      <x:c r="S13" s="29" t="e">
        <x:f>HYPERLINK("https://hdlbits.01xz.net/wiki/notgate","HDLBits")</x:f>
        <x:v>HYPERLINK is not implemented. linkLocation=https://hdlbits.01xz.net/wiki/notgate, friendlyName=HDLBits</x:v>
      </x:c>
      <x:c r="T13" s="23" t="str">
        <x:v>Drive the output with the logical inverse of the input, implementing a NOT gate.</x:v>
      </x:c>
      <x:c r="U13" s="23"/>
    </x:row>
    <x:row r="14" ht="34" customHeight="1">
      <x:c r="A14" s="49" t="n">
        <x:v>6</x:v>
      </x:c>
      <x:c r="B14" s="49" t="n">
        <x:v>4</x:v>
      </x:c>
      <x:c r="C14" s="50" t="str">
        <x:v>Verilog Language</x:v>
      </x:c>
      <x:c r="D14" s="50" t="str">
        <x:v>Basics</x:v>
      </x:c>
      <x:c r="E14" s="50" t="str">
        <x:v>AND gate</x:v>
      </x:c>
      <x:c r="F14" s="50" t="str">
        <x:v>andgate</x:v>
      </x:c>
      <x:c r="G14" s="49" t="str">
        <x:v>Completed</x:v>
      </x:c>
      <x:c r="H14" s="49" t="str">
        <x:v>Day 02</x:v>
      </x:c>
      <x:c r="I14" s="51" t="n">
        <x:v>46197</x:v>
      </x:c>
      <x:c r="J14" s="49" t="str">
        <x:v>12:29:06 AM</x:v>
      </x:c>
      <x:c r="K14" s="49" t="n">
        <x:v>1</x:v>
      </x:c>
      <x:c r="L14" s="49" t="n">
        <x:v>0</x:v>
      </x:c>
      <x:c r="M14" s="49" t="n">
        <x:v>0</x:v>
      </x:c>
      <x:c r="N14" s="49" t="n">
        <x:v>0</x:v>
      </x:c>
      <x:c r="O14" s="52" t="n">
        <x:v>1</x:v>
      </x:c>
      <x:c r="P14" s="53" t="e">
        <x:f>HYPERLINK("https://github.com/kapiltrip/hdlBits/blob/main/problems/Day%2002/004-andgate.md","Note")</x:f>
        <x:v>HYPERLINK is not implemented. linkLocation=https://github.com/kapiltrip/hdlBits/blob/main/problems/Day%2002/004-andgate.md, friendlyName=Note</x:v>
      </x:c>
      <x:c r="Q14" s="53" t="e">
        <x:f>HYPERLINK("https://github.com/kapiltrip/hdlBits/blob/main/images/Day%2002/004-andgate.png","Image")</x:f>
        <x:v>HYPERLINK is not implemented. linkLocation=https://github.com/kapiltrip/hdlBits/blob/main/images/Day%2002/004-andgate.png, friendlyName=Image</x:v>
      </x:c>
      <x:c r="R14" s="53" t="e">
        <x:f>HYPERLINK("https://github.com/kapiltrip/hdlBits/blob/main/solutions/Day%2002/004-andgate.sv","Code")</x:f>
        <x:v>HYPERLINK is not implemented. linkLocation=https://github.com/kapiltrip/hdlBits/blob/main/solutions/Day%2002/004-andgate.sv, friendlyName=Code</x:v>
      </x:c>
      <x:c r="S14" s="53" t="e">
        <x:f>HYPERLINK("https://hdlbits.01xz.net/wiki/andgate","HDLBits")</x:f>
        <x:v>HYPERLINK is not implemented. linkLocation=https://hdlbits.01xz.net/wiki/andgate, friendlyName=HDLBits</x:v>
      </x:c>
      <x:c r="T14" s="50" t="str">
        <x:v>Produce an output that is high only when both input signals are high.</x:v>
      </x:c>
      <x:c r="U14" s="50"/>
    </x:row>
    <x:row r="15" ht="34" customHeight="1">
      <x:c r="A15" s="26" t="n">
        <x:v>7</x:v>
      </x:c>
      <x:c r="B15" s="26" t="n">
        <x:v>5</x:v>
      </x:c>
      <x:c r="C15" s="23" t="str">
        <x:v>Verilog Language</x:v>
      </x:c>
      <x:c r="D15" s="23" t="str">
        <x:v>Basics</x:v>
      </x:c>
      <x:c r="E15" s="23" t="str">
        <x:v>NOR gate</x:v>
      </x:c>
      <x:c r="F15" s="23" t="str">
        <x:v>norgate</x:v>
      </x:c>
      <x:c r="G15" s="26" t="str">
        <x:v>Completed</x:v>
      </x:c>
      <x:c r="H15" s="26" t="str">
        <x:v>Day 02</x:v>
      </x:c>
      <x:c r="I15" s="32" t="n">
        <x:v>46197</x:v>
      </x:c>
      <x:c r="J15" s="26" t="str">
        <x:v>12:32:05 AM</x:v>
      </x:c>
      <x:c r="K15" s="26" t="n">
        <x:v>6</x:v>
      </x:c>
      <x:c r="L15" s="26" t="n">
        <x:v>0</x:v>
      </x:c>
      <x:c r="M15" s="26" t="n">
        <x:v>4</x:v>
      </x:c>
      <x:c r="N15" s="26" t="n">
        <x:v>0</x:v>
      </x:c>
      <x:c r="O15" s="35" t="n">
        <x:v>0.33</x:v>
      </x:c>
      <x:c r="P15" s="29" t="e">
        <x:f>HYPERLINK("https://github.com/kapiltrip/hdlBits/blob/main/problems/Day%2002/005-norgate.md","Note")</x:f>
        <x:v>HYPERLINK is not implemented. linkLocation=https://github.com/kapiltrip/hdlBits/blob/main/problems/Day%2002/005-norgate.md, friendlyName=Note</x:v>
      </x:c>
      <x:c r="Q15" s="29" t="e">
        <x:f>HYPERLINK("https://github.com/kapiltrip/hdlBits/blob/main/images/Day%2002/005-norgate.png","Image")</x:f>
        <x:v>HYPERLINK is not implemented. linkLocation=https://github.com/kapiltrip/hdlBits/blob/main/images/Day%2002/005-norgate.png, friendlyName=Image</x:v>
      </x:c>
      <x:c r="R15" s="29" t="e">
        <x:f>HYPERLINK("https://github.com/kapiltrip/hdlBits/blob/main/solutions/Day%2002/005-norgate.sv","Code")</x:f>
        <x:v>HYPERLINK is not implemented. linkLocation=https://github.com/kapiltrip/hdlBits/blob/main/solutions/Day%2002/005-norgate.sv, friendlyName=Code</x:v>
      </x:c>
      <x:c r="S15" s="29" t="e">
        <x:f>HYPERLINK("https://hdlbits.01xz.net/wiki/norgate","HDLBits")</x:f>
        <x:v>HYPERLINK is not implemented. linkLocation=https://hdlbits.01xz.net/wiki/norgate, friendlyName=HDLBits</x:v>
      </x:c>
      <x:c r="T15" s="23" t="str">
        <x:v>Implement a NOR gate: OR the inputs and invert the result.</x:v>
      </x:c>
      <x:c r="U15" s="23"/>
    </x:row>
    <x:row r="16" ht="34" customHeight="1">
      <x:c r="A16" s="49" t="n">
        <x:v>8</x:v>
      </x:c>
      <x:c r="B16" s="49" t="n">
        <x:v>6</x:v>
      </x:c>
      <x:c r="C16" s="50" t="str">
        <x:v>Verilog Language</x:v>
      </x:c>
      <x:c r="D16" s="50" t="str">
        <x:v>Basics</x:v>
      </x:c>
      <x:c r="E16" s="50" t="str">
        <x:v>XNOR gate</x:v>
      </x:c>
      <x:c r="F16" s="50" t="str">
        <x:v>xnorgate</x:v>
      </x:c>
      <x:c r="G16" s="49" t="str">
        <x:v>Completed</x:v>
      </x:c>
      <x:c r="H16" s="49" t="str">
        <x:v>Day 02</x:v>
      </x:c>
      <x:c r="I16" s="51" t="n">
        <x:v>46197</x:v>
      </x:c>
      <x:c r="J16" s="49" t="str">
        <x:v>12:33:10 AM</x:v>
      </x:c>
      <x:c r="K16" s="49" t="n">
        <x:v>2</x:v>
      </x:c>
      <x:c r="L16" s="49" t="n">
        <x:v>0</x:v>
      </x:c>
      <x:c r="M16" s="49" t="n">
        <x:v>0</x:v>
      </x:c>
      <x:c r="N16" s="49" t="n">
        <x:v>0</x:v>
      </x:c>
      <x:c r="O16" s="52" t="n">
        <x:v>1</x:v>
      </x:c>
      <x:c r="P16" s="53" t="e">
        <x:f>HYPERLINK("https://github.com/kapiltrip/hdlBits/blob/main/problems/Day%2002/006-xnorgate.md","Note")</x:f>
        <x:v>HYPERLINK is not implemented. linkLocation=https://github.com/kapiltrip/hdlBits/blob/main/problems/Day%2002/006-xnorgate.md, friendlyName=Note</x:v>
      </x:c>
      <x:c r="Q16" s="53" t="e">
        <x:f>HYPERLINK("https://github.com/kapiltrip/hdlBits/blob/main/images/Day%2002/006-xnorgate.png","Image")</x:f>
        <x:v>HYPERLINK is not implemented. linkLocation=https://github.com/kapiltrip/hdlBits/blob/main/images/Day%2002/006-xnorgate.png, friendlyName=Image</x:v>
      </x:c>
      <x:c r="R16" s="53" t="e">
        <x:f>HYPERLINK("https://github.com/kapiltrip/hdlBits/blob/main/solutions/Day%2002/006-xnorgate.sv","Code")</x:f>
        <x:v>HYPERLINK is not implemented. linkLocation=https://github.com/kapiltrip/hdlBits/blob/main/solutions/Day%2002/006-xnorgate.sv, friendlyName=Code</x:v>
      </x:c>
      <x:c r="S16" s="53" t="e">
        <x:f>HYPERLINK("https://hdlbits.01xz.net/wiki/xnorgate","HDLBits")</x:f>
        <x:v>HYPERLINK is not implemented. linkLocation=https://hdlbits.01xz.net/wiki/xnorgate, friendlyName=HDLBits</x:v>
      </x:c>
      <x:c r="T16" s="50" t="str">
        <x:v>Implement an XNOR gate whose output is high when the two inputs have equal values.</x:v>
      </x:c>
      <x:c r="U16" s="50"/>
    </x:row>
    <x:row r="17" ht="34" customHeight="1">
      <x:c r="A17" s="26" t="n">
        <x:v>9</x:v>
      </x:c>
      <x:c r="B17" s="26" t="n">
        <x:v>7</x:v>
      </x:c>
      <x:c r="C17" s="23" t="str">
        <x:v>Verilog Language</x:v>
      </x:c>
      <x:c r="D17" s="23" t="str">
        <x:v>Basics</x:v>
      </x:c>
      <x:c r="E17" s="23" t="str">
        <x:v>Declaring wires</x:v>
      </x:c>
      <x:c r="F17" s="23" t="str">
        <x:v>wire_decl</x:v>
      </x:c>
      <x:c r="G17" s="26" t="str">
        <x:v>Completed</x:v>
      </x:c>
      <x:c r="H17" s="26" t="str">
        <x:v>Day 02</x:v>
      </x:c>
      <x:c r="I17" s="32" t="n">
        <x:v>46197</x:v>
      </x:c>
      <x:c r="J17" s="26" t="str">
        <x:v>12:35:55 AM</x:v>
      </x:c>
      <x:c r="K17" s="26" t="n">
        <x:v>1</x:v>
      </x:c>
      <x:c r="L17" s="26" t="n">
        <x:v>0</x:v>
      </x:c>
      <x:c r="M17" s="26" t="n">
        <x:v>0</x:v>
      </x:c>
      <x:c r="N17" s="26" t="n">
        <x:v>0</x:v>
      </x:c>
      <x:c r="O17" s="35" t="n">
        <x:v>1</x:v>
      </x:c>
      <x:c r="P17" s="29" t="e">
        <x:f>HYPERLINK("https://github.com/kapiltrip/hdlBits/blob/main/problems/Day%2002/007-wire_decl.md","Note")</x:f>
        <x:v>HYPERLINK is not implemented. linkLocation=https://github.com/kapiltrip/hdlBits/blob/main/problems/Day%2002/007-wire_decl.md, friendlyName=Note</x:v>
      </x:c>
      <x:c r="Q17" s="29" t="e">
        <x:f>HYPERLINK("https://github.com/kapiltrip/hdlBits/blob/main/images/Day%2002/007-wire_decl.png","Image")</x:f>
        <x:v>HYPERLINK is not implemented. linkLocation=https://github.com/kapiltrip/hdlBits/blob/main/images/Day%2002/007-wire_decl.png, friendlyName=Image</x:v>
      </x:c>
      <x:c r="R17" s="29" t="e">
        <x:f>HYPERLINK("https://github.com/kapiltrip/hdlBits/blob/main/solutions/Day%2002/007-wire_decl.sv","Code")</x:f>
        <x:v>HYPERLINK is not implemented. linkLocation=https://github.com/kapiltrip/hdlBits/blob/main/solutions/Day%2002/007-wire_decl.sv, friendlyName=Code</x:v>
      </x:c>
      <x:c r="S17" s="29" t="e">
        <x:f>HYPERLINK("https://hdlbits.01xz.net/wiki/wire_decl","HDLBits")</x:f>
        <x:v>HYPERLINK is not implemented. linkLocation=https://hdlbits.01xz.net/wiki/wire_decl, friendlyName=HDLBits</x:v>
      </x:c>
      <x:c r="T17" s="23" t="str">
        <x:v>Declare intermediate wires and connect the supplied gates so the module matches the shown circuit diagram.</x:v>
      </x:c>
      <x:c r="U17" s="23"/>
    </x:row>
    <x:row r="18" ht="34" customHeight="1">
      <x:c r="A18" s="49" t="n">
        <x:v>10</x:v>
      </x:c>
      <x:c r="B18" s="49" t="n">
        <x:v>8</x:v>
      </x:c>
      <x:c r="C18" s="50" t="str">
        <x:v>Verilog Language</x:v>
      </x:c>
      <x:c r="D18" s="50" t="str">
        <x:v>Basics</x:v>
      </x:c>
      <x:c r="E18" s="50" t="str">
        <x:v>7458 chip</x:v>
      </x:c>
      <x:c r="F18" s="50" t="str">
        <x:v>7458</x:v>
      </x:c>
      <x:c r="G18" s="49" t="str">
        <x:v>Completed</x:v>
      </x:c>
      <x:c r="H18" s="49" t="str">
        <x:v>Day 01</x:v>
      </x:c>
      <x:c r="I18" s="51" t="n">
        <x:v>46196</x:v>
      </x:c>
      <x:c r="J18" s="49" t="str">
        <x:v>6:15:38 PM</x:v>
      </x:c>
      <x:c r="K18" s="49" t="n">
        <x:v>1</x:v>
      </x:c>
      <x:c r="L18" s="49" t="n">
        <x:v>0</x:v>
      </x:c>
      <x:c r="M18" s="49" t="n">
        <x:v>0</x:v>
      </x:c>
      <x:c r="N18" s="49" t="n">
        <x:v>0</x:v>
      </x:c>
      <x:c r="O18" s="52" t="n">
        <x:v>1</x:v>
      </x:c>
      <x:c r="P18" s="53" t="e">
        <x:f>HYPERLINK("https://github.com/kapiltrip/hdlBits/blob/main/problems/Day%2001/008-7458.md","Note")</x:f>
        <x:v>HYPERLINK is not implemented. linkLocation=https://github.com/kapiltrip/hdlBits/blob/main/problems/Day%2001/008-7458.md, friendlyName=Note</x:v>
      </x:c>
      <x:c r="Q18" s="53" t="e">
        <x:f>HYPERLINK("https://github.com/kapiltrip/hdlBits/blob/main/images/Day%2001/008-7458.png","Image")</x:f>
        <x:v>HYPERLINK is not implemented. linkLocation=https://github.com/kapiltrip/hdlBits/blob/main/images/Day%2001/008-7458.png, friendlyName=Image</x:v>
      </x:c>
      <x:c r="R18" s="53" t="e">
        <x:f>HYPERLINK("https://github.com/kapiltrip/hdlBits/blob/main/solutions/Day%2001/008-7458.sv","Code")</x:f>
        <x:v>HYPERLINK is not implemented. linkLocation=https://github.com/kapiltrip/hdlBits/blob/main/solutions/Day%2001/008-7458.sv, friendlyName=Code</x:v>
      </x:c>
      <x:c r="S18" s="53" t="e">
        <x:f>HYPERLINK("https://hdlbits.01xz.net/wiki/7458","HDLBits")</x:f>
        <x:v>HYPERLINK is not implemented. linkLocation=https://hdlbits.01xz.net/wiki/7458, friendlyName=HDLBits</x:v>
      </x:c>
      <x:c r="T18" s="50" t="str">
        <x:v>Recreate the 7458-style sum-of-products circuit by combining several AND terms into two OR outputs.</x:v>
      </x:c>
      <x:c r="U18" s="50"/>
    </x:row>
    <x:row r="19" ht="22" customHeight="1">
      <x:c r="A19" s="79" t="str">
        <x:v>SUBSECTION · Vectors</x:v>
      </x:c>
      <x:c r="B19" s="79"/>
      <x:c r="C19" s="79"/>
      <x:c r="D19" s="79"/>
      <x:c r="E19" s="79"/>
      <x:c r="F19" s="79"/>
      <x:c r="G19" s="79"/>
      <x:c r="H19" s="79"/>
      <x:c r="I19" s="80"/>
      <x:c r="J19" s="79"/>
      <x:c r="K19" s="79"/>
      <x:c r="L19" s="79"/>
      <x:c r="M19" s="79"/>
      <x:c r="N19" s="79"/>
      <x:c r="O19" s="81"/>
      <x:c r="P19" s="79"/>
      <x:c r="Q19" s="79"/>
      <x:c r="R19" s="79"/>
      <x:c r="S19" s="79"/>
      <x:c r="T19" s="79"/>
      <x:c r="U19" s="79"/>
    </x:row>
    <x:row r="20" ht="34" customHeight="1">
      <x:c r="A20" s="26" t="n">
        <x:v>11</x:v>
      </x:c>
      <x:c r="B20" s="26" t="n">
        <x:v>9</x:v>
      </x:c>
      <x:c r="C20" s="23" t="str">
        <x:v>Verilog Language</x:v>
      </x:c>
      <x:c r="D20" s="23" t="str">
        <x:v>Vectors</x:v>
      </x:c>
      <x:c r="E20" s="23" t="str">
        <x:v>Vectors</x:v>
      </x:c>
      <x:c r="F20" s="23" t="str">
        <x:v>vector0</x:v>
      </x:c>
      <x:c r="G20" s="26" t="str">
        <x:v>Completed</x:v>
      </x:c>
      <x:c r="H20" s="26" t="str">
        <x:v>Day 01</x:v>
      </x:c>
      <x:c r="I20" s="32" t="n">
        <x:v>46196</x:v>
      </x:c>
      <x:c r="J20" s="26" t="str">
        <x:v>6:24:20 PM</x:v>
      </x:c>
      <x:c r="K20" s="26" t="n">
        <x:v>1</x:v>
      </x:c>
      <x:c r="L20" s="26" t="n">
        <x:v>0</x:v>
      </x:c>
      <x:c r="M20" s="26" t="n">
        <x:v>0</x:v>
      </x:c>
      <x:c r="N20" s="26" t="n">
        <x:v>0</x:v>
      </x:c>
      <x:c r="O20" s="35" t="n">
        <x:v>1</x:v>
      </x:c>
      <x:c r="P20" s="29" t="e">
        <x:f>HYPERLINK("https://github.com/kapiltrip/hdlBits/blob/main/problems/Day%2001/009-vector0.md","Note")</x:f>
        <x:v>HYPERLINK is not implemented. linkLocation=https://github.com/kapiltrip/hdlBits/blob/main/problems/Day%2001/009-vector0.md, friendlyName=Note</x:v>
      </x:c>
      <x:c r="Q20" s="29" t="e">
        <x:f>HYPERLINK("https://github.com/kapiltrip/hdlBits/blob/main/images/Day%2001/009-vector0.png","Image")</x:f>
        <x:v>HYPERLINK is not implemented. linkLocation=https://github.com/kapiltrip/hdlBits/blob/main/images/Day%2001/009-vector0.png, friendlyName=Image</x:v>
      </x:c>
      <x:c r="R20" s="29" t="e">
        <x:f>HYPERLINK("https://github.com/kapiltrip/hdlBits/blob/main/solutions/Day%2001/009-vector0.sv","Code")</x:f>
        <x:v>HYPERLINK is not implemented. linkLocation=https://github.com/kapiltrip/hdlBits/blob/main/solutions/Day%2001/009-vector0.sv, friendlyName=Code</x:v>
      </x:c>
      <x:c r="S20" s="29" t="e">
        <x:f>HYPERLINK("https://hdlbits.01xz.net/wiki/vector0","HDLBits")</x:f>
        <x:v>HYPERLINK is not implemented. linkLocation=https://hdlbits.01xz.net/wiki/vector0, friendlyName=HDLBits</x:v>
      </x:c>
      <x:c r="T20" s="23" t="str">
        <x:v>Declare vector ports with the required widths and connect the complete input bus to the output bus.</x:v>
      </x:c>
      <x:c r="U20" s="23"/>
    </x:row>
    <x:row r="21" ht="34" customHeight="1">
      <x:c r="A21" s="49" t="n">
        <x:v>12</x:v>
      </x:c>
      <x:c r="B21" s="49" t="n">
        <x:v>10</x:v>
      </x:c>
      <x:c r="C21" s="50" t="str">
        <x:v>Verilog Language</x:v>
      </x:c>
      <x:c r="D21" s="50" t="str">
        <x:v>Vectors</x:v>
      </x:c>
      <x:c r="E21" s="50" t="str">
        <x:v>Vectors in more detail</x:v>
      </x:c>
      <x:c r="F21" s="50" t="str">
        <x:v>vector1</x:v>
      </x:c>
      <x:c r="G21" s="49" t="str">
        <x:v>Completed</x:v>
      </x:c>
      <x:c r="H21" s="49" t="str">
        <x:v>Day 01</x:v>
      </x:c>
      <x:c r="I21" s="51" t="n">
        <x:v>46196</x:v>
      </x:c>
      <x:c r="J21" s="49" t="str">
        <x:v>9:45:09 PM</x:v>
      </x:c>
      <x:c r="K21" s="49" t="n">
        <x:v>10</x:v>
      </x:c>
      <x:c r="L21" s="49" t="n">
        <x:v>0</x:v>
      </x:c>
      <x:c r="M21" s="49" t="n">
        <x:v>9</x:v>
      </x:c>
      <x:c r="N21" s="49" t="n">
        <x:v>0</x:v>
      </x:c>
      <x:c r="O21" s="52" t="n">
        <x:v>0.1</x:v>
      </x:c>
      <x:c r="P21" s="53" t="e">
        <x:f>HYPERLINK("https://github.com/kapiltrip/hdlBits/blob/main/problems/Day%2001/010-vector1.md","Note")</x:f>
        <x:v>HYPERLINK is not implemented. linkLocation=https://github.com/kapiltrip/hdlBits/blob/main/problems/Day%2001/010-vector1.md, friendlyName=Note</x:v>
      </x:c>
      <x:c r="Q21" s="53" t="e">
        <x:f>HYPERLINK("https://github.com/kapiltrip/hdlBits/blob/main/images/Day%2001/010-vector1.png","Image")</x:f>
        <x:v>HYPERLINK is not implemented. linkLocation=https://github.com/kapiltrip/hdlBits/blob/main/images/Day%2001/010-vector1.png, friendlyName=Image</x:v>
      </x:c>
      <x:c r="R21" s="53" t="e">
        <x:f>HYPERLINK("https://github.com/kapiltrip/hdlBits/blob/main/solutions/Day%2001/010-vector1.sv","Code")</x:f>
        <x:v>HYPERLINK is not implemented. linkLocation=https://github.com/kapiltrip/hdlBits/blob/main/solutions/Day%2001/010-vector1.sv, friendlyName=Code</x:v>
      </x:c>
      <x:c r="S21" s="53" t="e">
        <x:f>HYPERLINK("https://hdlbits.01xz.net/wiki/vector1","HDLBits")</x:f>
        <x:v>HYPERLINK is not implemented. linkLocation=https://hdlbits.01xz.net/wiki/vector1, friendlyName=HDLBits</x:v>
      </x:c>
      <x:c r="T21" s="50" t="str">
        <x:v>Practice vector declarations, bit ordering, and selecting individual bits from buses with different index directions.</x:v>
      </x:c>
      <x:c r="U21" s="50"/>
    </x:row>
    <x:row r="22" ht="34" customHeight="1">
      <x:c r="A22" s="26" t="n">
        <x:v>13</x:v>
      </x:c>
      <x:c r="B22" s="26" t="n">
        <x:v>11</x:v>
      </x:c>
      <x:c r="C22" s="23" t="str">
        <x:v>Verilog Language</x:v>
      </x:c>
      <x:c r="D22" s="23" t="str">
        <x:v>Vectors</x:v>
      </x:c>
      <x:c r="E22" s="23" t="str">
        <x:v>Vector part select</x:v>
      </x:c>
      <x:c r="F22" s="23" t="str">
        <x:v>vector2</x:v>
      </x:c>
      <x:c r="G22" s="26" t="str">
        <x:v>Completed</x:v>
      </x:c>
      <x:c r="H22" s="26" t="str">
        <x:v>Day 01</x:v>
      </x:c>
      <x:c r="I22" s="32" t="n">
        <x:v>46196</x:v>
      </x:c>
      <x:c r="J22" s="26" t="str">
        <x:v>9:56:38 PM</x:v>
      </x:c>
      <x:c r="K22" s="26" t="n">
        <x:v>3</x:v>
      </x:c>
      <x:c r="L22" s="26" t="n">
        <x:v>0</x:v>
      </x:c>
      <x:c r="M22" s="26" t="n">
        <x:v>2</x:v>
      </x:c>
      <x:c r="N22" s="26" t="n">
        <x:v>0</x:v>
      </x:c>
      <x:c r="O22" s="35" t="n">
        <x:v>0.33</x:v>
      </x:c>
      <x:c r="P22" s="29" t="e">
        <x:f>HYPERLINK("https://github.com/kapiltrip/hdlBits/blob/main/problems/Day%2001/011-vector2.md","Note")</x:f>
        <x:v>HYPERLINK is not implemented. linkLocation=https://github.com/kapiltrip/hdlBits/blob/main/problems/Day%2001/011-vector2.md, friendlyName=Note</x:v>
      </x:c>
      <x:c r="Q22" s="29" t="e">
        <x:f>HYPERLINK("https://github.com/kapiltrip/hdlBits/blob/main/images/Day%2001/011-vector2.png","Image")</x:f>
        <x:v>HYPERLINK is not implemented. linkLocation=https://github.com/kapiltrip/hdlBits/blob/main/images/Day%2001/011-vector2.png, friendlyName=Image</x:v>
      </x:c>
      <x:c r="R22" s="29" t="e">
        <x:f>HYPERLINK("https://github.com/kapiltrip/hdlBits/blob/main/solutions/Day%2001/011-vector2.sv","Code")</x:f>
        <x:v>HYPERLINK is not implemented. linkLocation=https://github.com/kapiltrip/hdlBits/blob/main/solutions/Day%2001/011-vector2.sv, friendlyName=Code</x:v>
      </x:c>
      <x:c r="S22" s="29" t="e">
        <x:f>HYPERLINK("https://hdlbits.01xz.net/wiki/vector2","HDLBits")</x:f>
        <x:v>HYPERLINK is not implemented. linkLocation=https://hdlbits.01xz.net/wiki/vector2, friendlyName=HDLBits</x:v>
      </x:c>
      <x:c r="T22" s="23" t="str">
        <x:v>Split a 16-bit input vector into its upper and lower 8-bit halves and route them to separate outputs.</x:v>
      </x:c>
      <x:c r="U22" s="23"/>
    </x:row>
    <x:row r="23" ht="34" customHeight="1">
      <x:c r="A23" s="49" t="n">
        <x:v>14</x:v>
      </x:c>
      <x:c r="B23" s="49" t="n">
        <x:v>12</x:v>
      </x:c>
      <x:c r="C23" s="50" t="str">
        <x:v>Verilog Language</x:v>
      </x:c>
      <x:c r="D23" s="50" t="str">
        <x:v>Vectors</x:v>
      </x:c>
      <x:c r="E23" s="50" t="str">
        <x:v>Bitwise operators</x:v>
      </x:c>
      <x:c r="F23" s="50" t="str">
        <x:v>vectorgates</x:v>
      </x:c>
      <x:c r="G23" s="49" t="str">
        <x:v>Completed</x:v>
      </x:c>
      <x:c r="H23" s="49" t="str">
        <x:v>Day 01</x:v>
      </x:c>
      <x:c r="I23" s="51" t="n">
        <x:v>46196</x:v>
      </x:c>
      <x:c r="J23" s="49" t="str">
        <x:v>10:04:38 PM</x:v>
      </x:c>
      <x:c r="K23" s="49" t="n">
        <x:v>1</x:v>
      </x:c>
      <x:c r="L23" s="49" t="n">
        <x:v>0</x:v>
      </x:c>
      <x:c r="M23" s="49" t="n">
        <x:v>0</x:v>
      </x:c>
      <x:c r="N23" s="49" t="n">
        <x:v>0</x:v>
      </x:c>
      <x:c r="O23" s="52" t="n">
        <x:v>1</x:v>
      </x:c>
      <x:c r="P23" s="53" t="e">
        <x:f>HYPERLINK("https://github.com/kapiltrip/hdlBits/blob/main/problems/Day%2001/012-vectorgates.md","Note")</x:f>
        <x:v>HYPERLINK is not implemented. linkLocation=https://github.com/kapiltrip/hdlBits/blob/main/problems/Day%2001/012-vectorgates.md, friendlyName=Note</x:v>
      </x:c>
      <x:c r="Q23" s="53" t="e">
        <x:f>HYPERLINK("https://github.com/kapiltrip/hdlBits/blob/main/images/Day%2001/012-vectorgates.png","Image")</x:f>
        <x:v>HYPERLINK is not implemented. linkLocation=https://github.com/kapiltrip/hdlBits/blob/main/images/Day%2001/012-vectorgates.png, friendlyName=Image</x:v>
      </x:c>
      <x:c r="R23" s="53" t="e">
        <x:f>HYPERLINK("https://github.com/kapiltrip/hdlBits/blob/main/solutions/Day%2001/012-vectorgates.sv","Code")</x:f>
        <x:v>HYPERLINK is not implemented. linkLocation=https://github.com/kapiltrip/hdlBits/blob/main/solutions/Day%2001/012-vectorgates.sv, friendlyName=Code</x:v>
      </x:c>
      <x:c r="S23" s="53" t="e">
        <x:f>HYPERLINK("https://hdlbits.01xz.net/wiki/vectorgates","HDLBits")</x:f>
        <x:v>HYPERLINK is not implemented. linkLocation=https://hdlbits.01xz.net/wiki/vectorgates, friendlyName=HDLBits</x:v>
      </x:c>
      <x:c r="T23" s="50" t="str">
        <x:v>Apply bitwise OR, logical OR, and bitwise inversion to vectors so their different behaviours are visible.</x:v>
      </x:c>
      <x:c r="U23" s="50"/>
    </x:row>
    <x:row r="24" ht="34" customHeight="1">
      <x:c r="A24" s="26" t="n">
        <x:v>15</x:v>
      </x:c>
      <x:c r="B24" s="26" t="n">
        <x:v>13</x:v>
      </x:c>
      <x:c r="C24" s="23" t="str">
        <x:v>Verilog Language</x:v>
      </x:c>
      <x:c r="D24" s="23" t="str">
        <x:v>Vectors</x:v>
      </x:c>
      <x:c r="E24" s="23" t="str">
        <x:v>Four-input gates</x:v>
      </x:c>
      <x:c r="F24" s="23" t="str">
        <x:v>gates4</x:v>
      </x:c>
      <x:c r="G24" s="26" t="str">
        <x:v>Completed</x:v>
      </x:c>
      <x:c r="H24" s="26" t="str">
        <x:v>Day 01</x:v>
      </x:c>
      <x:c r="I24" s="32" t="n">
        <x:v>46196</x:v>
      </x:c>
      <x:c r="J24" s="26" t="str">
        <x:v>10:24:24 PM</x:v>
      </x:c>
      <x:c r="K24" s="26" t="n">
        <x:v>8</x:v>
      </x:c>
      <x:c r="L24" s="26" t="n">
        <x:v>0</x:v>
      </x:c>
      <x:c r="M24" s="26" t="n">
        <x:v>7</x:v>
      </x:c>
      <x:c r="N24" s="26" t="n">
        <x:v>0</x:v>
      </x:c>
      <x:c r="O24" s="35" t="n">
        <x:v>0.13</x:v>
      </x:c>
      <x:c r="P24" s="29" t="e">
        <x:f>HYPERLINK("https://github.com/kapiltrip/hdlBits/blob/main/problems/Day%2001/013-gates4.md","Note")</x:f>
        <x:v>HYPERLINK is not implemented. linkLocation=https://github.com/kapiltrip/hdlBits/blob/main/problems/Day%2001/013-gates4.md, friendlyName=Note</x:v>
      </x:c>
      <x:c r="Q24" s="29" t="e">
        <x:f>HYPERLINK("https://github.com/kapiltrip/hdlBits/blob/main/images/Day%2001/013-gates4.png","Image")</x:f>
        <x:v>HYPERLINK is not implemented. linkLocation=https://github.com/kapiltrip/hdlBits/blob/main/images/Day%2001/013-gates4.png, friendlyName=Image</x:v>
      </x:c>
      <x:c r="R24" s="29" t="e">
        <x:f>HYPERLINK("https://github.com/kapiltrip/hdlBits/blob/main/solutions/Day%2001/013-gates4.sv","Code")</x:f>
        <x:v>HYPERLINK is not implemented. linkLocation=https://github.com/kapiltrip/hdlBits/blob/main/solutions/Day%2001/013-gates4.sv, friendlyName=Code</x:v>
      </x:c>
      <x:c r="S24" s="29" t="e">
        <x:f>HYPERLINK("https://hdlbits.01xz.net/wiki/gates4","HDLBits")</x:f>
        <x:v>HYPERLINK is not implemented. linkLocation=https://hdlbits.01xz.net/wiki/gates4, friendlyName=HDLBits</x:v>
      </x:c>
      <x:c r="T24" s="23" t="str">
        <x:v>Use reduction operators to compute one-bit AND, OR, and XOR results across all four input bits.</x:v>
      </x:c>
      <x:c r="U24" s="23"/>
    </x:row>
    <x:row r="25" ht="34" customHeight="1">
      <x:c r="A25" s="49" t="n">
        <x:v>16</x:v>
      </x:c>
      <x:c r="B25" s="49" t="n">
        <x:v>14</x:v>
      </x:c>
      <x:c r="C25" s="50" t="str">
        <x:v>Verilog Language</x:v>
      </x:c>
      <x:c r="D25" s="50" t="str">
        <x:v>Vectors</x:v>
      </x:c>
      <x:c r="E25" s="50" t="str">
        <x:v>Vector concatenation operator</x:v>
      </x:c>
      <x:c r="F25" s="50" t="str">
        <x:v>vector3</x:v>
      </x:c>
      <x:c r="G25" s="49" t="str">
        <x:v>Completed</x:v>
      </x:c>
      <x:c r="H25" s="49" t="str">
        <x:v>Day 01</x:v>
      </x:c>
      <x:c r="I25" s="51" t="n">
        <x:v>46196</x:v>
      </x:c>
      <x:c r="J25" s="49" t="str">
        <x:v>10:56:44 PM</x:v>
      </x:c>
      <x:c r="K25" s="49" t="n">
        <x:v>8</x:v>
      </x:c>
      <x:c r="L25" s="49" t="n">
        <x:v>0</x:v>
      </x:c>
      <x:c r="M25" s="49" t="n">
        <x:v>7</x:v>
      </x:c>
      <x:c r="N25" s="49" t="n">
        <x:v>0</x:v>
      </x:c>
      <x:c r="O25" s="52" t="n">
        <x:v>0.13</x:v>
      </x:c>
      <x:c r="P25" s="53" t="e">
        <x:f>HYPERLINK("https://github.com/kapiltrip/hdlBits/blob/main/problems/Day%2001/014-vector3.md","Note")</x:f>
        <x:v>HYPERLINK is not implemented. linkLocation=https://github.com/kapiltrip/hdlBits/blob/main/problems/Day%2001/014-vector3.md, friendlyName=Note</x:v>
      </x:c>
      <x:c r="Q25" s="53" t="e">
        <x:f>HYPERLINK("https://github.com/kapiltrip/hdlBits/blob/main/images/Day%2001/014-vector3.png","Image")</x:f>
        <x:v>HYPERLINK is not implemented. linkLocation=https://github.com/kapiltrip/hdlBits/blob/main/images/Day%2001/014-vector3.png, friendlyName=Image</x:v>
      </x:c>
      <x:c r="R25" s="53" t="e">
        <x:f>HYPERLINK("https://github.com/kapiltrip/hdlBits/blob/main/solutions/Day%2001/014-vector3.sv","Code")</x:f>
        <x:v>HYPERLINK is not implemented. linkLocation=https://github.com/kapiltrip/hdlBits/blob/main/solutions/Day%2001/014-vector3.sv, friendlyName=Code</x:v>
      </x:c>
      <x:c r="S25" s="53" t="e">
        <x:f>HYPERLINK("https://hdlbits.01xz.net/wiki/vector3","HDLBits")</x:f>
        <x:v>HYPERLINK is not implemented. linkLocation=https://hdlbits.01xz.net/wiki/vector3, friendlyName=HDLBits</x:v>
      </x:c>
      <x:c r="T25" s="50" t="str">
        <x:v>Use concatenation to regroup the input vectors and assign the requested output vectors in the specified bit order.</x:v>
      </x:c>
      <x:c r="U25" s="50"/>
    </x:row>
    <x:row r="26" ht="34" customHeight="1">
      <x:c r="A26" s="26" t="n">
        <x:v>17</x:v>
      </x:c>
      <x:c r="B26" s="26" t="n">
        <x:v>15</x:v>
      </x:c>
      <x:c r="C26" s="23" t="str">
        <x:v>Verilog Language</x:v>
      </x:c>
      <x:c r="D26" s="23" t="str">
        <x:v>Vectors</x:v>
      </x:c>
      <x:c r="E26" s="23" t="str">
        <x:v>Vector reversal 1</x:v>
      </x:c>
      <x:c r="F26" s="23" t="str">
        <x:v>vectorr</x:v>
      </x:c>
      <x:c r="G26" s="26" t="str">
        <x:v>Completed</x:v>
      </x:c>
      <x:c r="H26" s="26" t="str">
        <x:v>Day 01</x:v>
      </x:c>
      <x:c r="I26" s="32" t="n">
        <x:v>46196</x:v>
      </x:c>
      <x:c r="J26" s="26" t="str">
        <x:v>11:34:51 PM</x:v>
      </x:c>
      <x:c r="K26" s="26" t="n">
        <x:v>2</x:v>
      </x:c>
      <x:c r="L26" s="26" t="n">
        <x:v>0</x:v>
      </x:c>
      <x:c r="M26" s="26" t="n">
        <x:v>1</x:v>
      </x:c>
      <x:c r="N26" s="26" t="n">
        <x:v>0</x:v>
      </x:c>
      <x:c r="O26" s="35" t="n">
        <x:v>0.5</x:v>
      </x:c>
      <x:c r="P26" s="29" t="e">
        <x:f>HYPERLINK("https://github.com/kapiltrip/hdlBits/blob/main/problems/Day%2001/015-vectorr.md","Note")</x:f>
        <x:v>HYPERLINK is not implemented. linkLocation=https://github.com/kapiltrip/hdlBits/blob/main/problems/Day%2001/015-vectorr.md, friendlyName=Note</x:v>
      </x:c>
      <x:c r="Q26" s="29" t="e">
        <x:f>HYPERLINK("https://github.com/kapiltrip/hdlBits/blob/main/images/Day%2001/015-vectorr.png","Image")</x:f>
        <x:v>HYPERLINK is not implemented. linkLocation=https://github.com/kapiltrip/hdlBits/blob/main/images/Day%2001/015-vectorr.png, friendlyName=Image</x:v>
      </x:c>
      <x:c r="R26" s="29" t="e">
        <x:f>HYPERLINK("https://github.com/kapiltrip/hdlBits/blob/main/solutions/Day%2001/015-vectorr.sv","Code")</x:f>
        <x:v>HYPERLINK is not implemented. linkLocation=https://github.com/kapiltrip/hdlBits/blob/main/solutions/Day%2001/015-vectorr.sv, friendlyName=Code</x:v>
      </x:c>
      <x:c r="S26" s="29" t="e">
        <x:f>HYPERLINK("https://hdlbits.01xz.net/wiki/vectorr","HDLBits")</x:f>
        <x:v>HYPERLINK is not implemented. linkLocation=https://hdlbits.01xz.net/wiki/vectorr, friendlyName=HDLBits</x:v>
      </x:c>
      <x:c r="T26" s="23" t="str">
        <x:v>Reverse the bit order of the input vector so the most-significant and least-significant positions swap.</x:v>
      </x:c>
      <x:c r="U26" s="23"/>
    </x:row>
    <x:row r="27" ht="34" customHeight="1">
      <x:c r="A27" s="49" t="n">
        <x:v>18</x:v>
      </x:c>
      <x:c r="B27" s="49" t="n">
        <x:v>16</x:v>
      </x:c>
      <x:c r="C27" s="50" t="str">
        <x:v>Verilog Language</x:v>
      </x:c>
      <x:c r="D27" s="50" t="str">
        <x:v>Vectors</x:v>
      </x:c>
      <x:c r="E27" s="50" t="str">
        <x:v>Replication operator</x:v>
      </x:c>
      <x:c r="F27" s="50" t="str">
        <x:v>vector4</x:v>
      </x:c>
      <x:c r="G27" s="49" t="str">
        <x:v>Completed</x:v>
      </x:c>
      <x:c r="H27" s="49" t="str">
        <x:v>Day 01</x:v>
      </x:c>
      <x:c r="I27" s="51" t="n">
        <x:v>46196</x:v>
      </x:c>
      <x:c r="J27" s="49" t="str">
        <x:v>11:49:31 PM</x:v>
      </x:c>
      <x:c r="K27" s="49" t="n">
        <x:v>9</x:v>
      </x:c>
      <x:c r="L27" s="49" t="n">
        <x:v>0</x:v>
      </x:c>
      <x:c r="M27" s="49" t="n">
        <x:v>8</x:v>
      </x:c>
      <x:c r="N27" s="49" t="n">
        <x:v>0</x:v>
      </x:c>
      <x:c r="O27" s="52" t="n">
        <x:v>0.11</x:v>
      </x:c>
      <x:c r="P27" s="53" t="e">
        <x:f>HYPERLINK("https://github.com/kapiltrip/hdlBits/blob/main/problems/Day%2001/016-vector4.md","Note")</x:f>
        <x:v>HYPERLINK is not implemented. linkLocation=https://github.com/kapiltrip/hdlBits/blob/main/problems/Day%2001/016-vector4.md, friendlyName=Note</x:v>
      </x:c>
      <x:c r="Q27" s="53" t="e">
        <x:f>HYPERLINK("https://github.com/kapiltrip/hdlBits/blob/main/images/Day%2001/016-vector4.png","Image")</x:f>
        <x:v>HYPERLINK is not implemented. linkLocation=https://github.com/kapiltrip/hdlBits/blob/main/images/Day%2001/016-vector4.png, friendlyName=Image</x:v>
      </x:c>
      <x:c r="R27" s="53" t="e">
        <x:f>HYPERLINK("https://github.com/kapiltrip/hdlBits/blob/main/solutions/Day%2001/016-vector4.sv","Code")</x:f>
        <x:v>HYPERLINK is not implemented. linkLocation=https://github.com/kapiltrip/hdlBits/blob/main/solutions/Day%2001/016-vector4.sv, friendlyName=Code</x:v>
      </x:c>
      <x:c r="S27" s="53" t="e">
        <x:f>HYPERLINK("https://hdlbits.01xz.net/wiki/vector4","HDLBits")</x:f>
        <x:v>HYPERLINK is not implemented. linkLocation=https://hdlbits.01xz.net/wiki/vector4, friendlyName=HDLBits</x:v>
      </x:c>
      <x:c r="T27" s="50" t="str">
        <x:v>Use the replication operator to repeat a bit pattern and form the required wider output vector.</x:v>
      </x:c>
      <x:c r="U27" s="50"/>
    </x:row>
    <x:row r="28" ht="34" customHeight="1">
      <x:c r="A28" s="26" t="n">
        <x:v>19</x:v>
      </x:c>
      <x:c r="B28" s="26" t="n">
        <x:v>17</x:v>
      </x:c>
      <x:c r="C28" s="23" t="str">
        <x:v>Verilog Language</x:v>
      </x:c>
      <x:c r="D28" s="23" t="str">
        <x:v>Vectors</x:v>
      </x:c>
      <x:c r="E28" s="23" t="str">
        <x:v>More replication</x:v>
      </x:c>
      <x:c r="F28" s="23" t="str">
        <x:v>vector5</x:v>
      </x:c>
      <x:c r="G28" s="26" t="str">
        <x:v>Completed</x:v>
      </x:c>
      <x:c r="H28" s="26" t="str">
        <x:v>Day 02</x:v>
      </x:c>
      <x:c r="I28" s="32" t="n">
        <x:v>46197</x:v>
      </x:c>
      <x:c r="J28" s="26" t="str">
        <x:v>12:26:24 AM</x:v>
      </x:c>
      <x:c r="K28" s="26" t="n">
        <x:v>5</x:v>
      </x:c>
      <x:c r="L28" s="26" t="n">
        <x:v>0</x:v>
      </x:c>
      <x:c r="M28" s="26" t="n">
        <x:v>4</x:v>
      </x:c>
      <x:c r="N28" s="26" t="n">
        <x:v>0</x:v>
      </x:c>
      <x:c r="O28" s="35" t="n">
        <x:v>0.2</x:v>
      </x:c>
      <x:c r="P28" s="29" t="e">
        <x:f>HYPERLINK("https://github.com/kapiltrip/hdlBits/blob/main/problems/Day%2002/017-vector5.md","Note")</x:f>
        <x:v>HYPERLINK is not implemented. linkLocation=https://github.com/kapiltrip/hdlBits/blob/main/problems/Day%2002/017-vector5.md, friendlyName=Note</x:v>
      </x:c>
      <x:c r="Q28" s="29" t="e">
        <x:f>HYPERLINK("https://github.com/kapiltrip/hdlBits/blob/main/images/Day%2002/017-vector5.png","Image")</x:f>
        <x:v>HYPERLINK is not implemented. linkLocation=https://github.com/kapiltrip/hdlBits/blob/main/images/Day%2002/017-vector5.png, friendlyName=Image</x:v>
      </x:c>
      <x:c r="R28" s="29" t="e">
        <x:f>HYPERLINK("https://github.com/kapiltrip/hdlBits/blob/main/solutions/Day%2002/017-vector5.sv","Code")</x:f>
        <x:v>HYPERLINK is not implemented. linkLocation=https://github.com/kapiltrip/hdlBits/blob/main/solutions/Day%2002/017-vector5.sv, friendlyName=Code</x:v>
      </x:c>
      <x:c r="S28" s="29" t="e">
        <x:f>HYPERLINK("https://hdlbits.01xz.net/wiki/vector5","HDLBits")</x:f>
        <x:v>HYPERLINK is not implemented. linkLocation=https://hdlbits.01xz.net/wiki/vector5, friendlyName=HDLBits</x:v>
      </x:c>
      <x:c r="T28" s="23" t="str">
        <x:v>Combine replication and concatenation to build widened vectors and compare them bit by bit.</x:v>
      </x:c>
      <x:c r="U28" s="23"/>
    </x:row>
    <x:row r="29" ht="22" customHeight="1">
      <x:c r="A29" s="79" t="str">
        <x:v>SUBSECTION · Modules: Hierarchy</x:v>
      </x:c>
      <x:c r="B29" s="79"/>
      <x:c r="C29" s="79"/>
      <x:c r="D29" s="79"/>
      <x:c r="E29" s="79"/>
      <x:c r="F29" s="79"/>
      <x:c r="G29" s="79"/>
      <x:c r="H29" s="79"/>
      <x:c r="I29" s="80"/>
      <x:c r="J29" s="79"/>
      <x:c r="K29" s="79"/>
      <x:c r="L29" s="79"/>
      <x:c r="M29" s="79"/>
      <x:c r="N29" s="79"/>
      <x:c r="O29" s="81"/>
      <x:c r="P29" s="79"/>
      <x:c r="Q29" s="79"/>
      <x:c r="R29" s="79"/>
      <x:c r="S29" s="79"/>
      <x:c r="T29" s="79"/>
      <x:c r="U29" s="79"/>
    </x:row>
    <x:row r="30" ht="34" customHeight="1">
      <x:c r="A30" s="49" t="n">
        <x:v>20</x:v>
      </x:c>
      <x:c r="B30" s="49" t="n">
        <x:v>18</x:v>
      </x:c>
      <x:c r="C30" s="50" t="str">
        <x:v>Verilog Language</x:v>
      </x:c>
      <x:c r="D30" s="50" t="str">
        <x:v>Modules: Hierarchy</x:v>
      </x:c>
      <x:c r="E30" s="50" t="str">
        <x:v>Modules</x:v>
      </x:c>
      <x:c r="F30" s="50" t="str">
        <x:v>module</x:v>
      </x:c>
      <x:c r="G30" s="49" t="str">
        <x:v>Completed</x:v>
      </x:c>
      <x:c r="H30" s="49" t="str">
        <x:v>Day 02</x:v>
      </x:c>
      <x:c r="I30" s="51" t="n">
        <x:v>46197</x:v>
      </x:c>
      <x:c r="J30" s="49" t="str">
        <x:v>1:24:31 PM</x:v>
      </x:c>
      <x:c r="K30" s="49" t="n">
        <x:v>1</x:v>
      </x:c>
      <x:c r="L30" s="49" t="n">
        <x:v>0</x:v>
      </x:c>
      <x:c r="M30" s="49" t="n">
        <x:v>0</x:v>
      </x:c>
      <x:c r="N30" s="49" t="n">
        <x:v>0</x:v>
      </x:c>
      <x:c r="O30" s="52" t="n">
        <x:v>1</x:v>
      </x:c>
      <x:c r="P30" s="53" t="e">
        <x:f>HYPERLINK("https://github.com/kapiltrip/hdlBits/blob/main/problems/Day%2002/018-module.md","Note")</x:f>
        <x:v>HYPERLINK is not implemented. linkLocation=https://github.com/kapiltrip/hdlBits/blob/main/problems/Day%2002/018-module.md, friendlyName=Note</x:v>
      </x:c>
      <x:c r="Q30" s="53" t="e">
        <x:f>HYPERLINK("https://github.com/kapiltrip/hdlBits/blob/main/images/Day%2002/018-module.png","Image")</x:f>
        <x:v>HYPERLINK is not implemented. linkLocation=https://github.com/kapiltrip/hdlBits/blob/main/images/Day%2002/018-module.png, friendlyName=Image</x:v>
      </x:c>
      <x:c r="R30" s="53" t="e">
        <x:f>HYPERLINK("https://github.com/kapiltrip/hdlBits/blob/main/solutions/Day%2002/018-module.sv","Code")</x:f>
        <x:v>HYPERLINK is not implemented. linkLocation=https://github.com/kapiltrip/hdlBits/blob/main/solutions/Day%2002/018-module.sv, friendlyName=Code</x:v>
      </x:c>
      <x:c r="S30" s="53" t="e">
        <x:f>HYPERLINK("https://hdlbits.01xz.net/wiki/module","HDLBits")</x:f>
        <x:v>HYPERLINK is not implemented. linkLocation=https://hdlbits.01xz.net/wiki/module, friendlyName=HDLBits</x:v>
      </x:c>
      <x:c r="T30" s="50" t="str">
        <x:v>Instantiate the provided submodule and connect its input and output ports to the top-level module.</x:v>
      </x:c>
      <x:c r="U30" s="50"/>
    </x:row>
    <x:row r="31" ht="34" customHeight="1">
      <x:c r="A31" s="26" t="n">
        <x:v>21</x:v>
      </x:c>
      <x:c r="B31" s="26" t="n">
        <x:v>19</x:v>
      </x:c>
      <x:c r="C31" s="23" t="str">
        <x:v>Verilog Language</x:v>
      </x:c>
      <x:c r="D31" s="23" t="str">
        <x:v>Modules: Hierarchy</x:v>
      </x:c>
      <x:c r="E31" s="23" t="str">
        <x:v>Connecting ports by position</x:v>
      </x:c>
      <x:c r="F31" s="23" t="str">
        <x:v>module_pos</x:v>
      </x:c>
      <x:c r="G31" s="26" t="str">
        <x:v>Completed</x:v>
      </x:c>
      <x:c r="H31" s="26" t="str">
        <x:v>Day 02</x:v>
      </x:c>
      <x:c r="I31" s="32" t="n">
        <x:v>46197</x:v>
      </x:c>
      <x:c r="J31" s="26" t="str">
        <x:v>1:28:26 PM</x:v>
      </x:c>
      <x:c r="K31" s="26" t="n">
        <x:v>2</x:v>
      </x:c>
      <x:c r="L31" s="26" t="n">
        <x:v>0</x:v>
      </x:c>
      <x:c r="M31" s="26" t="n">
        <x:v>0</x:v>
      </x:c>
      <x:c r="N31" s="26" t="n">
        <x:v>0</x:v>
      </x:c>
      <x:c r="O31" s="35" t="n">
        <x:v>1</x:v>
      </x:c>
      <x:c r="P31" s="29" t="e">
        <x:f>HYPERLINK("https://github.com/kapiltrip/hdlBits/blob/main/problems/Day%2002/019-module_pos.md","Note")</x:f>
        <x:v>HYPERLINK is not implemented. linkLocation=https://github.com/kapiltrip/hdlBits/blob/main/problems/Day%2002/019-module_pos.md, friendlyName=Note</x:v>
      </x:c>
      <x:c r="Q31" s="29" t="e">
        <x:f>HYPERLINK("https://github.com/kapiltrip/hdlBits/blob/main/images/Day%2002/019-module_pos.png","Image")</x:f>
        <x:v>HYPERLINK is not implemented. linkLocation=https://github.com/kapiltrip/hdlBits/blob/main/images/Day%2002/019-module_pos.png, friendlyName=Image</x:v>
      </x:c>
      <x:c r="R31" s="29" t="e">
        <x:f>HYPERLINK("https://github.com/kapiltrip/hdlBits/blob/main/solutions/Day%2002/019-module_pos.sv","Code")</x:f>
        <x:v>HYPERLINK is not implemented. linkLocation=https://github.com/kapiltrip/hdlBits/blob/main/solutions/Day%2002/019-module_pos.sv, friendlyName=Code</x:v>
      </x:c>
      <x:c r="S31" s="29" t="e">
        <x:f>HYPERLINK("https://hdlbits.01xz.net/wiki/module_pos","HDLBits")</x:f>
        <x:v>HYPERLINK is not implemented. linkLocation=https://hdlbits.01xz.net/wiki/module_pos, friendlyName=HDLBits</x:v>
      </x:c>
      <x:c r="T31" s="23" t="str">
        <x:v>Instantiate a module and connect its ports by position, keeping the connection order exactly correct.</x:v>
      </x:c>
      <x:c r="U31" s="23"/>
    </x:row>
    <x:row r="32" ht="34" customHeight="1">
      <x:c r="A32" s="49" t="n">
        <x:v>22</x:v>
      </x:c>
      <x:c r="B32" s="49" t="n">
        <x:v>20</x:v>
      </x:c>
      <x:c r="C32" s="50" t="str">
        <x:v>Verilog Language</x:v>
      </x:c>
      <x:c r="D32" s="50" t="str">
        <x:v>Modules: Hierarchy</x:v>
      </x:c>
      <x:c r="E32" s="50" t="str">
        <x:v>Connecting ports by name</x:v>
      </x:c>
      <x:c r="F32" s="50" t="str">
        <x:v>module_name</x:v>
      </x:c>
      <x:c r="G32" s="49" t="str">
        <x:v>Completed</x:v>
      </x:c>
      <x:c r="H32" s="49" t="str">
        <x:v>Day 02</x:v>
      </x:c>
      <x:c r="I32" s="51" t="n">
        <x:v>46197</x:v>
      </x:c>
      <x:c r="J32" s="49" t="str">
        <x:v>1:31:10 PM</x:v>
      </x:c>
      <x:c r="K32" s="49" t="n">
        <x:v>1</x:v>
      </x:c>
      <x:c r="L32" s="49" t="n">
        <x:v>0</x:v>
      </x:c>
      <x:c r="M32" s="49" t="n">
        <x:v>0</x:v>
      </x:c>
      <x:c r="N32" s="49" t="n">
        <x:v>0</x:v>
      </x:c>
      <x:c r="O32" s="52" t="n">
        <x:v>1</x:v>
      </x:c>
      <x:c r="P32" s="53" t="e">
        <x:f>HYPERLINK("https://github.com/kapiltrip/hdlBits/blob/main/problems/Day%2002/020-module_name.md","Note")</x:f>
        <x:v>HYPERLINK is not implemented. linkLocation=https://github.com/kapiltrip/hdlBits/blob/main/problems/Day%2002/020-module_name.md, friendlyName=Note</x:v>
      </x:c>
      <x:c r="Q32" s="53" t="e">
        <x:f>HYPERLINK("https://github.com/kapiltrip/hdlBits/blob/main/images/Day%2002/020-module_name.png","Image")</x:f>
        <x:v>HYPERLINK is not implemented. linkLocation=https://github.com/kapiltrip/hdlBits/blob/main/images/Day%2002/020-module_name.png, friendlyName=Image</x:v>
      </x:c>
      <x:c r="R32" s="53" t="e">
        <x:f>HYPERLINK("https://github.com/kapiltrip/hdlBits/blob/main/solutions/Day%2002/020-module_name.sv","Code")</x:f>
        <x:v>HYPERLINK is not implemented. linkLocation=https://github.com/kapiltrip/hdlBits/blob/main/solutions/Day%2002/020-module_name.sv, friendlyName=Code</x:v>
      </x:c>
      <x:c r="S32" s="53" t="e">
        <x:f>HYPERLINK("https://hdlbits.01xz.net/wiki/module_name","HDLBits")</x:f>
        <x:v>HYPERLINK is not implemented. linkLocation=https://hdlbits.01xz.net/wiki/module_name, friendlyName=HDLBits</x:v>
      </x:c>
      <x:c r="T32" s="50" t="str">
        <x:v>Instantiate a module and connect its ports by name so each signal is matched explicitly.</x:v>
      </x:c>
      <x:c r="U32" s="50"/>
    </x:row>
    <x:row r="33" ht="34" customHeight="1">
      <x:c r="A33" s="26" t="n">
        <x:v>23</x:v>
      </x:c>
      <x:c r="B33" s="26" t="n">
        <x:v>21</x:v>
      </x:c>
      <x:c r="C33" s="23" t="str">
        <x:v>Verilog Language</x:v>
      </x:c>
      <x:c r="D33" s="23" t="str">
        <x:v>Modules: Hierarchy</x:v>
      </x:c>
      <x:c r="E33" s="23" t="str">
        <x:v>Three modules</x:v>
      </x:c>
      <x:c r="F33" s="23" t="str">
        <x:v>module_shift</x:v>
      </x:c>
      <x:c r="G33" s="26" t="str">
        <x:v>Completed</x:v>
      </x:c>
      <x:c r="H33" s="26" t="str">
        <x:v>Day 02</x:v>
      </x:c>
      <x:c r="I33" s="32" t="n">
        <x:v>46197</x:v>
      </x:c>
      <x:c r="J33" s="26" t="str">
        <x:v>1:37:32 PM</x:v>
      </x:c>
      <x:c r="K33" s="26" t="n">
        <x:v>2</x:v>
      </x:c>
      <x:c r="L33" s="26" t="n">
        <x:v>0</x:v>
      </x:c>
      <x:c r="M33" s="26" t="n">
        <x:v>1</x:v>
      </x:c>
      <x:c r="N33" s="26" t="n">
        <x:v>0</x:v>
      </x:c>
      <x:c r="O33" s="35" t="n">
        <x:v>0.5</x:v>
      </x:c>
      <x:c r="P33" s="29" t="e">
        <x:f>HYPERLINK("https://github.com/kapiltrip/hdlBits/blob/main/problems/Day%2002/021-module_shift.md","Note")</x:f>
        <x:v>HYPERLINK is not implemented. linkLocation=https://github.com/kapiltrip/hdlBits/blob/main/problems/Day%2002/021-module_shift.md, friendlyName=Note</x:v>
      </x:c>
      <x:c r="Q33" s="29" t="e">
        <x:f>HYPERLINK("https://github.com/kapiltrip/hdlBits/blob/main/images/Day%2002/021-module_shift.png","Image")</x:f>
        <x:v>HYPERLINK is not implemented. linkLocation=https://github.com/kapiltrip/hdlBits/blob/main/images/Day%2002/021-module_shift.png, friendlyName=Image</x:v>
      </x:c>
      <x:c r="R33" s="29" t="e">
        <x:f>HYPERLINK("https://github.com/kapiltrip/hdlBits/blob/main/solutions/Day%2002/021-module_shift.sv","Code")</x:f>
        <x:v>HYPERLINK is not implemented. linkLocation=https://github.com/kapiltrip/hdlBits/blob/main/solutions/Day%2002/021-module_shift.sv, friendlyName=Code</x:v>
      </x:c>
      <x:c r="S33" s="29" t="e">
        <x:f>HYPERLINK("https://hdlbits.01xz.net/wiki/module_shift","HDLBits")</x:f>
        <x:v>HYPERLINK is not implemented. linkLocation=https://hdlbits.01xz.net/wiki/module_shift, friendlyName=HDLBits</x:v>
      </x:c>
      <x:c r="T33" s="23" t="str">
        <x:v>Chain three copies of the provided module so each stage feeds the next stage.</x:v>
      </x:c>
      <x:c r="U33" s="23"/>
    </x:row>
    <x:row r="34" ht="34" customHeight="1">
      <x:c r="A34" s="49" t="n">
        <x:v>24</x:v>
      </x:c>
      <x:c r="B34" s="49" t="n">
        <x:v>22</x:v>
      </x:c>
      <x:c r="C34" s="50" t="str">
        <x:v>Verilog Language</x:v>
      </x:c>
      <x:c r="D34" s="50" t="str">
        <x:v>Modules: Hierarchy</x:v>
      </x:c>
      <x:c r="E34" s="50" t="str">
        <x:v>Modules and vectors</x:v>
      </x:c>
      <x:c r="F34" s="50" t="str">
        <x:v>module_shift8</x:v>
      </x:c>
      <x:c r="G34" s="49" t="str">
        <x:v>Completed</x:v>
      </x:c>
      <x:c r="H34" s="49" t="str">
        <x:v>Day 02</x:v>
      </x:c>
      <x:c r="I34" s="51" t="n">
        <x:v>46197</x:v>
      </x:c>
      <x:c r="J34" s="49" t="str">
        <x:v>1:53:37 PM</x:v>
      </x:c>
      <x:c r="K34" s="49" t="n">
        <x:v>7</x:v>
      </x:c>
      <x:c r="L34" s="49" t="n">
        <x:v>2</x:v>
      </x:c>
      <x:c r="M34" s="49" t="n">
        <x:v>4</x:v>
      </x:c>
      <x:c r="N34" s="49" t="n">
        <x:v>0</x:v>
      </x:c>
      <x:c r="O34" s="52" t="n">
        <x:v>0.14</x:v>
      </x:c>
      <x:c r="P34" s="53" t="e">
        <x:f>HYPERLINK("https://github.com/kapiltrip/hdlBits/blob/main/problems/Day%2002/022-module_shift8.md","Note")</x:f>
        <x:v>HYPERLINK is not implemented. linkLocation=https://github.com/kapiltrip/hdlBits/blob/main/problems/Day%2002/022-module_shift8.md, friendlyName=Note</x:v>
      </x:c>
      <x:c r="Q34" s="53" t="e">
        <x:f>HYPERLINK("https://github.com/kapiltrip/hdlBits/blob/main/images/Day%2002/022-module_shift8.png","Image")</x:f>
        <x:v>HYPERLINK is not implemented. linkLocation=https://github.com/kapiltrip/hdlBits/blob/main/images/Day%2002/022-module_shift8.png, friendlyName=Image</x:v>
      </x:c>
      <x:c r="R34" s="53" t="e">
        <x:f>HYPERLINK("https://github.com/kapiltrip/hdlBits/blob/main/solutions/Day%2002/022-module_shift8.sv","Code")</x:f>
        <x:v>HYPERLINK is not implemented. linkLocation=https://github.com/kapiltrip/hdlBits/blob/main/solutions/Day%2002/022-module_shift8.sv, friendlyName=Code</x:v>
      </x:c>
      <x:c r="S34" s="53" t="e">
        <x:f>HYPERLINK("https://hdlbits.01xz.net/wiki/module_shift8","HDLBits")</x:f>
        <x:v>HYPERLINK is not implemented. linkLocation=https://hdlbits.01xz.net/wiki/module_shift8, friendlyName=HDLBits</x:v>
      </x:c>
      <x:c r="T34" s="50" t="str">
        <x:v>Instantiate the supplied 8-bit module and connect vector signals correctly through the hierarchy.</x:v>
      </x:c>
      <x:c r="U34" s="50"/>
    </x:row>
    <x:row r="35" ht="34" customHeight="1">
      <x:c r="A35" s="26" t="n">
        <x:v>25</x:v>
      </x:c>
      <x:c r="B35" s="26" t="n">
        <x:v>23</x:v>
      </x:c>
      <x:c r="C35" s="23" t="str">
        <x:v>Verilog Language</x:v>
      </x:c>
      <x:c r="D35" s="23" t="str">
        <x:v>Modules: Hierarchy</x:v>
      </x:c>
      <x:c r="E35" s="23" t="str">
        <x:v>Adder 1</x:v>
      </x:c>
      <x:c r="F35" s="23" t="str">
        <x:v>module_add</x:v>
      </x:c>
      <x:c r="G35" s="26" t="str">
        <x:v>Completed</x:v>
      </x:c>
      <x:c r="H35" s="26" t="str">
        <x:v>Day 02</x:v>
      </x:c>
      <x:c r="I35" s="32" t="n">
        <x:v>46197</x:v>
      </x:c>
      <x:c r="J35" s="26" t="str">
        <x:v>2:03:55 PM</x:v>
      </x:c>
      <x:c r="K35" s="26" t="n">
        <x:v>1</x:v>
      </x:c>
      <x:c r="L35" s="26" t="n">
        <x:v>0</x:v>
      </x:c>
      <x:c r="M35" s="26" t="n">
        <x:v>0</x:v>
      </x:c>
      <x:c r="N35" s="26" t="n">
        <x:v>0</x:v>
      </x:c>
      <x:c r="O35" s="35" t="n">
        <x:v>1</x:v>
      </x:c>
      <x:c r="P35" s="29" t="e">
        <x:f>HYPERLINK("https://github.com/kapiltrip/hdlBits/blob/main/problems/Day%2002/023-module_add.md","Note")</x:f>
        <x:v>HYPERLINK is not implemented. linkLocation=https://github.com/kapiltrip/hdlBits/blob/main/problems/Day%2002/023-module_add.md, friendlyName=Note</x:v>
      </x:c>
      <x:c r="Q35" s="29" t="e">
        <x:f>HYPERLINK("https://github.com/kapiltrip/hdlBits/blob/main/images/Day%2002/023-module_add.png","Image")</x:f>
        <x:v>HYPERLINK is not implemented. linkLocation=https://github.com/kapiltrip/hdlBits/blob/main/images/Day%2002/023-module_add.png, friendlyName=Image</x:v>
      </x:c>
      <x:c r="R35" s="29" t="e">
        <x:f>HYPERLINK("https://github.com/kapiltrip/hdlBits/blob/main/solutions/Day%2002/023-module_add.sv","Code")</x:f>
        <x:v>HYPERLINK is not implemented. linkLocation=https://github.com/kapiltrip/hdlBits/blob/main/solutions/Day%2002/023-module_add.sv, friendlyName=Code</x:v>
      </x:c>
      <x:c r="S35" s="29" t="e">
        <x:f>HYPERLINK("https://hdlbits.01xz.net/wiki/module_add","HDLBits")</x:f>
        <x:v>HYPERLINK is not implemented. linkLocation=https://hdlbits.01xz.net/wiki/module_add, friendlyName=HDLBits</x:v>
      </x:c>
      <x:c r="T35" s="23" t="str">
        <x:v>Instantiate two 16-bit adders to create a 32-bit adder, propagating the carry between the lower and upper halves.</x:v>
      </x:c>
      <x:c r="U35" s="23"/>
    </x:row>
    <x:row r="36" ht="34" customHeight="1">
      <x:c r="A36" s="49" t="n">
        <x:v>26</x:v>
      </x:c>
      <x:c r="B36" s="49" t="n">
        <x:v>24</x:v>
      </x:c>
      <x:c r="C36" s="50" t="str">
        <x:v>Verilog Language</x:v>
      </x:c>
      <x:c r="D36" s="50" t="str">
        <x:v>Modules: Hierarchy</x:v>
      </x:c>
      <x:c r="E36" s="50" t="str">
        <x:v>Adder 2</x:v>
      </x:c>
      <x:c r="F36" s="50" t="str">
        <x:v>module_fadd</x:v>
      </x:c>
      <x:c r="G36" s="49" t="str">
        <x:v>Completed</x:v>
      </x:c>
      <x:c r="H36" s="49" t="str">
        <x:v>Day 02</x:v>
      </x:c>
      <x:c r="I36" s="51" t="n">
        <x:v>46197</x:v>
      </x:c>
      <x:c r="J36" s="49" t="str">
        <x:v>2:44:10 PM</x:v>
      </x:c>
      <x:c r="K36" s="49" t="n">
        <x:v>4</x:v>
      </x:c>
      <x:c r="L36" s="49" t="n">
        <x:v>1</x:v>
      </x:c>
      <x:c r="M36" s="49" t="n">
        <x:v>2</x:v>
      </x:c>
      <x:c r="N36" s="49" t="n">
        <x:v>0</x:v>
      </x:c>
      <x:c r="O36" s="52" t="n">
        <x:v>0.25</x:v>
      </x:c>
      <x:c r="P36" s="53" t="e">
        <x:f>HYPERLINK("https://github.com/kapiltrip/hdlBits/blob/main/problems/Day%2002/024-module_fadd.md","Note")</x:f>
        <x:v>HYPERLINK is not implemented. linkLocation=https://github.com/kapiltrip/hdlBits/blob/main/problems/Day%2002/024-module_fadd.md, friendlyName=Note</x:v>
      </x:c>
      <x:c r="Q36" s="53" t="e">
        <x:f>HYPERLINK("https://github.com/kapiltrip/hdlBits/blob/main/images/Day%2002/024-module_fadd.png","Image")</x:f>
        <x:v>HYPERLINK is not implemented. linkLocation=https://github.com/kapiltrip/hdlBits/blob/main/images/Day%2002/024-module_fadd.png, friendlyName=Image</x:v>
      </x:c>
      <x:c r="R36" s="53" t="e">
        <x:f>HYPERLINK("https://github.com/kapiltrip/hdlBits/blob/main/solutions/Day%2002/024-module_fadd.sv","Code")</x:f>
        <x:v>HYPERLINK is not implemented. linkLocation=https://github.com/kapiltrip/hdlBits/blob/main/solutions/Day%2002/024-module_fadd.sv, friendlyName=Code</x:v>
      </x:c>
      <x:c r="S36" s="53" t="e">
        <x:f>HYPERLINK("https://hdlbits.01xz.net/wiki/module_fadd","HDLBits")</x:f>
        <x:v>HYPERLINK is not implemented. linkLocation=https://hdlbits.01xz.net/wiki/module_fadd, friendlyName=HDLBits</x:v>
      </x:c>
      <x:c r="T36" s="50" t="str">
        <x:v>Build a ripple-carry adder from full-adder instances and expose the carry produced by every bit position.</x:v>
      </x:c>
      <x:c r="U36" s="50"/>
    </x:row>
    <x:row r="37" ht="34" customHeight="1">
      <x:c r="A37" s="26" t="n">
        <x:v>27</x:v>
      </x:c>
      <x:c r="B37" s="26" t="n">
        <x:v>25</x:v>
      </x:c>
      <x:c r="C37" s="23" t="str">
        <x:v>Verilog Language</x:v>
      </x:c>
      <x:c r="D37" s="23" t="str">
        <x:v>Modules: Hierarchy</x:v>
      </x:c>
      <x:c r="E37" s="23" t="str">
        <x:v>Carry-select adder</x:v>
      </x:c>
      <x:c r="F37" s="23" t="str">
        <x:v>module_cseladd</x:v>
      </x:c>
      <x:c r="G37" s="26" t="str">
        <x:v>Completed</x:v>
      </x:c>
      <x:c r="H37" s="26" t="str">
        <x:v>Day 02</x:v>
      </x:c>
      <x:c r="I37" s="32" t="n">
        <x:v>46197</x:v>
      </x:c>
      <x:c r="J37" s="26" t="str">
        <x:v>3:06:09 PM</x:v>
      </x:c>
      <x:c r="K37" s="26" t="n">
        <x:v>2</x:v>
      </x:c>
      <x:c r="L37" s="26" t="n">
        <x:v>0</x:v>
      </x:c>
      <x:c r="M37" s="26" t="n">
        <x:v>1</x:v>
      </x:c>
      <x:c r="N37" s="26" t="n">
        <x:v>0</x:v>
      </x:c>
      <x:c r="O37" s="35" t="n">
        <x:v>0.5</x:v>
      </x:c>
      <x:c r="P37" s="29" t="e">
        <x:f>HYPERLINK("https://github.com/kapiltrip/hdlBits/blob/main/problems/Day%2002/025-module_cseladd.md","Note")</x:f>
        <x:v>HYPERLINK is not implemented. linkLocation=https://github.com/kapiltrip/hdlBits/blob/main/problems/Day%2002/025-module_cseladd.md, friendlyName=Note</x:v>
      </x:c>
      <x:c r="Q37" s="29" t="e">
        <x:f>HYPERLINK("https://github.com/kapiltrip/hdlBits/blob/main/images/Day%2002/025-module_cseladd.png","Image")</x:f>
        <x:v>HYPERLINK is not implemented. linkLocation=https://github.com/kapiltrip/hdlBits/blob/main/images/Day%2002/025-module_cseladd.png, friendlyName=Image</x:v>
      </x:c>
      <x:c r="R37" s="29" t="e">
        <x:f>HYPERLINK("https://github.com/kapiltrip/hdlBits/blob/main/solutions/Day%2002/025-module_cseladd.sv","Code")</x:f>
        <x:v>HYPERLINK is not implemented. linkLocation=https://github.com/kapiltrip/hdlBits/blob/main/solutions/Day%2002/025-module_cseladd.sv, friendlyName=Code</x:v>
      </x:c>
      <x:c r="S37" s="29" t="e">
        <x:f>HYPERLINK("https://hdlbits.01xz.net/wiki/module_cseladd","HDLBits")</x:f>
        <x:v>HYPERLINK is not implemented. linkLocation=https://hdlbits.01xz.net/wiki/module_cseladd, friendlyName=HDLBits</x:v>
      </x:c>
      <x:c r="T37" s="23" t="str">
        <x:v>Build a carry-select adder by computing both possible upper sums and selecting the correct one using the lower carry.</x:v>
      </x:c>
      <x:c r="U37" s="23"/>
    </x:row>
    <x:row r="38" ht="34" customHeight="1">
      <x:c r="A38" s="49" t="n">
        <x:v>28</x:v>
      </x:c>
      <x:c r="B38" s="49" t="n">
        <x:v>26</x:v>
      </x:c>
      <x:c r="C38" s="50" t="str">
        <x:v>Verilog Language</x:v>
      </x:c>
      <x:c r="D38" s="50" t="str">
        <x:v>Modules: Hierarchy</x:v>
      </x:c>
      <x:c r="E38" s="50" t="str">
        <x:v>Adder-subtractor</x:v>
      </x:c>
      <x:c r="F38" s="50" t="str">
        <x:v>module_addsub</x:v>
      </x:c>
      <x:c r="G38" s="49" t="str">
        <x:v>Completed</x:v>
      </x:c>
      <x:c r="H38" s="49" t="str">
        <x:v>Day 02</x:v>
      </x:c>
      <x:c r="I38" s="51" t="n">
        <x:v>46197</x:v>
      </x:c>
      <x:c r="J38" s="49" t="str">
        <x:v>3:21:30 PM</x:v>
      </x:c>
      <x:c r="K38" s="49" t="n">
        <x:v>1</x:v>
      </x:c>
      <x:c r="L38" s="49" t="n">
        <x:v>0</x:v>
      </x:c>
      <x:c r="M38" s="49" t="n">
        <x:v>0</x:v>
      </x:c>
      <x:c r="N38" s="49" t="n">
        <x:v>0</x:v>
      </x:c>
      <x:c r="O38" s="52" t="n">
        <x:v>1</x:v>
      </x:c>
      <x:c r="P38" s="53" t="e">
        <x:f>HYPERLINK("https://github.com/kapiltrip/hdlBits/blob/main/problems/Day%2002/026-module_addsub.md","Note")</x:f>
        <x:v>HYPERLINK is not implemented. linkLocation=https://github.com/kapiltrip/hdlBits/blob/main/problems/Day%2002/026-module_addsub.md, friendlyName=Note</x:v>
      </x:c>
      <x:c r="Q38" s="53" t="e">
        <x:f>HYPERLINK("https://github.com/kapiltrip/hdlBits/blob/main/images/Day%2002/026-module_addsub.png","Image")</x:f>
        <x:v>HYPERLINK is not implemented. linkLocation=https://github.com/kapiltrip/hdlBits/blob/main/images/Day%2002/026-module_addsub.png, friendlyName=Image</x:v>
      </x:c>
      <x:c r="R38" s="53" t="e">
        <x:f>HYPERLINK("https://github.com/kapiltrip/hdlBits/blob/main/solutions/Day%2002/026-module_addsub.sv","Code")</x:f>
        <x:v>HYPERLINK is not implemented. linkLocation=https://github.com/kapiltrip/hdlBits/blob/main/solutions/Day%2002/026-module_addsub.sv, friendlyName=Code</x:v>
      </x:c>
      <x:c r="S38" s="53" t="e">
        <x:f>HYPERLINK("https://hdlbits.01xz.net/wiki/module_addsub","HDLBits")</x:f>
        <x:v>HYPERLINK is not implemented. linkLocation=https://hdlbits.01xz.net/wiki/module_addsub, friendlyName=HDLBits</x:v>
      </x:c>
      <x:c r="T38" s="50" t="str">
        <x:v>Create an adder-subtractor by conditionally inverting one operand and using the mode signal as the initial carry-in.</x:v>
      </x:c>
      <x:c r="U38" s="50"/>
    </x:row>
    <x:row r="39" ht="22" customHeight="1">
      <x:c r="A39" s="79" t="str">
        <x:v>SUBSECTION · Procedures</x:v>
      </x:c>
      <x:c r="B39" s="79"/>
      <x:c r="C39" s="79"/>
      <x:c r="D39" s="79"/>
      <x:c r="E39" s="79"/>
      <x:c r="F39" s="79"/>
      <x:c r="G39" s="79"/>
      <x:c r="H39" s="79"/>
      <x:c r="I39" s="80"/>
      <x:c r="J39" s="79"/>
      <x:c r="K39" s="79"/>
      <x:c r="L39" s="79"/>
      <x:c r="M39" s="79"/>
      <x:c r="N39" s="79"/>
      <x:c r="O39" s="81"/>
      <x:c r="P39" s="79"/>
      <x:c r="Q39" s="79"/>
      <x:c r="R39" s="79"/>
      <x:c r="S39" s="79"/>
      <x:c r="T39" s="79"/>
      <x:c r="U39" s="79"/>
    </x:row>
    <x:row r="40" ht="34" customHeight="1">
      <x:c r="A40" s="26" t="n">
        <x:v>29</x:v>
      </x:c>
      <x:c r="B40" s="26" t="n">
        <x:v>27</x:v>
      </x:c>
      <x:c r="C40" s="23" t="str">
        <x:v>Verilog Language</x:v>
      </x:c>
      <x:c r="D40" s="23" t="str">
        <x:v>Procedures</x:v>
      </x:c>
      <x:c r="E40" s="23" t="str">
        <x:v>Always blocks (combinational)</x:v>
      </x:c>
      <x:c r="F40" s="23" t="str">
        <x:v>alwaysblock1</x:v>
      </x:c>
      <x:c r="G40" s="26" t="str">
        <x:v>Completed</x:v>
      </x:c>
      <x:c r="H40" s="26" t="str">
        <x:v>Day 02</x:v>
      </x:c>
      <x:c r="I40" s="32" t="n">
        <x:v>46197</x:v>
      </x:c>
      <x:c r="J40" s="26" t="str">
        <x:v>3:23:21 PM</x:v>
      </x:c>
      <x:c r="K40" s="26" t="n">
        <x:v>1</x:v>
      </x:c>
      <x:c r="L40" s="26" t="n">
        <x:v>0</x:v>
      </x:c>
      <x:c r="M40" s="26" t="n">
        <x:v>0</x:v>
      </x:c>
      <x:c r="N40" s="26" t="n">
        <x:v>0</x:v>
      </x:c>
      <x:c r="O40" s="35" t="n">
        <x:v>1</x:v>
      </x:c>
      <x:c r="P40" s="29" t="e">
        <x:f>HYPERLINK("https://github.com/kapiltrip/hdlBits/blob/main/problems/Day%2002/027-alwaysblock1.md","Note")</x:f>
        <x:v>HYPERLINK is not implemented. linkLocation=https://github.com/kapiltrip/hdlBits/blob/main/problems/Day%2002/027-alwaysblock1.md, friendlyName=Note</x:v>
      </x:c>
      <x:c r="Q40" s="29" t="e">
        <x:f>HYPERLINK("https://github.com/kapiltrip/hdlBits/blob/main/images/Day%2002/027-alwaysblock1.png","Image")</x:f>
        <x:v>HYPERLINK is not implemented. linkLocation=https://github.com/kapiltrip/hdlBits/blob/main/images/Day%2002/027-alwaysblock1.png, friendlyName=Image</x:v>
      </x:c>
      <x:c r="R40" s="29" t="e">
        <x:f>HYPERLINK("https://github.com/kapiltrip/hdlBits/blob/main/solutions/Day%2002/027-alwaysblock1.sv","Code")</x:f>
        <x:v>HYPERLINK is not implemented. linkLocation=https://github.com/kapiltrip/hdlBits/blob/main/solutions/Day%2002/027-alwaysblock1.sv, friendlyName=Code</x:v>
      </x:c>
      <x:c r="S40" s="29" t="e">
        <x:f>HYPERLINK("https://hdlbits.01xz.net/wiki/alwaysblock1","HDLBits")</x:f>
        <x:v>HYPERLINK is not implemented. linkLocation=https://hdlbits.01xz.net/wiki/alwaysblock1, friendlyName=HDLBits</x:v>
      </x:c>
      <x:c r="T40" s="23" t="str">
        <x:v>Describe the same combinational logic with both a continuous assignment and an always block.</x:v>
      </x:c>
      <x:c r="U40" s="23"/>
    </x:row>
    <x:row r="41" ht="34" customHeight="1">
      <x:c r="A41" s="49" t="n">
        <x:v>30</x:v>
      </x:c>
      <x:c r="B41" s="49" t="n">
        <x:v>28</x:v>
      </x:c>
      <x:c r="C41" s="50" t="str">
        <x:v>Verilog Language</x:v>
      </x:c>
      <x:c r="D41" s="50" t="str">
        <x:v>Procedures</x:v>
      </x:c>
      <x:c r="E41" s="50" t="str">
        <x:v>Always blocks (clocked)</x:v>
      </x:c>
      <x:c r="F41" s="50" t="str">
        <x:v>alwaysblock2</x:v>
      </x:c>
      <x:c r="G41" s="49" t="str">
        <x:v>Completed</x:v>
      </x:c>
      <x:c r="H41" s="49" t="str">
        <x:v>Day 02</x:v>
      </x:c>
      <x:c r="I41" s="51" t="n">
        <x:v>46197</x:v>
      </x:c>
      <x:c r="J41" s="49" t="str">
        <x:v>3:25:20 PM</x:v>
      </x:c>
      <x:c r="K41" s="49" t="n">
        <x:v>1</x:v>
      </x:c>
      <x:c r="L41" s="49" t="n">
        <x:v>0</x:v>
      </x:c>
      <x:c r="M41" s="49" t="n">
        <x:v>0</x:v>
      </x:c>
      <x:c r="N41" s="49" t="n">
        <x:v>0</x:v>
      </x:c>
      <x:c r="O41" s="52" t="n">
        <x:v>1</x:v>
      </x:c>
      <x:c r="P41" s="53" t="e">
        <x:f>HYPERLINK("https://github.com/kapiltrip/hdlBits/blob/main/problems/Day%2002/028-alwaysblock2.md","Note")</x:f>
        <x:v>HYPERLINK is not implemented. linkLocation=https://github.com/kapiltrip/hdlBits/blob/main/problems/Day%2002/028-alwaysblock2.md, friendlyName=Note</x:v>
      </x:c>
      <x:c r="Q41" s="53" t="e">
        <x:f>HYPERLINK("https://github.com/kapiltrip/hdlBits/blob/main/images/Day%2002/028-alwaysblock2.png","Image")</x:f>
        <x:v>HYPERLINK is not implemented. linkLocation=https://github.com/kapiltrip/hdlBits/blob/main/images/Day%2002/028-alwaysblock2.png, friendlyName=Image</x:v>
      </x:c>
      <x:c r="R41" s="53" t="e">
        <x:f>HYPERLINK("https://github.com/kapiltrip/hdlBits/blob/main/solutions/Day%2002/028-alwaysblock2.sv","Code")</x:f>
        <x:v>HYPERLINK is not implemented. linkLocation=https://github.com/kapiltrip/hdlBits/blob/main/solutions/Day%2002/028-alwaysblock2.sv, friendlyName=Code</x:v>
      </x:c>
      <x:c r="S41" s="53" t="e">
        <x:f>HYPERLINK("https://hdlbits.01xz.net/wiki/alwaysblock2","HDLBits")</x:f>
        <x:v>HYPERLINK is not implemented. linkLocation=https://hdlbits.01xz.net/wiki/alwaysblock2, friendlyName=HDLBits</x:v>
      </x:c>
      <x:c r="T41" s="50" t="str">
        <x:v>Describe clocked storage in an always block so the output captures the input on each active clock edge.</x:v>
      </x:c>
      <x:c r="U41" s="50"/>
    </x:row>
    <x:row r="42" ht="34" customHeight="1">
      <x:c r="A42" s="26" t="n">
        <x:v>31</x:v>
      </x:c>
      <x:c r="B42" s="26" t="n">
        <x:v>29</x:v>
      </x:c>
      <x:c r="C42" s="23" t="str">
        <x:v>Verilog Language</x:v>
      </x:c>
      <x:c r="D42" s="23" t="str">
        <x:v>Procedures</x:v>
      </x:c>
      <x:c r="E42" s="23" t="str">
        <x:v>If statement</x:v>
      </x:c>
      <x:c r="F42" s="23" t="str">
        <x:v>always_if</x:v>
      </x:c>
      <x:c r="G42" s="26" t="str">
        <x:v>Completed</x:v>
      </x:c>
      <x:c r="H42" s="26" t="str">
        <x:v>Day 02</x:v>
      </x:c>
      <x:c r="I42" s="32" t="n">
        <x:v>46197</x:v>
      </x:c>
      <x:c r="J42" s="26" t="str">
        <x:v>3:30:54 PM</x:v>
      </x:c>
      <x:c r="K42" s="26" t="n">
        <x:v>1</x:v>
      </x:c>
      <x:c r="L42" s="26" t="n">
        <x:v>0</x:v>
      </x:c>
      <x:c r="M42" s="26" t="n">
        <x:v>0</x:v>
      </x:c>
      <x:c r="N42" s="26" t="n">
        <x:v>0</x:v>
      </x:c>
      <x:c r="O42" s="35" t="n">
        <x:v>1</x:v>
      </x:c>
      <x:c r="P42" s="29" t="e">
        <x:f>HYPERLINK("https://github.com/kapiltrip/hdlBits/blob/main/problems/Day%2002/029-always_if.md","Note")</x:f>
        <x:v>HYPERLINK is not implemented. linkLocation=https://github.com/kapiltrip/hdlBits/blob/main/problems/Day%2002/029-always_if.md, friendlyName=Note</x:v>
      </x:c>
      <x:c r="Q42" s="29" t="e">
        <x:f>HYPERLINK("https://github.com/kapiltrip/hdlBits/blob/main/images/Day%2002/029-always_if.png","Image")</x:f>
        <x:v>HYPERLINK is not implemented. linkLocation=https://github.com/kapiltrip/hdlBits/blob/main/images/Day%2002/029-always_if.png, friendlyName=Image</x:v>
      </x:c>
      <x:c r="R42" s="29" t="e">
        <x:f>HYPERLINK("https://github.com/kapiltrip/hdlBits/blob/main/solutions/Day%2002/029-always_if.sv","Code")</x:f>
        <x:v>HYPERLINK is not implemented. linkLocation=https://github.com/kapiltrip/hdlBits/blob/main/solutions/Day%2002/029-always_if.sv, friendlyName=Code</x:v>
      </x:c>
      <x:c r="S42" s="29" t="e">
        <x:f>HYPERLINK("https://hdlbits.01xz.net/wiki/always_if","HDLBits")</x:f>
        <x:v>HYPERLINK is not implemented. linkLocation=https://hdlbits.01xz.net/wiki/always_if, friendlyName=HDLBits</x:v>
      </x:c>
      <x:c r="T42" s="23" t="str">
        <x:v>Use an if/else statement in combinational logic to implement the requested multiplexer behaviour.</x:v>
      </x:c>
      <x:c r="U42" s="23"/>
    </x:row>
    <x:row r="43" ht="34" customHeight="1">
      <x:c r="A43" s="49" t="n">
        <x:v>32</x:v>
      </x:c>
      <x:c r="B43" s="49" t="n">
        <x:v>30</x:v>
      </x:c>
      <x:c r="C43" s="50" t="str">
        <x:v>Verilog Language</x:v>
      </x:c>
      <x:c r="D43" s="50" t="str">
        <x:v>Procedures</x:v>
      </x:c>
      <x:c r="E43" s="50" t="str">
        <x:v>If statement latches</x:v>
      </x:c>
      <x:c r="F43" s="50" t="str">
        <x:v>always_if2</x:v>
      </x:c>
      <x:c r="G43" s="49" t="str">
        <x:v>Completed</x:v>
      </x:c>
      <x:c r="H43" s="49" t="str">
        <x:v>Day 02</x:v>
      </x:c>
      <x:c r="I43" s="51" t="n">
        <x:v>46197</x:v>
      </x:c>
      <x:c r="J43" s="49" t="str">
        <x:v>4:18:47 PM</x:v>
      </x:c>
      <x:c r="K43" s="49" t="n">
        <x:v>5</x:v>
      </x:c>
      <x:c r="L43" s="49" t="n">
        <x:v>3</x:v>
      </x:c>
      <x:c r="M43" s="49" t="n">
        <x:v>0</x:v>
      </x:c>
      <x:c r="N43" s="49" t="n">
        <x:v>0</x:v>
      </x:c>
      <x:c r="O43" s="52" t="n">
        <x:v>0.4</x:v>
      </x:c>
      <x:c r="P43" s="53" t="e">
        <x:f>HYPERLINK("https://github.com/kapiltrip/hdlBits/blob/main/problems/Day%2002/030-always_if2.md","Note")</x:f>
        <x:v>HYPERLINK is not implemented. linkLocation=https://github.com/kapiltrip/hdlBits/blob/main/problems/Day%2002/030-always_if2.md, friendlyName=Note</x:v>
      </x:c>
      <x:c r="Q43" s="53" t="e">
        <x:f>HYPERLINK("https://github.com/kapiltrip/hdlBits/blob/main/images/Day%2002/030-always_if2.png","Image")</x:f>
        <x:v>HYPERLINK is not implemented. linkLocation=https://github.com/kapiltrip/hdlBits/blob/main/images/Day%2002/030-always_if2.png, friendlyName=Image</x:v>
      </x:c>
      <x:c r="R43" s="53" t="e">
        <x:f>HYPERLINK("https://github.com/kapiltrip/hdlBits/blob/main/solutions/Day%2002/030-always_if2.sv","Code")</x:f>
        <x:v>HYPERLINK is not implemented. linkLocation=https://github.com/kapiltrip/hdlBits/blob/main/solutions/Day%2002/030-always_if2.sv, friendlyName=Code</x:v>
      </x:c>
      <x:c r="S43" s="53" t="e">
        <x:f>HYPERLINK("https://hdlbits.01xz.net/wiki/always_if2","HDLBits")</x:f>
        <x:v>HYPERLINK is not implemented. linkLocation=https://hdlbits.01xz.net/wiki/always_if2, friendlyName=HDLBits</x:v>
      </x:c>
      <x:c r="T43" s="50" t="str">
        <x:v>Correct an incomplete combinational if statement by assigning every output on every path and thereby avoiding latches.</x:v>
      </x:c>
      <x:c r="U43" s="50"/>
    </x:row>
    <x:row r="44" ht="34" customHeight="1">
      <x:c r="A44" s="26" t="n">
        <x:v>33</x:v>
      </x:c>
      <x:c r="B44" s="26" t="n">
        <x:v>31</x:v>
      </x:c>
      <x:c r="C44" s="23" t="str">
        <x:v>Verilog Language</x:v>
      </x:c>
      <x:c r="D44" s="23" t="str">
        <x:v>Procedures</x:v>
      </x:c>
      <x:c r="E44" s="23" t="str">
        <x:v>Case statement</x:v>
      </x:c>
      <x:c r="F44" s="23" t="str">
        <x:v>always_case</x:v>
      </x:c>
      <x:c r="G44" s="26" t="str">
        <x:v>Completed</x:v>
      </x:c>
      <x:c r="H44" s="26" t="str">
        <x:v>Day 02</x:v>
      </x:c>
      <x:c r="I44" s="32" t="n">
        <x:v>46197</x:v>
      </x:c>
      <x:c r="J44" s="26" t="str">
        <x:v>4:22:44 PM</x:v>
      </x:c>
      <x:c r="K44" s="26" t="n">
        <x:v>2</x:v>
      </x:c>
      <x:c r="L44" s="26" t="n">
        <x:v>0</x:v>
      </x:c>
      <x:c r="M44" s="26" t="n">
        <x:v>1</x:v>
      </x:c>
      <x:c r="N44" s="26" t="n">
        <x:v>0</x:v>
      </x:c>
      <x:c r="O44" s="35" t="n">
        <x:v>0.5</x:v>
      </x:c>
      <x:c r="P44" s="29" t="e">
        <x:f>HYPERLINK("https://github.com/kapiltrip/hdlBits/blob/main/problems/Day%2002/031-always_case.md","Note")</x:f>
        <x:v>HYPERLINK is not implemented. linkLocation=https://github.com/kapiltrip/hdlBits/blob/main/problems/Day%2002/031-always_case.md, friendlyName=Note</x:v>
      </x:c>
      <x:c r="Q44" s="29" t="e">
        <x:f>HYPERLINK("https://github.com/kapiltrip/hdlBits/blob/main/images/Day%2002/031-always_case.png","Image")</x:f>
        <x:v>HYPERLINK is not implemented. linkLocation=https://github.com/kapiltrip/hdlBits/blob/main/images/Day%2002/031-always_case.png, friendlyName=Image</x:v>
      </x:c>
      <x:c r="R44" s="29" t="e">
        <x:f>HYPERLINK("https://github.com/kapiltrip/hdlBits/blob/main/solutions/Day%2002/031-always_case.sv","Code")</x:f>
        <x:v>HYPERLINK is not implemented. linkLocation=https://github.com/kapiltrip/hdlBits/blob/main/solutions/Day%2002/031-always_case.sv, friendlyName=Code</x:v>
      </x:c>
      <x:c r="S44" s="29" t="e">
        <x:f>HYPERLINK("https://hdlbits.01xz.net/wiki/always_case","HDLBits")</x:f>
        <x:v>HYPERLINK is not implemented. linkLocation=https://hdlbits.01xz.net/wiki/always_case, friendlyName=HDLBits</x:v>
      </x:c>
      <x:c r="T44" s="23" t="str">
        <x:v>Use a case statement to select one of several input values according to the selector.</x:v>
      </x:c>
      <x:c r="U44" s="23"/>
    </x:row>
    <x:row r="45" ht="34" customHeight="1">
      <x:c r="A45" s="49" t="n">
        <x:v>34</x:v>
      </x:c>
      <x:c r="B45" s="49" t="n">
        <x:v>32</x:v>
      </x:c>
      <x:c r="C45" s="50" t="str">
        <x:v>Verilog Language</x:v>
      </x:c>
      <x:c r="D45" s="50" t="str">
        <x:v>Procedures</x:v>
      </x:c>
      <x:c r="E45" s="50" t="str">
        <x:v>Priority encoder</x:v>
      </x:c>
      <x:c r="F45" s="50" t="str">
        <x:v>always_case2</x:v>
      </x:c>
      <x:c r="G45" s="49" t="str">
        <x:v>Completed</x:v>
      </x:c>
      <x:c r="H45" s="49" t="str">
        <x:v>Day 02</x:v>
      </x:c>
      <x:c r="I45" s="51" t="n">
        <x:v>46197</x:v>
      </x:c>
      <x:c r="J45" s="49" t="str">
        <x:v>5:09:06 PM</x:v>
      </x:c>
      <x:c r="K45" s="49" t="n">
        <x:v>15</x:v>
      </x:c>
      <x:c r="L45" s="49" t="n">
        <x:v>11</x:v>
      </x:c>
      <x:c r="M45" s="49" t="n">
        <x:v>3</x:v>
      </x:c>
      <x:c r="N45" s="49" t="n">
        <x:v>0</x:v>
      </x:c>
      <x:c r="O45" s="52" t="n">
        <x:v>0.07</x:v>
      </x:c>
      <x:c r="P45" s="53" t="e">
        <x:f>HYPERLINK("https://github.com/kapiltrip/hdlBits/blob/main/problems/Day%2002/032-always_case2.md","Note")</x:f>
        <x:v>HYPERLINK is not implemented. linkLocation=https://github.com/kapiltrip/hdlBits/blob/main/problems/Day%2002/032-always_case2.md, friendlyName=Note</x:v>
      </x:c>
      <x:c r="Q45" s="53" t="e">
        <x:f>HYPERLINK("https://github.com/kapiltrip/hdlBits/blob/main/images/Day%2002/032-always_case2.png","Image")</x:f>
        <x:v>HYPERLINK is not implemented. linkLocation=https://github.com/kapiltrip/hdlBits/blob/main/images/Day%2002/032-always_case2.png, friendlyName=Image</x:v>
      </x:c>
      <x:c r="R45" s="53" t="e">
        <x:f>HYPERLINK("https://github.com/kapiltrip/hdlBits/blob/main/solutions/Day%2002/032-always_case2.sv","Code")</x:f>
        <x:v>HYPERLINK is not implemented. linkLocation=https://github.com/kapiltrip/hdlBits/blob/main/solutions/Day%2002/032-always_case2.sv, friendlyName=Code</x:v>
      </x:c>
      <x:c r="S45" s="53" t="e">
        <x:f>HYPERLINK("https://hdlbits.01xz.net/wiki/always_case2","HDLBits")</x:f>
        <x:v>HYPERLINK is not implemented. linkLocation=https://hdlbits.01xz.net/wiki/always_case2, friendlyName=HDLBits</x:v>
      </x:c>
      <x:c r="T45" s="50" t="str">
        <x:v>Implement a priority encoder whose output identifies the highest-priority asserted input bit.</x:v>
      </x:c>
      <x:c r="U45" s="50"/>
    </x:row>
    <x:row r="46" ht="34" customHeight="1">
      <x:c r="A46" s="26" t="n">
        <x:v>35</x:v>
      </x:c>
      <x:c r="B46" s="26" t="n">
        <x:v>33</x:v>
      </x:c>
      <x:c r="C46" s="23" t="str">
        <x:v>Verilog Language</x:v>
      </x:c>
      <x:c r="D46" s="23" t="str">
        <x:v>Procedures</x:v>
      </x:c>
      <x:c r="E46" s="23" t="str">
        <x:v>Priority encoder with casez</x:v>
      </x:c>
      <x:c r="F46" s="23" t="str">
        <x:v>always_casez</x:v>
      </x:c>
      <x:c r="G46" s="26" t="str">
        <x:v>Completed</x:v>
      </x:c>
      <x:c r="H46" s="26" t="str">
        <x:v>Day 02</x:v>
      </x:c>
      <x:c r="I46" s="32" t="n">
        <x:v>46197</x:v>
      </x:c>
      <x:c r="J46" s="26" t="str">
        <x:v>5:44:37 PM</x:v>
      </x:c>
      <x:c r="K46" s="26" t="n">
        <x:v>2</x:v>
      </x:c>
      <x:c r="L46" s="26" t="n">
        <x:v>1</x:v>
      </x:c>
      <x:c r="M46" s="26" t="n">
        <x:v>0</x:v>
      </x:c>
      <x:c r="N46" s="26" t="n">
        <x:v>0</x:v>
      </x:c>
      <x:c r="O46" s="35" t="n">
        <x:v>0.5</x:v>
      </x:c>
      <x:c r="P46" s="29" t="e">
        <x:f>HYPERLINK("https://github.com/kapiltrip/hdlBits/blob/main/problems/Day%2002/033-always_casez.md","Note")</x:f>
        <x:v>HYPERLINK is not implemented. linkLocation=https://github.com/kapiltrip/hdlBits/blob/main/problems/Day%2002/033-always_casez.md, friendlyName=Note</x:v>
      </x:c>
      <x:c r="Q46" s="29" t="e">
        <x:f>HYPERLINK("https://github.com/kapiltrip/hdlBits/blob/main/images/Day%2002/033-always_casez.png","Image")</x:f>
        <x:v>HYPERLINK is not implemented. linkLocation=https://github.com/kapiltrip/hdlBits/blob/main/images/Day%2002/033-always_casez.png, friendlyName=Image</x:v>
      </x:c>
      <x:c r="R46" s="29" t="e">
        <x:f>HYPERLINK("https://github.com/kapiltrip/hdlBits/blob/main/solutions/Day%2002/033-always_casez.sv","Code")</x:f>
        <x:v>HYPERLINK is not implemented. linkLocation=https://github.com/kapiltrip/hdlBits/blob/main/solutions/Day%2002/033-always_casez.sv, friendlyName=Code</x:v>
      </x:c>
      <x:c r="S46" s="29" t="e">
        <x:f>HYPERLINK("https://hdlbits.01xz.net/wiki/always_casez","HDLBits")</x:f>
        <x:v>HYPERLINK is not implemented. linkLocation=https://hdlbits.01xz.net/wiki/always_casez, friendlyName=HDLBits</x:v>
      </x:c>
      <x:c r="T46" s="23" t="str">
        <x:v>Implement the priority encoder compactly with casez patterns and don't-care bits.</x:v>
      </x:c>
      <x:c r="U46" s="23"/>
    </x:row>
    <x:row r="47" ht="34" customHeight="1">
      <x:c r="A47" s="49" t="n">
        <x:v>36</x:v>
      </x:c>
      <x:c r="B47" s="49" t="n">
        <x:v>34</x:v>
      </x:c>
      <x:c r="C47" s="50" t="str">
        <x:v>Verilog Language</x:v>
      </x:c>
      <x:c r="D47" s="50" t="str">
        <x:v>Procedures</x:v>
      </x:c>
      <x:c r="E47" s="50" t="str">
        <x:v>Avoiding latches</x:v>
      </x:c>
      <x:c r="F47" s="50" t="str">
        <x:v>always_nolatches</x:v>
      </x:c>
      <x:c r="G47" s="49" t="str">
        <x:v>Completed</x:v>
      </x:c>
      <x:c r="H47" s="49" t="str">
        <x:v>Day 02</x:v>
      </x:c>
      <x:c r="I47" s="51" t="n">
        <x:v>46197</x:v>
      </x:c>
      <x:c r="J47" s="49" t="str">
        <x:v>6:00:14 PM</x:v>
      </x:c>
      <x:c r="K47" s="49" t="n">
        <x:v>3</x:v>
      </x:c>
      <x:c r="L47" s="49" t="n">
        <x:v>0</x:v>
      </x:c>
      <x:c r="M47" s="49" t="n">
        <x:v>2</x:v>
      </x:c>
      <x:c r="N47" s="49" t="n">
        <x:v>0</x:v>
      </x:c>
      <x:c r="O47" s="52" t="n">
        <x:v>0.33</x:v>
      </x:c>
      <x:c r="P47" s="53" t="e">
        <x:f>HYPERLINK("https://github.com/kapiltrip/hdlBits/blob/main/problems/Day%2002/034-always_nolatches.md","Note")</x:f>
        <x:v>HYPERLINK is not implemented. linkLocation=https://github.com/kapiltrip/hdlBits/blob/main/problems/Day%2002/034-always_nolatches.md, friendlyName=Note</x:v>
      </x:c>
      <x:c r="Q47" s="53" t="e">
        <x:f>HYPERLINK("https://github.com/kapiltrip/hdlBits/blob/main/images/Day%2002/034-always_nolatches.png","Image")</x:f>
        <x:v>HYPERLINK is not implemented. linkLocation=https://github.com/kapiltrip/hdlBits/blob/main/images/Day%2002/034-always_nolatches.png, friendlyName=Image</x:v>
      </x:c>
      <x:c r="R47" s="53" t="e">
        <x:f>HYPERLINK("https://github.com/kapiltrip/hdlBits/blob/main/solutions/Day%2002/034-always_nolatches.sv","Code")</x:f>
        <x:v>HYPERLINK is not implemented. linkLocation=https://github.com/kapiltrip/hdlBits/blob/main/solutions/Day%2002/034-always_nolatches.sv, friendlyName=Code</x:v>
      </x:c>
      <x:c r="S47" s="53" t="e">
        <x:f>HYPERLINK("https://hdlbits.01xz.net/wiki/always_nolatches","HDLBits")</x:f>
        <x:v>HYPERLINK is not implemented. linkLocation=https://hdlbits.01xz.net/wiki/always_nolatches, friendlyName=HDLBits</x:v>
      </x:c>
      <x:c r="T47" s="50" t="str">
        <x:v>Complete the combinational case logic with safe defaults so no output retains an old value or infers a latch.</x:v>
      </x:c>
      <x:c r="U47" s="50"/>
    </x:row>
    <x:row r="48" ht="22" customHeight="1">
      <x:c r="A48" s="79" t="str">
        <x:v>SUBSECTION · More Verilog Features</x:v>
      </x:c>
      <x:c r="B48" s="79"/>
      <x:c r="C48" s="79"/>
      <x:c r="D48" s="79"/>
      <x:c r="E48" s="79"/>
      <x:c r="F48" s="79"/>
      <x:c r="G48" s="79"/>
      <x:c r="H48" s="79"/>
      <x:c r="I48" s="80"/>
      <x:c r="J48" s="79"/>
      <x:c r="K48" s="79"/>
      <x:c r="L48" s="79"/>
      <x:c r="M48" s="79"/>
      <x:c r="N48" s="79"/>
      <x:c r="O48" s="81"/>
      <x:c r="P48" s="79"/>
      <x:c r="Q48" s="79"/>
      <x:c r="R48" s="79"/>
      <x:c r="S48" s="79"/>
      <x:c r="T48" s="79"/>
      <x:c r="U48" s="79"/>
    </x:row>
    <x:row r="49" ht="34" customHeight="1">
      <x:c r="A49" s="26" t="n">
        <x:v>37</x:v>
      </x:c>
      <x:c r="B49" s="26" t="n">
        <x:v>35</x:v>
      </x:c>
      <x:c r="C49" s="23" t="str">
        <x:v>Verilog Language</x:v>
      </x:c>
      <x:c r="D49" s="23" t="str">
        <x:v>More Verilog Features</x:v>
      </x:c>
      <x:c r="E49" s="23" t="str">
        <x:v>Conditional ternary operator</x:v>
      </x:c>
      <x:c r="F49" s="23" t="str">
        <x:v>conditional</x:v>
      </x:c>
      <x:c r="G49" s="26" t="str">
        <x:v>Completed</x:v>
      </x:c>
      <x:c r="H49" s="26" t="str">
        <x:v>Day 02</x:v>
      </x:c>
      <x:c r="I49" s="32" t="n">
        <x:v>46197</x:v>
      </x:c>
      <x:c r="J49" s="26" t="str">
        <x:v>6:09:15 PM</x:v>
      </x:c>
      <x:c r="K49" s="26" t="n">
        <x:v>1</x:v>
      </x:c>
      <x:c r="L49" s="26" t="n">
        <x:v>0</x:v>
      </x:c>
      <x:c r="M49" s="26" t="n">
        <x:v>0</x:v>
      </x:c>
      <x:c r="N49" s="26" t="n">
        <x:v>0</x:v>
      </x:c>
      <x:c r="O49" s="35" t="n">
        <x:v>1</x:v>
      </x:c>
      <x:c r="P49" s="29" t="e">
        <x:f>HYPERLINK("https://github.com/kapiltrip/hdlBits/blob/main/problems/Day%2002/035-conditional.md","Note")</x:f>
        <x:v>HYPERLINK is not implemented. linkLocation=https://github.com/kapiltrip/hdlBits/blob/main/problems/Day%2002/035-conditional.md, friendlyName=Note</x:v>
      </x:c>
      <x:c r="Q49" s="29" t="e">
        <x:f>HYPERLINK("https://github.com/kapiltrip/hdlBits/blob/main/images/Day%2002/035-conditional.png","Image")</x:f>
        <x:v>HYPERLINK is not implemented. linkLocation=https://github.com/kapiltrip/hdlBits/blob/main/images/Day%2002/035-conditional.png, friendlyName=Image</x:v>
      </x:c>
      <x:c r="R49" s="29" t="e">
        <x:f>HYPERLINK("https://github.com/kapiltrip/hdlBits/blob/main/solutions/Day%2002/035-conditional.sv","Code")</x:f>
        <x:v>HYPERLINK is not implemented. linkLocation=https://github.com/kapiltrip/hdlBits/blob/main/solutions/Day%2002/035-conditional.sv, friendlyName=Code</x:v>
      </x:c>
      <x:c r="S49" s="29" t="e">
        <x:f>HYPERLINK("https://hdlbits.01xz.net/wiki/conditional","HDLBits")</x:f>
        <x:v>HYPERLINK is not implemented. linkLocation=https://hdlbits.01xz.net/wiki/conditional, friendlyName=HDLBits</x:v>
      </x:c>
      <x:c r="T49" s="23" t="str">
        <x:v>Use nested ternary operators to select the smallest unsigned value from several inputs.</x:v>
      </x:c>
      <x:c r="U49" s="23"/>
    </x:row>
    <x:row r="50" ht="34" customHeight="1">
      <x:c r="A50" s="49" t="n">
        <x:v>38</x:v>
      </x:c>
      <x:c r="B50" s="49" t="n">
        <x:v>36</x:v>
      </x:c>
      <x:c r="C50" s="50" t="str">
        <x:v>Verilog Language</x:v>
      </x:c>
      <x:c r="D50" s="50" t="str">
        <x:v>More Verilog Features</x:v>
      </x:c>
      <x:c r="E50" s="50" t="str">
        <x:v>Reduction operators</x:v>
      </x:c>
      <x:c r="F50" s="50" t="str">
        <x:v>reduction</x:v>
      </x:c>
      <x:c r="G50" s="49" t="str">
        <x:v>Completed</x:v>
      </x:c>
      <x:c r="H50" s="49" t="str">
        <x:v>Day 02</x:v>
      </x:c>
      <x:c r="I50" s="51" t="n">
        <x:v>46197</x:v>
      </x:c>
      <x:c r="J50" s="49" t="str">
        <x:v>6:14:36 PM</x:v>
      </x:c>
      <x:c r="K50" s="49" t="n">
        <x:v>2</x:v>
      </x:c>
      <x:c r="L50" s="49" t="n">
        <x:v>1</x:v>
      </x:c>
      <x:c r="M50" s="49" t="n">
        <x:v>0</x:v>
      </x:c>
      <x:c r="N50" s="49" t="n">
        <x:v>0</x:v>
      </x:c>
      <x:c r="O50" s="52" t="n">
        <x:v>0.5</x:v>
      </x:c>
      <x:c r="P50" s="53" t="e">
        <x:f>HYPERLINK("https://github.com/kapiltrip/hdlBits/blob/main/problems/Day%2002/036-reduction.md","Note")</x:f>
        <x:v>HYPERLINK is not implemented. linkLocation=https://github.com/kapiltrip/hdlBits/blob/main/problems/Day%2002/036-reduction.md, friendlyName=Note</x:v>
      </x:c>
      <x:c r="Q50" s="53" t="e">
        <x:f>HYPERLINK("https://github.com/kapiltrip/hdlBits/blob/main/images/Day%2002/036-reduction.png","Image")</x:f>
        <x:v>HYPERLINK is not implemented. linkLocation=https://github.com/kapiltrip/hdlBits/blob/main/images/Day%2002/036-reduction.png, friendlyName=Image</x:v>
      </x:c>
      <x:c r="R50" s="53" t="e">
        <x:f>HYPERLINK("https://github.com/kapiltrip/hdlBits/blob/main/solutions/Day%2002/036-reduction.sv","Code")</x:f>
        <x:v>HYPERLINK is not implemented. linkLocation=https://github.com/kapiltrip/hdlBits/blob/main/solutions/Day%2002/036-reduction.sv, friendlyName=Code</x:v>
      </x:c>
      <x:c r="S50" s="53" t="e">
        <x:f>HYPERLINK("https://hdlbits.01xz.net/wiki/reduction","HDLBits")</x:f>
        <x:v>HYPERLINK is not implemented. linkLocation=https://hdlbits.01xz.net/wiki/reduction, friendlyName=HDLBits</x:v>
      </x:c>
      <x:c r="T50" s="50" t="str">
        <x:v>Compare bitwise and reduction operators by producing per-bit results and single-bit reductions from two vectors.</x:v>
      </x:c>
      <x:c r="U50" s="50"/>
    </x:row>
    <x:row r="51" ht="34" customHeight="1">
      <x:c r="A51" s="26" t="n">
        <x:v>39</x:v>
      </x:c>
      <x:c r="B51" s="26" t="n">
        <x:v>37</x:v>
      </x:c>
      <x:c r="C51" s="23" t="str">
        <x:v>Verilog Language</x:v>
      </x:c>
      <x:c r="D51" s="23" t="str">
        <x:v>More Verilog Features</x:v>
      </x:c>
      <x:c r="E51" s="23" t="str">
        <x:v>Reduction: Even wider gates</x:v>
      </x:c>
      <x:c r="F51" s="23" t="str">
        <x:v>gates100</x:v>
      </x:c>
      <x:c r="G51" s="26" t="str">
        <x:v>Completed</x:v>
      </x:c>
      <x:c r="H51" s="26" t="str">
        <x:v>Day 02</x:v>
      </x:c>
      <x:c r="I51" s="32" t="n">
        <x:v>46197</x:v>
      </x:c>
      <x:c r="J51" s="26" t="str">
        <x:v>6:17:42 PM</x:v>
      </x:c>
      <x:c r="K51" s="26" t="n">
        <x:v>1</x:v>
      </x:c>
      <x:c r="L51" s="26" t="n">
        <x:v>0</x:v>
      </x:c>
      <x:c r="M51" s="26" t="n">
        <x:v>0</x:v>
      </x:c>
      <x:c r="N51" s="26" t="n">
        <x:v>0</x:v>
      </x:c>
      <x:c r="O51" s="35" t="n">
        <x:v>1</x:v>
      </x:c>
      <x:c r="P51" s="29" t="e">
        <x:f>HYPERLINK("https://github.com/kapiltrip/hdlBits/blob/main/problems/Day%2002/037-gates100.md","Note")</x:f>
        <x:v>HYPERLINK is not implemented. linkLocation=https://github.com/kapiltrip/hdlBits/blob/main/problems/Day%2002/037-gates100.md, friendlyName=Note</x:v>
      </x:c>
      <x:c r="Q51" s="29" t="e">
        <x:f>HYPERLINK("https://github.com/kapiltrip/hdlBits/blob/main/images/Day%2002/037-gates100.png","Image")</x:f>
        <x:v>HYPERLINK is not implemented. linkLocation=https://github.com/kapiltrip/hdlBits/blob/main/images/Day%2002/037-gates100.png, friendlyName=Image</x:v>
      </x:c>
      <x:c r="R51" s="29" t="e">
        <x:f>HYPERLINK("https://github.com/kapiltrip/hdlBits/blob/main/solutions/Day%2002/037-gates100.sv","Code")</x:f>
        <x:v>HYPERLINK is not implemented. linkLocation=https://github.com/kapiltrip/hdlBits/blob/main/solutions/Day%2002/037-gates100.sv, friendlyName=Code</x:v>
      </x:c>
      <x:c r="S51" s="29" t="e">
        <x:f>HYPERLINK("https://hdlbits.01xz.net/wiki/gates100","HDLBits")</x:f>
        <x:v>HYPERLINK is not implemented. linkLocation=https://hdlbits.01xz.net/wiki/gates100, friendlyName=HDLBits</x:v>
      </x:c>
      <x:c r="T51" s="23" t="str">
        <x:v>Apply reduction operators across a 100-bit vector to implement very wide AND, OR, and XOR gates.</x:v>
      </x:c>
      <x:c r="U51" s="23"/>
    </x:row>
    <x:row r="52" ht="34" customHeight="1">
      <x:c r="A52" s="49" t="n">
        <x:v>40</x:v>
      </x:c>
      <x:c r="B52" s="49" t="n">
        <x:v>38</x:v>
      </x:c>
      <x:c r="C52" s="50" t="str">
        <x:v>Verilog Language</x:v>
      </x:c>
      <x:c r="D52" s="50" t="str">
        <x:v>More Verilog Features</x:v>
      </x:c>
      <x:c r="E52" s="50" t="str">
        <x:v>Combinational for-loop: Vector reversal 2</x:v>
      </x:c>
      <x:c r="F52" s="50" t="str">
        <x:v>vector100r</x:v>
      </x:c>
      <x:c r="G52" s="49" t="str">
        <x:v>Completed</x:v>
      </x:c>
      <x:c r="H52" s="49" t="str">
        <x:v>Day 02</x:v>
      </x:c>
      <x:c r="I52" s="51" t="n">
        <x:v>46197</x:v>
      </x:c>
      <x:c r="J52" s="49" t="str">
        <x:v>6:22:35 PM</x:v>
      </x:c>
      <x:c r="K52" s="49" t="n">
        <x:v>8</x:v>
      </x:c>
      <x:c r="L52" s="49" t="n">
        <x:v>1</x:v>
      </x:c>
      <x:c r="M52" s="49" t="n">
        <x:v>4</x:v>
      </x:c>
      <x:c r="N52" s="49" t="n">
        <x:v>0</x:v>
      </x:c>
      <x:c r="O52" s="52" t="n">
        <x:v>0.38</x:v>
      </x:c>
      <x:c r="P52" s="53" t="e">
        <x:f>HYPERLINK("https://github.com/kapiltrip/hdlBits/blob/main/problems/Day%2002/038-vector100r.md","Note")</x:f>
        <x:v>HYPERLINK is not implemented. linkLocation=https://github.com/kapiltrip/hdlBits/blob/main/problems/Day%2002/038-vector100r.md, friendlyName=Note</x:v>
      </x:c>
      <x:c r="Q52" s="53" t="e">
        <x:f>HYPERLINK("https://github.com/kapiltrip/hdlBits/blob/main/images/Day%2002/038-vector100r.png","Image")</x:f>
        <x:v>HYPERLINK is not implemented. linkLocation=https://github.com/kapiltrip/hdlBits/blob/main/images/Day%2002/038-vector100r.png, friendlyName=Image</x:v>
      </x:c>
      <x:c r="R52" s="53" t="e">
        <x:f>HYPERLINK("https://github.com/kapiltrip/hdlBits/blob/main/solutions/Day%2002/038-vector100r.sv","Code")</x:f>
        <x:v>HYPERLINK is not implemented. linkLocation=https://github.com/kapiltrip/hdlBits/blob/main/solutions/Day%2002/038-vector100r.sv, friendlyName=Code</x:v>
      </x:c>
      <x:c r="S52" s="53" t="e">
        <x:f>HYPERLINK("https://hdlbits.01xz.net/wiki/vector100r","HDLBits")</x:f>
        <x:v>HYPERLINK is not implemented. linkLocation=https://hdlbits.01xz.net/wiki/vector100r, friendlyName=HDLBits</x:v>
      </x:c>
      <x:c r="T52" s="50" t="str">
        <x:v>Use a combinational for loop to reverse all 100 bits of a vector.</x:v>
      </x:c>
      <x:c r="U52" s="50"/>
    </x:row>
    <x:row r="53" ht="34" customHeight="1">
      <x:c r="A53" s="26" t="n">
        <x:v>41</x:v>
      </x:c>
      <x:c r="B53" s="26" t="n">
        <x:v>39</x:v>
      </x:c>
      <x:c r="C53" s="23" t="str">
        <x:v>Verilog Language</x:v>
      </x:c>
      <x:c r="D53" s="23" t="str">
        <x:v>More Verilog Features</x:v>
      </x:c>
      <x:c r="E53" s="23" t="str">
        <x:v>Combinational for-loop: 255-bit population count</x:v>
      </x:c>
      <x:c r="F53" s="23" t="str">
        <x:v>popcount255</x:v>
      </x:c>
      <x:c r="G53" s="26" t="str">
        <x:v>Completed</x:v>
      </x:c>
      <x:c r="H53" s="26" t="str">
        <x:v>Day 02</x:v>
      </x:c>
      <x:c r="I53" s="32" t="n">
        <x:v>46197</x:v>
      </x:c>
      <x:c r="J53" s="26" t="str">
        <x:v>6:39:46 PM</x:v>
      </x:c>
      <x:c r="K53" s="26" t="n">
        <x:v>22</x:v>
      </x:c>
      <x:c r="L53" s="26" t="n">
        <x:v>5</x:v>
      </x:c>
      <x:c r="M53" s="26" t="n">
        <x:v>16</x:v>
      </x:c>
      <x:c r="N53" s="26" t="n">
        <x:v>0</x:v>
      </x:c>
      <x:c r="O53" s="35" t="n">
        <x:v>0.05</x:v>
      </x:c>
      <x:c r="P53" s="29" t="e">
        <x:f>HYPERLINK("https://github.com/kapiltrip/hdlBits/blob/main/problems/Day%2002/039-popcount255.md","Note")</x:f>
        <x:v>HYPERLINK is not implemented. linkLocation=https://github.com/kapiltrip/hdlBits/blob/main/problems/Day%2002/039-popcount255.md, friendlyName=Note</x:v>
      </x:c>
      <x:c r="Q53" s="29" t="e">
        <x:f>HYPERLINK("https://github.com/kapiltrip/hdlBits/blob/main/images/Day%2002/039-popcount255.png","Image")</x:f>
        <x:v>HYPERLINK is not implemented. linkLocation=https://github.com/kapiltrip/hdlBits/blob/main/images/Day%2002/039-popcount255.png, friendlyName=Image</x:v>
      </x:c>
      <x:c r="R53" s="29" t="e">
        <x:f>HYPERLINK("https://github.com/kapiltrip/hdlBits/blob/main/solutions/Day%2002/039-popcount255.sv","Code")</x:f>
        <x:v>HYPERLINK is not implemented. linkLocation=https://github.com/kapiltrip/hdlBits/blob/main/solutions/Day%2002/039-popcount255.sv, friendlyName=Code</x:v>
      </x:c>
      <x:c r="S53" s="29" t="e">
        <x:f>HYPERLINK("https://hdlbits.01xz.net/wiki/popcount255","HDLBits")</x:f>
        <x:v>HYPERLINK is not implemented. linkLocation=https://hdlbits.01xz.net/wiki/popcount255, friendlyName=HDLBits</x:v>
      </x:c>
      <x:c r="T53" s="23" t="str">
        <x:v>Count how many bits are high in a 255-bit input vector using combinational accumulation.</x:v>
      </x:c>
      <x:c r="U53" s="23"/>
    </x:row>
    <x:row r="54" ht="34" customHeight="1">
      <x:c r="A54" s="49" t="n">
        <x:v>42</x:v>
      </x:c>
      <x:c r="B54" s="49" t="n">
        <x:v>40</x:v>
      </x:c>
      <x:c r="C54" s="50" t="str">
        <x:v>Verilog Language</x:v>
      </x:c>
      <x:c r="D54" s="50" t="str">
        <x:v>More Verilog Features</x:v>
      </x:c>
      <x:c r="E54" s="50" t="str">
        <x:v>Generate for-loop: 100-bit binary adder 2</x:v>
      </x:c>
      <x:c r="F54" s="50" t="str">
        <x:v>adder100i</x:v>
      </x:c>
      <x:c r="G54" s="49" t="str">
        <x:v>Completed</x:v>
      </x:c>
      <x:c r="H54" s="49" t="str">
        <x:v>Day 02</x:v>
      </x:c>
      <x:c r="I54" s="51" t="n">
        <x:v>46197</x:v>
      </x:c>
      <x:c r="J54" s="49" t="str">
        <x:v>10:43:46 PM</x:v>
      </x:c>
      <x:c r="K54" s="49" t="n">
        <x:v>19</x:v>
      </x:c>
      <x:c r="L54" s="49" t="n">
        <x:v>11</x:v>
      </x:c>
      <x:c r="M54" s="49" t="n">
        <x:v>7</x:v>
      </x:c>
      <x:c r="N54" s="49" t="n">
        <x:v>0</x:v>
      </x:c>
      <x:c r="O54" s="52" t="n">
        <x:v>0.05</x:v>
      </x:c>
      <x:c r="P54" s="53" t="e">
        <x:f>HYPERLINK("https://github.com/kapiltrip/hdlBits/blob/main/problems/Day%2002/040-adder100i.md","Note")</x:f>
        <x:v>HYPERLINK is not implemented. linkLocation=https://github.com/kapiltrip/hdlBits/blob/main/problems/Day%2002/040-adder100i.md, friendlyName=Note</x:v>
      </x:c>
      <x:c r="Q54" s="53" t="e">
        <x:f>HYPERLINK("https://github.com/kapiltrip/hdlBits/blob/main/images/Day%2002/040-adder100i.png","Image")</x:f>
        <x:v>HYPERLINK is not implemented. linkLocation=https://github.com/kapiltrip/hdlBits/blob/main/images/Day%2002/040-adder100i.png, friendlyName=Image</x:v>
      </x:c>
      <x:c r="R54" s="53" t="e">
        <x:f>HYPERLINK("https://github.com/kapiltrip/hdlBits/blob/main/solutions/Day%2002/040-adder100i.sv","Code")</x:f>
        <x:v>HYPERLINK is not implemented. linkLocation=https://github.com/kapiltrip/hdlBits/blob/main/solutions/Day%2002/040-adder100i.sv, friendlyName=Code</x:v>
      </x:c>
      <x:c r="S54" s="53" t="e">
        <x:f>HYPERLINK("https://hdlbits.01xz.net/wiki/adder100i","HDLBits")</x:f>
        <x:v>HYPERLINK is not implemented. linkLocation=https://hdlbits.01xz.net/wiki/adder100i, friendlyName=HDLBits</x:v>
      </x:c>
      <x:c r="T54" s="50" t="str">
        <x:v>Generate a 100-bit ripple-carry adder and return both the sum and the carry from every bit stage.</x:v>
      </x:c>
      <x:c r="U54" s="50"/>
    </x:row>
    <x:row r="55" ht="34" customHeight="1">
      <x:c r="A55" s="26" t="n">
        <x:v>43</x:v>
      </x:c>
      <x:c r="B55" s="26" t="n">
        <x:v>41</x:v>
      </x:c>
      <x:c r="C55" s="23" t="str">
        <x:v>Verilog Language</x:v>
      </x:c>
      <x:c r="D55" s="23" t="str">
        <x:v>More Verilog Features</x:v>
      </x:c>
      <x:c r="E55" s="23" t="str">
        <x:v>Generate for-loop: 100-digit BCD adder</x:v>
      </x:c>
      <x:c r="F55" s="23" t="str">
        <x:v>bcdadd100</x:v>
      </x:c>
      <x:c r="G55" s="26" t="str">
        <x:v>Completed</x:v>
      </x:c>
      <x:c r="H55" s="26" t="str">
        <x:v>Day 03</x:v>
      </x:c>
      <x:c r="I55" s="32" t="n">
        <x:v>46198</x:v>
      </x:c>
      <x:c r="J55" s="26" t="str">
        <x:v>12:00:14 AM</x:v>
      </x:c>
      <x:c r="K55" s="26" t="n">
        <x:v>6</x:v>
      </x:c>
      <x:c r="L55" s="26" t="n">
        <x:v>2</x:v>
      </x:c>
      <x:c r="M55" s="26" t="n">
        <x:v>3</x:v>
      </x:c>
      <x:c r="N55" s="26" t="n">
        <x:v>0</x:v>
      </x:c>
      <x:c r="O55" s="35" t="n">
        <x:v>0.17</x:v>
      </x:c>
      <x:c r="P55" s="29" t="e">
        <x:f>HYPERLINK("https://github.com/kapiltrip/hdlBits/blob/main/problems/Day%2003/041-bcdadd100.md","Note")</x:f>
        <x:v>HYPERLINK is not implemented. linkLocation=https://github.com/kapiltrip/hdlBits/blob/main/problems/Day%2003/041-bcdadd100.md, friendlyName=Note</x:v>
      </x:c>
      <x:c r="Q55" s="29" t="e">
        <x:f>HYPERLINK("https://github.com/kapiltrip/hdlBits/blob/main/images/Day%2003/041-bcdadd100.png","Image")</x:f>
        <x:v>HYPERLINK is not implemented. linkLocation=https://github.com/kapiltrip/hdlBits/blob/main/images/Day%2003/041-bcdadd100.png, friendlyName=Image</x:v>
      </x:c>
      <x:c r="R55" s="29" t="e">
        <x:f>HYPERLINK("https://github.com/kapiltrip/hdlBits/blob/main/solutions/Day%2003/041-bcdadd100.sv","Code")</x:f>
        <x:v>HYPERLINK is not implemented. linkLocation=https://github.com/kapiltrip/hdlBits/blob/main/solutions/Day%2003/041-bcdadd100.sv, friendlyName=Code</x:v>
      </x:c>
      <x:c r="S55" s="29" t="e">
        <x:f>HYPERLINK("https://hdlbits.01xz.net/wiki/bcdadd100","HDLBits")</x:f>
        <x:v>HYPERLINK is not implemented. linkLocation=https://hdlbits.01xz.net/wiki/bcdadd100, friendlyName=HDLBits</x:v>
      </x:c>
      <x:c r="T55" s="23" t="str">
        <x:v>Chain 100 one-digit BCD adders to add two 100-digit decimal numbers with carry propagation.</x:v>
      </x:c>
      <x:c r="U55" s="23"/>
    </x:row>
    <x:row r="56" ht="25" customHeight="1">
      <x:c r="A56" s="63" t="str">
        <x:v>SECTION · Circuits</x:v>
      </x:c>
      <x:c r="B56" s="63"/>
      <x:c r="C56" s="63"/>
      <x:c r="D56" s="63"/>
      <x:c r="E56" s="63"/>
      <x:c r="F56" s="63"/>
      <x:c r="G56" s="63"/>
      <x:c r="H56" s="63"/>
      <x:c r="I56" s="64"/>
      <x:c r="J56" s="63"/>
      <x:c r="K56" s="63"/>
      <x:c r="L56" s="63"/>
      <x:c r="M56" s="63"/>
      <x:c r="N56" s="63"/>
      <x:c r="O56" s="65"/>
      <x:c r="P56" s="63"/>
      <x:c r="Q56" s="63"/>
      <x:c r="R56" s="63"/>
      <x:c r="S56" s="63"/>
      <x:c r="T56" s="63"/>
      <x:c r="U56" s="63"/>
    </x:row>
    <x:row r="57" ht="22" customHeight="1">
      <x:c r="A57" s="79" t="str">
        <x:v>SUBSECTION · Combinational Logic → Basic Gates</x:v>
      </x:c>
      <x:c r="B57" s="79"/>
      <x:c r="C57" s="79"/>
      <x:c r="D57" s="79"/>
      <x:c r="E57" s="79"/>
      <x:c r="F57" s="79"/>
      <x:c r="G57" s="79"/>
      <x:c r="H57" s="79"/>
      <x:c r="I57" s="80"/>
      <x:c r="J57" s="79"/>
      <x:c r="K57" s="79"/>
      <x:c r="L57" s="79"/>
      <x:c r="M57" s="79"/>
      <x:c r="N57" s="79"/>
      <x:c r="O57" s="81"/>
      <x:c r="P57" s="79"/>
      <x:c r="Q57" s="79"/>
      <x:c r="R57" s="79"/>
      <x:c r="S57" s="79"/>
      <x:c r="T57" s="79"/>
      <x:c r="U57" s="79"/>
    </x:row>
    <x:row r="58" ht="34" customHeight="1">
      <x:c r="A58" s="49" t="n">
        <x:v>44</x:v>
      </x:c>
      <x:c r="B58" s="49" t="n">
        <x:v>42</x:v>
      </x:c>
      <x:c r="C58" s="50" t="str">
        <x:v>Circuits</x:v>
      </x:c>
      <x:c r="D58" s="50" t="str">
        <x:v>Combinational Logic → Basic Gates</x:v>
      </x:c>
      <x:c r="E58" s="50" t="str">
        <x:v>Wire</x:v>
      </x:c>
      <x:c r="F58" s="50" t="str">
        <x:v>exams/m2014_q4h</x:v>
      </x:c>
      <x:c r="G58" s="49" t="str">
        <x:v>Completed</x:v>
      </x:c>
      <x:c r="H58" s="49" t="str">
        <x:v>Day 02</x:v>
      </x:c>
      <x:c r="I58" s="51" t="n">
        <x:v>46197</x:v>
      </x:c>
      <x:c r="J58" s="49" t="str">
        <x:v>11:31:58 PM</x:v>
      </x:c>
      <x:c r="K58" s="49" t="n">
        <x:v>1</x:v>
      </x:c>
      <x:c r="L58" s="49" t="n">
        <x:v>0</x:v>
      </x:c>
      <x:c r="M58" s="49" t="n">
        <x:v>0</x:v>
      </x:c>
      <x:c r="N58" s="49" t="n">
        <x:v>0</x:v>
      </x:c>
      <x:c r="O58" s="52" t="n">
        <x:v>1</x:v>
      </x:c>
      <x:c r="P58" s="53" t="e">
        <x:f>HYPERLINK("https://github.com/kapiltrip/hdlBits/blob/main/problems/Day%2002/042-exams__m2014_q4h.md","Note")</x:f>
        <x:v>HYPERLINK is not implemented. linkLocation=https://github.com/kapiltrip/hdlBits/blob/main/problems/Day%2002/042-exams__m2014_q4h.md, friendlyName=Note</x:v>
      </x:c>
      <x:c r="Q58" s="53" t="e">
        <x:f>HYPERLINK("https://github.com/kapiltrip/hdlBits/blob/main/images/Day%2002/042-exams__m2014_q4h.png","Image")</x:f>
        <x:v>HYPERLINK is not implemented. linkLocation=https://github.com/kapiltrip/hdlBits/blob/main/images/Day%2002/042-exams__m2014_q4h.png, friendlyName=Image</x:v>
      </x:c>
      <x:c r="R58" s="53" t="e">
        <x:f>HYPERLINK("https://github.com/kapiltrip/hdlBits/blob/main/solutions/Day%2002/042-exams__m2014_q4h.sv","Code")</x:f>
        <x:v>HYPERLINK is not implemented. linkLocation=https://github.com/kapiltrip/hdlBits/blob/main/solutions/Day%2002/042-exams__m2014_q4h.sv, friendlyName=Code</x:v>
      </x:c>
      <x:c r="S58" s="53" t="e">
        <x:f>HYPERLINK("https://hdlbits.01xz.net/wiki/exams/m2014_q4h","HDLBits")</x:f>
        <x:v>HYPERLINK is not implemented. linkLocation=https://hdlbits.01xz.net/wiki/exams/m2014_q4h, friendlyName=HDLBits</x:v>
      </x:c>
      <x:c r="T58" s="50" t="str">
        <x:v>Implement the shown circuit's output as a direct wire connection.</x:v>
      </x:c>
      <x:c r="U58" s="50"/>
    </x:row>
    <x:row r="59" ht="34" customHeight="1">
      <x:c r="A59" s="26" t="n">
        <x:v>45</x:v>
      </x:c>
      <x:c r="B59" s="26" t="n">
        <x:v>43</x:v>
      </x:c>
      <x:c r="C59" s="23" t="str">
        <x:v>Circuits</x:v>
      </x:c>
      <x:c r="D59" s="23" t="str">
        <x:v>Combinational Logic → Basic Gates</x:v>
      </x:c>
      <x:c r="E59" s="23" t="str">
        <x:v>GND</x:v>
      </x:c>
      <x:c r="F59" s="23" t="str">
        <x:v>exams/m2014_q4i</x:v>
      </x:c>
      <x:c r="G59" s="26" t="str">
        <x:v>Completed</x:v>
      </x:c>
      <x:c r="H59" s="26" t="str">
        <x:v>Day 02</x:v>
      </x:c>
      <x:c r="I59" s="32" t="n">
        <x:v>46197</x:v>
      </x:c>
      <x:c r="J59" s="26" t="str">
        <x:v>11:32:26 PM</x:v>
      </x:c>
      <x:c r="K59" s="26" t="n">
        <x:v>1</x:v>
      </x:c>
      <x:c r="L59" s="26" t="n">
        <x:v>0</x:v>
      </x:c>
      <x:c r="M59" s="26" t="n">
        <x:v>0</x:v>
      </x:c>
      <x:c r="N59" s="26" t="n">
        <x:v>0</x:v>
      </x:c>
      <x:c r="O59" s="35" t="n">
        <x:v>1</x:v>
      </x:c>
      <x:c r="P59" s="29" t="e">
        <x:f>HYPERLINK("https://github.com/kapiltrip/hdlBits/blob/main/problems/Day%2002/043-exams__m2014_q4i.md","Note")</x:f>
        <x:v>HYPERLINK is not implemented. linkLocation=https://github.com/kapiltrip/hdlBits/blob/main/problems/Day%2002/043-exams__m2014_q4i.md, friendlyName=Note</x:v>
      </x:c>
      <x:c r="Q59" s="29" t="e">
        <x:f>HYPERLINK("https://github.com/kapiltrip/hdlBits/blob/main/images/Day%2002/043-exams__m2014_q4i.png","Image")</x:f>
        <x:v>HYPERLINK is not implemented. linkLocation=https://github.com/kapiltrip/hdlBits/blob/main/images/Day%2002/043-exams__m2014_q4i.png, friendlyName=Image</x:v>
      </x:c>
      <x:c r="R59" s="29" t="e">
        <x:f>HYPERLINK("https://github.com/kapiltrip/hdlBits/blob/main/solutions/Day%2002/043-exams__m2014_q4i.sv","Code")</x:f>
        <x:v>HYPERLINK is not implemented. linkLocation=https://github.com/kapiltrip/hdlBits/blob/main/solutions/Day%2002/043-exams__m2014_q4i.sv, friendlyName=Code</x:v>
      </x:c>
      <x:c r="S59" s="29" t="e">
        <x:f>HYPERLINK("https://hdlbits.01xz.net/wiki/exams/m2014_q4i","HDLBits")</x:f>
        <x:v>HYPERLINK is not implemented. linkLocation=https://hdlbits.01xz.net/wiki/exams/m2014_q4i, friendlyName=HDLBits</x:v>
      </x:c>
      <x:c r="T59" s="23" t="str">
        <x:v>Tie the requested output permanently low to represent ground.</x:v>
      </x:c>
      <x:c r="U59" s="23"/>
    </x:row>
    <x:row r="60" ht="34" customHeight="1">
      <x:c r="A60" s="49" t="n">
        <x:v>46</x:v>
      </x:c>
      <x:c r="B60" s="49" t="n">
        <x:v>44</x:v>
      </x:c>
      <x:c r="C60" s="50" t="str">
        <x:v>Circuits</x:v>
      </x:c>
      <x:c r="D60" s="50" t="str">
        <x:v>Combinational Logic → Basic Gates</x:v>
      </x:c>
      <x:c r="E60" s="50" t="str">
        <x:v>NOR</x:v>
      </x:c>
      <x:c r="F60" s="50" t="str">
        <x:v>exams/m2014_q4e</x:v>
      </x:c>
      <x:c r="G60" s="49" t="str">
        <x:v>Completed</x:v>
      </x:c>
      <x:c r="H60" s="49" t="str">
        <x:v>Day 02</x:v>
      </x:c>
      <x:c r="I60" s="51" t="n">
        <x:v>46197</x:v>
      </x:c>
      <x:c r="J60" s="49" t="str">
        <x:v>11:33:43 PM</x:v>
      </x:c>
      <x:c r="K60" s="49" t="n">
        <x:v>2</x:v>
      </x:c>
      <x:c r="L60" s="49" t="n">
        <x:v>1</x:v>
      </x:c>
      <x:c r="M60" s="49" t="n">
        <x:v>0</x:v>
      </x:c>
      <x:c r="N60" s="49" t="n">
        <x:v>0</x:v>
      </x:c>
      <x:c r="O60" s="52" t="n">
        <x:v>0.5</x:v>
      </x:c>
      <x:c r="P60" s="53" t="e">
        <x:f>HYPERLINK("https://github.com/kapiltrip/hdlBits/blob/main/problems/Day%2002/044-exams__m2014_q4e.md","Note")</x:f>
        <x:v>HYPERLINK is not implemented. linkLocation=https://github.com/kapiltrip/hdlBits/blob/main/problems/Day%2002/044-exams__m2014_q4e.md, friendlyName=Note</x:v>
      </x:c>
      <x:c r="Q60" s="53" t="e">
        <x:f>HYPERLINK("https://github.com/kapiltrip/hdlBits/blob/main/images/Day%2002/044-exams__m2014_q4e.png","Image")</x:f>
        <x:v>HYPERLINK is not implemented. linkLocation=https://github.com/kapiltrip/hdlBits/blob/main/images/Day%2002/044-exams__m2014_q4e.png, friendlyName=Image</x:v>
      </x:c>
      <x:c r="R60" s="53" t="e">
        <x:f>HYPERLINK("https://github.com/kapiltrip/hdlBits/blob/main/solutions/Day%2002/044-exams__m2014_q4e.sv","Code")</x:f>
        <x:v>HYPERLINK is not implemented. linkLocation=https://github.com/kapiltrip/hdlBits/blob/main/solutions/Day%2002/044-exams__m2014_q4e.sv, friendlyName=Code</x:v>
      </x:c>
      <x:c r="S60" s="53" t="e">
        <x:f>HYPERLINK("https://hdlbits.01xz.net/wiki/exams/m2014_q4e","HDLBits")</x:f>
        <x:v>HYPERLINK is not implemented. linkLocation=https://hdlbits.01xz.net/wiki/exams/m2014_q4e, friendlyName=HDLBits</x:v>
      </x:c>
      <x:c r="T60" s="50" t="str">
        <x:v>Translate the shown gate symbol into the equivalent NOR logic expression.</x:v>
      </x:c>
      <x:c r="U60" s="50"/>
    </x:row>
    <x:row r="61" ht="34" customHeight="1">
      <x:c r="A61" s="26" t="n">
        <x:v>47</x:v>
      </x:c>
      <x:c r="B61" s="26" t="n">
        <x:v>45</x:v>
      </x:c>
      <x:c r="C61" s="23" t="str">
        <x:v>Circuits</x:v>
      </x:c>
      <x:c r="D61" s="23" t="str">
        <x:v>Combinational Logic → Basic Gates</x:v>
      </x:c>
      <x:c r="E61" s="23" t="str">
        <x:v>Another gate</x:v>
      </x:c>
      <x:c r="F61" s="23" t="str">
        <x:v>exams/m2014_q4f</x:v>
      </x:c>
      <x:c r="G61" s="26" t="str">
        <x:v>Completed</x:v>
      </x:c>
      <x:c r="H61" s="26" t="str">
        <x:v>Day 02</x:v>
      </x:c>
      <x:c r="I61" s="32" t="n">
        <x:v>46197</x:v>
      </x:c>
      <x:c r="J61" s="26" t="str">
        <x:v>11:33:25 PM</x:v>
      </x:c>
      <x:c r="K61" s="26" t="n">
        <x:v>1</x:v>
      </x:c>
      <x:c r="L61" s="26" t="n">
        <x:v>0</x:v>
      </x:c>
      <x:c r="M61" s="26" t="n">
        <x:v>0</x:v>
      </x:c>
      <x:c r="N61" s="26" t="n">
        <x:v>0</x:v>
      </x:c>
      <x:c r="O61" s="35" t="n">
        <x:v>1</x:v>
      </x:c>
      <x:c r="P61" s="29" t="e">
        <x:f>HYPERLINK("https://github.com/kapiltrip/hdlBits/blob/main/problems/Day%2002/045-exams__m2014_q4f.md","Note")</x:f>
        <x:v>HYPERLINK is not implemented. linkLocation=https://github.com/kapiltrip/hdlBits/blob/main/problems/Day%2002/045-exams__m2014_q4f.md, friendlyName=Note</x:v>
      </x:c>
      <x:c r="Q61" s="29" t="e">
        <x:f>HYPERLINK("https://github.com/kapiltrip/hdlBits/blob/main/images/Day%2002/045-exams__m2014_q4f.png","Image")</x:f>
        <x:v>HYPERLINK is not implemented. linkLocation=https://github.com/kapiltrip/hdlBits/blob/main/images/Day%2002/045-exams__m2014_q4f.png, friendlyName=Image</x:v>
      </x:c>
      <x:c r="R61" s="29" t="e">
        <x:f>HYPERLINK("https://github.com/kapiltrip/hdlBits/blob/main/solutions/Day%2002/045-exams__m2014_q4f.sv","Code")</x:f>
        <x:v>HYPERLINK is not implemented. linkLocation=https://github.com/kapiltrip/hdlBits/blob/main/solutions/Day%2002/045-exams__m2014_q4f.sv, friendlyName=Code</x:v>
      </x:c>
      <x:c r="S61" s="29" t="e">
        <x:f>HYPERLINK("https://hdlbits.01xz.net/wiki/exams/m2014_q4f","HDLBits")</x:f>
        <x:v>HYPERLINK is not implemented. linkLocation=https://hdlbits.01xz.net/wiki/exams/m2014_q4f, friendlyName=HDLBits</x:v>
      </x:c>
      <x:c r="T61" s="23" t="str">
        <x:v>Identify the function of the shown gate circuit and express it correctly in Verilog.</x:v>
      </x:c>
      <x:c r="U61" s="23"/>
    </x:row>
    <x:row r="62" ht="34" customHeight="1">
      <x:c r="A62" s="49" t="n">
        <x:v>48</x:v>
      </x:c>
      <x:c r="B62" s="49" t="n">
        <x:v>46</x:v>
      </x:c>
      <x:c r="C62" s="50" t="str">
        <x:v>Circuits</x:v>
      </x:c>
      <x:c r="D62" s="50" t="str">
        <x:v>Combinational Logic → Basic Gates</x:v>
      </x:c>
      <x:c r="E62" s="50" t="str">
        <x:v>Two gates</x:v>
      </x:c>
      <x:c r="F62" s="50" t="str">
        <x:v>exams/m2014_q4g</x:v>
      </x:c>
      <x:c r="G62" s="49" t="str">
        <x:v>Completed</x:v>
      </x:c>
      <x:c r="H62" s="49" t="str">
        <x:v>Day 02</x:v>
      </x:c>
      <x:c r="I62" s="51" t="n">
        <x:v>46197</x:v>
      </x:c>
      <x:c r="J62" s="49" t="str">
        <x:v>11:58:42 PM</x:v>
      </x:c>
      <x:c r="K62" s="49" t="n">
        <x:v>1</x:v>
      </x:c>
      <x:c r="L62" s="49" t="n">
        <x:v>0</x:v>
      </x:c>
      <x:c r="M62" s="49" t="n">
        <x:v>0</x:v>
      </x:c>
      <x:c r="N62" s="49" t="n">
        <x:v>0</x:v>
      </x:c>
      <x:c r="O62" s="52" t="n">
        <x:v>1</x:v>
      </x:c>
      <x:c r="P62" s="53" t="e">
        <x:f>HYPERLINK("https://github.com/kapiltrip/hdlBits/blob/main/problems/Day%2002/046-exams__m2014_q4g.md","Note")</x:f>
        <x:v>HYPERLINK is not implemented. linkLocation=https://github.com/kapiltrip/hdlBits/blob/main/problems/Day%2002/046-exams__m2014_q4g.md, friendlyName=Note</x:v>
      </x:c>
      <x:c r="Q62" s="53" t="e">
        <x:f>HYPERLINK("https://github.com/kapiltrip/hdlBits/blob/main/images/Day%2002/046-exams__m2014_q4g.png","Image")</x:f>
        <x:v>HYPERLINK is not implemented. linkLocation=https://github.com/kapiltrip/hdlBits/blob/main/images/Day%2002/046-exams__m2014_q4g.png, friendlyName=Image</x:v>
      </x:c>
      <x:c r="R62" s="53" t="e">
        <x:f>HYPERLINK("https://github.com/kapiltrip/hdlBits/blob/main/solutions/Day%2002/046-exams__m2014_q4g.sv","Code")</x:f>
        <x:v>HYPERLINK is not implemented. linkLocation=https://github.com/kapiltrip/hdlBits/blob/main/solutions/Day%2002/046-exams__m2014_q4g.sv, friendlyName=Code</x:v>
      </x:c>
      <x:c r="S62" s="53" t="e">
        <x:f>HYPERLINK("https://hdlbits.01xz.net/wiki/exams/m2014_q4g","HDLBits")</x:f>
        <x:v>HYPERLINK is not implemented. linkLocation=https://hdlbits.01xz.net/wiki/exams/m2014_q4g, friendlyName=HDLBits</x:v>
      </x:c>
      <x:c r="T62" s="50" t="str">
        <x:v>Translate the two-gate schematic into a single correct combinational output expression.</x:v>
      </x:c>
      <x:c r="U62" s="50"/>
    </x:row>
    <x:row r="63" ht="34" customHeight="1">
      <x:c r="A63" s="26" t="n">
        <x:v>49</x:v>
      </x:c>
      <x:c r="B63" s="26" t="n">
        <x:v>47</x:v>
      </x:c>
      <x:c r="C63" s="23" t="str">
        <x:v>Circuits</x:v>
      </x:c>
      <x:c r="D63" s="23" t="str">
        <x:v>Combinational Logic → Basic Gates</x:v>
      </x:c>
      <x:c r="E63" s="23" t="str">
        <x:v>More logic gates</x:v>
      </x:c>
      <x:c r="F63" s="23" t="str">
        <x:v>gates</x:v>
      </x:c>
      <x:c r="G63" s="26" t="str">
        <x:v>Completed</x:v>
      </x:c>
      <x:c r="H63" s="26" t="str">
        <x:v>Day 03</x:v>
      </x:c>
      <x:c r="I63" s="32" t="n">
        <x:v>46198</x:v>
      </x:c>
      <x:c r="J63" s="26" t="str">
        <x:v>12:04:10 AM</x:v>
      </x:c>
      <x:c r="K63" s="26" t="n">
        <x:v>2</x:v>
      </x:c>
      <x:c r="L63" s="26" t="n">
        <x:v>0</x:v>
      </x:c>
      <x:c r="M63" s="26" t="n">
        <x:v>1</x:v>
      </x:c>
      <x:c r="N63" s="26" t="n">
        <x:v>0</x:v>
      </x:c>
      <x:c r="O63" s="35" t="n">
        <x:v>0.5</x:v>
      </x:c>
      <x:c r="P63" s="29" t="e">
        <x:f>HYPERLINK("https://github.com/kapiltrip/hdlBits/blob/main/problems/Day%2003/047-gates.md","Note")</x:f>
        <x:v>HYPERLINK is not implemented. linkLocation=https://github.com/kapiltrip/hdlBits/blob/main/problems/Day%2003/047-gates.md, friendlyName=Note</x:v>
      </x:c>
      <x:c r="Q63" s="29" t="e">
        <x:f>HYPERLINK("https://github.com/kapiltrip/hdlBits/blob/main/images/Day%2003/047-gates.png","Image")</x:f>
        <x:v>HYPERLINK is not implemented. linkLocation=https://github.com/kapiltrip/hdlBits/blob/main/images/Day%2003/047-gates.png, friendlyName=Image</x:v>
      </x:c>
      <x:c r="R63" s="29" t="e">
        <x:f>HYPERLINK("https://github.com/kapiltrip/hdlBits/blob/main/solutions/Day%2003/047-gates.sv","Code")</x:f>
        <x:v>HYPERLINK is not implemented. linkLocation=https://github.com/kapiltrip/hdlBits/blob/main/solutions/Day%2003/047-gates.sv, friendlyName=Code</x:v>
      </x:c>
      <x:c r="S63" s="29" t="e">
        <x:f>HYPERLINK("https://hdlbits.01xz.net/wiki/gates","HDLBits")</x:f>
        <x:v>HYPERLINK is not implemented. linkLocation=https://hdlbits.01xz.net/wiki/gates, friendlyName=HDLBits</x:v>
      </x:c>
      <x:c r="T63" s="23" t="str">
        <x:v>Implement several basic gates at once, including bitwise outputs and their logical complements.</x:v>
      </x:c>
      <x:c r="U63" s="23"/>
    </x:row>
    <x:row r="64" ht="34" customHeight="1">
      <x:c r="A64" s="49" t="n">
        <x:v>50</x:v>
      </x:c>
      <x:c r="B64" s="49" t="n">
        <x:v>48</x:v>
      </x:c>
      <x:c r="C64" s="50" t="str">
        <x:v>Circuits</x:v>
      </x:c>
      <x:c r="D64" s="50" t="str">
        <x:v>Combinational Logic → Basic Gates</x:v>
      </x:c>
      <x:c r="E64" s="50" t="str">
        <x:v>7420 chip</x:v>
      </x:c>
      <x:c r="F64" s="50" t="str">
        <x:v>7420</x:v>
      </x:c>
      <x:c r="G64" s="49" t="str">
        <x:v>Completed</x:v>
      </x:c>
      <x:c r="H64" s="49" t="str">
        <x:v>Day 03</x:v>
      </x:c>
      <x:c r="I64" s="51" t="n">
        <x:v>46198</x:v>
      </x:c>
      <x:c r="J64" s="49" t="str">
        <x:v>12:05:55 AM</x:v>
      </x:c>
      <x:c r="K64" s="49" t="n">
        <x:v>1</x:v>
      </x:c>
      <x:c r="L64" s="49" t="n">
        <x:v>0</x:v>
      </x:c>
      <x:c r="M64" s="49" t="n">
        <x:v>0</x:v>
      </x:c>
      <x:c r="N64" s="49" t="n">
        <x:v>0</x:v>
      </x:c>
      <x:c r="O64" s="52" t="n">
        <x:v>1</x:v>
      </x:c>
      <x:c r="P64" s="53" t="e">
        <x:f>HYPERLINK("https://github.com/kapiltrip/hdlBits/blob/main/problems/Day%2003/048-7420.md","Note")</x:f>
        <x:v>HYPERLINK is not implemented. linkLocation=https://github.com/kapiltrip/hdlBits/blob/main/problems/Day%2003/048-7420.md, friendlyName=Note</x:v>
      </x:c>
      <x:c r="Q64" s="53" t="e">
        <x:f>HYPERLINK("https://github.com/kapiltrip/hdlBits/blob/main/images/Day%2003/048-7420.png","Image")</x:f>
        <x:v>HYPERLINK is not implemented. linkLocation=https://github.com/kapiltrip/hdlBits/blob/main/images/Day%2003/048-7420.png, friendlyName=Image</x:v>
      </x:c>
      <x:c r="R64" s="53" t="e">
        <x:f>HYPERLINK("https://github.com/kapiltrip/hdlBits/blob/main/solutions/Day%2003/048-7420.sv","Code")</x:f>
        <x:v>HYPERLINK is not implemented. linkLocation=https://github.com/kapiltrip/hdlBits/blob/main/solutions/Day%2003/048-7420.sv, friendlyName=Code</x:v>
      </x:c>
      <x:c r="S64" s="53" t="e">
        <x:f>HYPERLINK("https://hdlbits.01xz.net/wiki/7420","HDLBits")</x:f>
        <x:v>HYPERLINK is not implemented. linkLocation=https://hdlbits.01xz.net/wiki/7420, friendlyName=HDLBits</x:v>
      </x:c>
      <x:c r="T64" s="50" t="str">
        <x:v>Model a 7420 chip containing two independent four-input NAND gates.</x:v>
      </x:c>
      <x:c r="U64" s="50"/>
    </x:row>
    <x:row r="65" ht="34" customHeight="1">
      <x:c r="A65" s="26" t="n">
        <x:v>51</x:v>
      </x:c>
      <x:c r="B65" s="26" t="n">
        <x:v>49</x:v>
      </x:c>
      <x:c r="C65" s="23" t="str">
        <x:v>Circuits</x:v>
      </x:c>
      <x:c r="D65" s="23" t="str">
        <x:v>Combinational Logic → Basic Gates</x:v>
      </x:c>
      <x:c r="E65" s="23" t="str">
        <x:v>Truth tables</x:v>
      </x:c>
      <x:c r="F65" s="23" t="str">
        <x:v>truthtable1</x:v>
      </x:c>
      <x:c r="G65" s="26" t="str">
        <x:v>Completed</x:v>
      </x:c>
      <x:c r="H65" s="26" t="str">
        <x:v>Day 03</x:v>
      </x:c>
      <x:c r="I65" s="32" t="n">
        <x:v>46198</x:v>
      </x:c>
      <x:c r="J65" s="26" t="str">
        <x:v>12:12:33 AM</x:v>
      </x:c>
      <x:c r="K65" s="26" t="n">
        <x:v>1</x:v>
      </x:c>
      <x:c r="L65" s="26" t="n">
        <x:v>0</x:v>
      </x:c>
      <x:c r="M65" s="26" t="n">
        <x:v>0</x:v>
      </x:c>
      <x:c r="N65" s="26" t="n">
        <x:v>0</x:v>
      </x:c>
      <x:c r="O65" s="35" t="n">
        <x:v>1</x:v>
      </x:c>
      <x:c r="P65" s="29" t="e">
        <x:f>HYPERLINK("https://github.com/kapiltrip/hdlBits/blob/main/problems/Day%2003/049-truthtable1.md","Note")</x:f>
        <x:v>HYPERLINK is not implemented. linkLocation=https://github.com/kapiltrip/hdlBits/blob/main/problems/Day%2003/049-truthtable1.md, friendlyName=Note</x:v>
      </x:c>
      <x:c r="Q65" s="29" t="e">
        <x:f>HYPERLINK("https://github.com/kapiltrip/hdlBits/blob/main/images/Day%2003/049-truthtable1.png","Image")</x:f>
        <x:v>HYPERLINK is not implemented. linkLocation=https://github.com/kapiltrip/hdlBits/blob/main/images/Day%2003/049-truthtable1.png, friendlyName=Image</x:v>
      </x:c>
      <x:c r="R65" s="29" t="e">
        <x:f>HYPERLINK("https://github.com/kapiltrip/hdlBits/blob/main/solutions/Day%2003/049-truthtable1.sv","Code")</x:f>
        <x:v>HYPERLINK is not implemented. linkLocation=https://github.com/kapiltrip/hdlBits/blob/main/solutions/Day%2003/049-truthtable1.sv, friendlyName=Code</x:v>
      </x:c>
      <x:c r="S65" s="29" t="e">
        <x:f>HYPERLINK("https://hdlbits.01xz.net/wiki/truthtable1","HDLBits")</x:f>
        <x:v>HYPERLINK is not implemented. linkLocation=https://hdlbits.01xz.net/wiki/truthtable1, friendlyName=HDLBits</x:v>
      </x:c>
      <x:c r="T65" s="23" t="str">
        <x:v>Convert the supplied truth table into combinational Verilog that produces the specified output for every input combination.</x:v>
      </x:c>
      <x:c r="U65" s="23"/>
    </x:row>
    <x:row r="66" ht="34" customHeight="1">
      <x:c r="A66" s="49" t="n">
        <x:v>52</x:v>
      </x:c>
      <x:c r="B66" s="49" t="n">
        <x:v>50</x:v>
      </x:c>
      <x:c r="C66" s="50" t="str">
        <x:v>Circuits</x:v>
      </x:c>
      <x:c r="D66" s="50" t="str">
        <x:v>Combinational Logic → Basic Gates</x:v>
      </x:c>
      <x:c r="E66" s="50" t="str">
        <x:v>Two-bit equality</x:v>
      </x:c>
      <x:c r="F66" s="50" t="str">
        <x:v>mt2015_eq2</x:v>
      </x:c>
      <x:c r="G66" s="49" t="str">
        <x:v>Completed</x:v>
      </x:c>
      <x:c r="H66" s="49" t="str">
        <x:v>Day 03</x:v>
      </x:c>
      <x:c r="I66" s="51" t="n">
        <x:v>46198</x:v>
      </x:c>
      <x:c r="J66" s="49" t="str">
        <x:v>12:14:30 AM</x:v>
      </x:c>
      <x:c r="K66" s="49" t="n">
        <x:v>1</x:v>
      </x:c>
      <x:c r="L66" s="49" t="n">
        <x:v>0</x:v>
      </x:c>
      <x:c r="M66" s="49" t="n">
        <x:v>0</x:v>
      </x:c>
      <x:c r="N66" s="49" t="n">
        <x:v>0</x:v>
      </x:c>
      <x:c r="O66" s="52" t="n">
        <x:v>1</x:v>
      </x:c>
      <x:c r="P66" s="53" t="e">
        <x:f>HYPERLINK("https://github.com/kapiltrip/hdlBits/blob/main/problems/Day%2003/050-mt2015_eq2.md","Note")</x:f>
        <x:v>HYPERLINK is not implemented. linkLocation=https://github.com/kapiltrip/hdlBits/blob/main/problems/Day%2003/050-mt2015_eq2.md, friendlyName=Note</x:v>
      </x:c>
      <x:c r="Q66" s="53" t="e">
        <x:f>HYPERLINK("https://github.com/kapiltrip/hdlBits/blob/main/images/Day%2003/050-mt2015_eq2.png","Image")</x:f>
        <x:v>HYPERLINK is not implemented. linkLocation=https://github.com/kapiltrip/hdlBits/blob/main/images/Day%2003/050-mt2015_eq2.png, friendlyName=Image</x:v>
      </x:c>
      <x:c r="R66" s="53" t="e">
        <x:f>HYPERLINK("https://github.com/kapiltrip/hdlBits/blob/main/solutions/Day%2003/050-mt2015_eq2.sv","Code")</x:f>
        <x:v>HYPERLINK is not implemented. linkLocation=https://github.com/kapiltrip/hdlBits/blob/main/solutions/Day%2003/050-mt2015_eq2.sv, friendlyName=Code</x:v>
      </x:c>
      <x:c r="S66" s="53" t="e">
        <x:f>HYPERLINK("https://hdlbits.01xz.net/wiki/mt2015_eq2","HDLBits")</x:f>
        <x:v>HYPERLINK is not implemented. linkLocation=https://hdlbits.01xz.net/wiki/mt2015_eq2, friendlyName=HDLBits</x:v>
      </x:c>
      <x:c r="T66" s="50" t="str">
        <x:v>Compare two 2-bit inputs and assert the output only when both vectors are equal.</x:v>
      </x:c>
      <x:c r="U66" s="50"/>
    </x:row>
    <x:row r="67" ht="34" customHeight="1">
      <x:c r="A67" s="26" t="n">
        <x:v>53</x:v>
      </x:c>
      <x:c r="B67" s="26" t="n">
        <x:v>51</x:v>
      </x:c>
      <x:c r="C67" s="23" t="str">
        <x:v>Circuits</x:v>
      </x:c>
      <x:c r="D67" s="23" t="str">
        <x:v>Combinational Logic → Basic Gates</x:v>
      </x:c>
      <x:c r="E67" s="23" t="str">
        <x:v>Simple circuit A</x:v>
      </x:c>
      <x:c r="F67" s="23" t="str">
        <x:v>mt2015_q4a</x:v>
      </x:c>
      <x:c r="G67" s="26" t="str">
        <x:v>Completed</x:v>
      </x:c>
      <x:c r="H67" s="26" t="str">
        <x:v>Day 03</x:v>
      </x:c>
      <x:c r="I67" s="32" t="n">
        <x:v>46198</x:v>
      </x:c>
      <x:c r="J67" s="26" t="str">
        <x:v>12:15:29 AM</x:v>
      </x:c>
      <x:c r="K67" s="26" t="n">
        <x:v>1</x:v>
      </x:c>
      <x:c r="L67" s="26" t="n">
        <x:v>0</x:v>
      </x:c>
      <x:c r="M67" s="26" t="n">
        <x:v>0</x:v>
      </x:c>
      <x:c r="N67" s="26" t="n">
        <x:v>0</x:v>
      </x:c>
      <x:c r="O67" s="35" t="n">
        <x:v>1</x:v>
      </x:c>
      <x:c r="P67" s="29" t="e">
        <x:f>HYPERLINK("https://github.com/kapiltrip/hdlBits/blob/main/problems/Day%2003/051-mt2015_q4a.md","Note")</x:f>
        <x:v>HYPERLINK is not implemented. linkLocation=https://github.com/kapiltrip/hdlBits/blob/main/problems/Day%2003/051-mt2015_q4a.md, friendlyName=Note</x:v>
      </x:c>
      <x:c r="Q67" s="29" t="e">
        <x:f>HYPERLINK("https://github.com/kapiltrip/hdlBits/blob/main/images/Day%2003/051-mt2015_q4a.png","Image")</x:f>
        <x:v>HYPERLINK is not implemented. linkLocation=https://github.com/kapiltrip/hdlBits/blob/main/images/Day%2003/051-mt2015_q4a.png, friendlyName=Image</x:v>
      </x:c>
      <x:c r="R67" s="29" t="e">
        <x:f>HYPERLINK("https://github.com/kapiltrip/hdlBits/blob/main/solutions/Day%2003/051-mt2015_q4a.sv","Code")</x:f>
        <x:v>HYPERLINK is not implemented. linkLocation=https://github.com/kapiltrip/hdlBits/blob/main/solutions/Day%2003/051-mt2015_q4a.sv, friendlyName=Code</x:v>
      </x:c>
      <x:c r="S67" s="29" t="e">
        <x:f>HYPERLINK("https://hdlbits.01xz.net/wiki/mt2015_q4a","HDLBits")</x:f>
        <x:v>HYPERLINK is not implemented. linkLocation=https://hdlbits.01xz.net/wiki/mt2015_q4a, friendlyName=HDLBits</x:v>
      </x:c>
      <x:c r="T67" s="23" t="str">
        <x:v>Implement the first small combinational circuit exactly as shown in the diagram.</x:v>
      </x:c>
      <x:c r="U67" s="23"/>
    </x:row>
    <x:row r="68" ht="34" customHeight="1">
      <x:c r="A68" s="49" t="n">
        <x:v>54</x:v>
      </x:c>
      <x:c r="B68" s="49" t="n">
        <x:v>52</x:v>
      </x:c>
      <x:c r="C68" s="50" t="str">
        <x:v>Circuits</x:v>
      </x:c>
      <x:c r="D68" s="50" t="str">
        <x:v>Combinational Logic → Basic Gates</x:v>
      </x:c>
      <x:c r="E68" s="50" t="str">
        <x:v>Simple circuit B</x:v>
      </x:c>
      <x:c r="F68" s="50" t="str">
        <x:v>mt2015_q4b</x:v>
      </x:c>
      <x:c r="G68" s="49" t="str">
        <x:v>Completed</x:v>
      </x:c>
      <x:c r="H68" s="49" t="str">
        <x:v>Day 03</x:v>
      </x:c>
      <x:c r="I68" s="51" t="n">
        <x:v>46198</x:v>
      </x:c>
      <x:c r="J68" s="49" t="str">
        <x:v>12:16:24 AM</x:v>
      </x:c>
      <x:c r="K68" s="49" t="n">
        <x:v>1</x:v>
      </x:c>
      <x:c r="L68" s="49" t="n">
        <x:v>0</x:v>
      </x:c>
      <x:c r="M68" s="49" t="n">
        <x:v>0</x:v>
      </x:c>
      <x:c r="N68" s="49" t="n">
        <x:v>0</x:v>
      </x:c>
      <x:c r="O68" s="52" t="n">
        <x:v>1</x:v>
      </x:c>
      <x:c r="P68" s="53" t="e">
        <x:f>HYPERLINK("https://github.com/kapiltrip/hdlBits/blob/main/problems/Day%2003/052-mt2015_q4b.md","Note")</x:f>
        <x:v>HYPERLINK is not implemented. linkLocation=https://github.com/kapiltrip/hdlBits/blob/main/problems/Day%2003/052-mt2015_q4b.md, friendlyName=Note</x:v>
      </x:c>
      <x:c r="Q68" s="53" t="e">
        <x:f>HYPERLINK("https://github.com/kapiltrip/hdlBits/blob/main/images/Day%2003/052-mt2015_q4b.png","Image")</x:f>
        <x:v>HYPERLINK is not implemented. linkLocation=https://github.com/kapiltrip/hdlBits/blob/main/images/Day%2003/052-mt2015_q4b.png, friendlyName=Image</x:v>
      </x:c>
      <x:c r="R68" s="53" t="e">
        <x:f>HYPERLINK("https://github.com/kapiltrip/hdlBits/blob/main/solutions/Day%2003/052-mt2015_q4b.sv","Code")</x:f>
        <x:v>HYPERLINK is not implemented. linkLocation=https://github.com/kapiltrip/hdlBits/blob/main/solutions/Day%2003/052-mt2015_q4b.sv, friendlyName=Code</x:v>
      </x:c>
      <x:c r="S68" s="53" t="e">
        <x:f>HYPERLINK("https://hdlbits.01xz.net/wiki/mt2015_q4b","HDLBits")</x:f>
        <x:v>HYPERLINK is not implemented. linkLocation=https://hdlbits.01xz.net/wiki/mt2015_q4b, friendlyName=HDLBits</x:v>
      </x:c>
      <x:c r="T68" s="50" t="str">
        <x:v>Implement the second small combinational circuit exactly as shown in the diagram.</x:v>
      </x:c>
      <x:c r="U68" s="50"/>
    </x:row>
    <x:row r="69" ht="34" customHeight="1">
      <x:c r="A69" s="26" t="n">
        <x:v>55</x:v>
      </x:c>
      <x:c r="B69" s="26" t="n">
        <x:v>53</x:v>
      </x:c>
      <x:c r="C69" s="23" t="str">
        <x:v>Circuits</x:v>
      </x:c>
      <x:c r="D69" s="23" t="str">
        <x:v>Combinational Logic → Basic Gates</x:v>
      </x:c>
      <x:c r="E69" s="23" t="str">
        <x:v>Combine circuits A and B</x:v>
      </x:c>
      <x:c r="F69" s="23" t="str">
        <x:v>mt2015_q4</x:v>
      </x:c>
      <x:c r="G69" s="26" t="str">
        <x:v>Completed</x:v>
      </x:c>
      <x:c r="H69" s="26" t="str">
        <x:v>Day 03</x:v>
      </x:c>
      <x:c r="I69" s="32" t="n">
        <x:v>46198</x:v>
      </x:c>
      <x:c r="J69" s="26" t="str">
        <x:v>12:33:06 AM</x:v>
      </x:c>
      <x:c r="K69" s="26" t="n">
        <x:v>7</x:v>
      </x:c>
      <x:c r="L69" s="26" t="n">
        <x:v>0</x:v>
      </x:c>
      <x:c r="M69" s="26" t="n">
        <x:v>6</x:v>
      </x:c>
      <x:c r="N69" s="26" t="n">
        <x:v>0</x:v>
      </x:c>
      <x:c r="O69" s="35" t="n">
        <x:v>0.14</x:v>
      </x:c>
      <x:c r="P69" s="29" t="e">
        <x:f>HYPERLINK("https://github.com/kapiltrip/hdlBits/blob/main/problems/Day%2003/053-mt2015_q4.md","Note")</x:f>
        <x:v>HYPERLINK is not implemented. linkLocation=https://github.com/kapiltrip/hdlBits/blob/main/problems/Day%2003/053-mt2015_q4.md, friendlyName=Note</x:v>
      </x:c>
      <x:c r="Q69" s="29" t="e">
        <x:f>HYPERLINK("https://github.com/kapiltrip/hdlBits/blob/main/images/Day%2003/053-mt2015_q4.png","Image")</x:f>
        <x:v>HYPERLINK is not implemented. linkLocation=https://github.com/kapiltrip/hdlBits/blob/main/images/Day%2003/053-mt2015_q4.png, friendlyName=Image</x:v>
      </x:c>
      <x:c r="R69" s="29" t="e">
        <x:f>HYPERLINK("https://github.com/kapiltrip/hdlBits/blob/main/solutions/Day%2003/053-mt2015_q4.sv","Code")</x:f>
        <x:v>HYPERLINK is not implemented. linkLocation=https://github.com/kapiltrip/hdlBits/blob/main/solutions/Day%2003/053-mt2015_q4.sv, friendlyName=Code</x:v>
      </x:c>
      <x:c r="S69" s="29" t="e">
        <x:f>HYPERLINK("https://hdlbits.01xz.net/wiki/mt2015_q4","HDLBits")</x:f>
        <x:v>HYPERLINK is not implemented. linkLocation=https://hdlbits.01xz.net/wiki/mt2015_q4, friendlyName=HDLBits</x:v>
      </x:c>
      <x:c r="T69" s="23" t="str">
        <x:v>Instantiate or combine circuits A and B so they operate together with the requested top-level connections.</x:v>
      </x:c>
      <x:c r="U69" s="23"/>
    </x:row>
    <x:row r="70" ht="34" customHeight="1">
      <x:c r="A70" s="49" t="n">
        <x:v>56</x:v>
      </x:c>
      <x:c r="B70" s="49" t="n">
        <x:v>54</x:v>
      </x:c>
      <x:c r="C70" s="50" t="str">
        <x:v>Circuits</x:v>
      </x:c>
      <x:c r="D70" s="50" t="str">
        <x:v>Combinational Logic → Basic Gates</x:v>
      </x:c>
      <x:c r="E70" s="50" t="str">
        <x:v>Ring or vibrate?</x:v>
      </x:c>
      <x:c r="F70" s="50" t="str">
        <x:v>ringer</x:v>
      </x:c>
      <x:c r="G70" s="49" t="str">
        <x:v>Completed</x:v>
      </x:c>
      <x:c r="H70" s="49" t="str">
        <x:v>Day 03</x:v>
      </x:c>
      <x:c r="I70" s="51" t="n">
        <x:v>46198</x:v>
      </x:c>
      <x:c r="J70" s="49" t="str">
        <x:v>12:48:24 AM</x:v>
      </x:c>
      <x:c r="K70" s="49" t="n">
        <x:v>5</x:v>
      </x:c>
      <x:c r="L70" s="49" t="n">
        <x:v>1</x:v>
      </x:c>
      <x:c r="M70" s="49" t="n">
        <x:v>3</x:v>
      </x:c>
      <x:c r="N70" s="49" t="n">
        <x:v>0</x:v>
      </x:c>
      <x:c r="O70" s="52" t="n">
        <x:v>0.2</x:v>
      </x:c>
      <x:c r="P70" s="53" t="e">
        <x:f>HYPERLINK("https://github.com/kapiltrip/hdlBits/blob/main/problems/Day%2003/054-ringer.md","Note")</x:f>
        <x:v>HYPERLINK is not implemented. linkLocation=https://github.com/kapiltrip/hdlBits/blob/main/problems/Day%2003/054-ringer.md, friendlyName=Note</x:v>
      </x:c>
      <x:c r="Q70" s="53" t="e">
        <x:f>HYPERLINK("https://github.com/kapiltrip/hdlBits/blob/main/images/Day%2003/054-ringer.png","Image")</x:f>
        <x:v>HYPERLINK is not implemented. linkLocation=https://github.com/kapiltrip/hdlBits/blob/main/images/Day%2003/054-ringer.png, friendlyName=Image</x:v>
      </x:c>
      <x:c r="R70" s="53" t="e">
        <x:f>HYPERLINK("https://github.com/kapiltrip/hdlBits/blob/main/solutions/Day%2003/054-ringer.sv","Code")</x:f>
        <x:v>HYPERLINK is not implemented. linkLocation=https://github.com/kapiltrip/hdlBits/blob/main/solutions/Day%2003/054-ringer.sv, friendlyName=Code</x:v>
      </x:c>
      <x:c r="S70" s="53" t="e">
        <x:f>HYPERLINK("https://hdlbits.01xz.net/wiki/ringer","HDLBits")</x:f>
        <x:v>HYPERLINK is not implemented. linkLocation=https://hdlbits.01xz.net/wiki/ringer, friendlyName=HDLBits</x:v>
      </x:c>
      <x:c r="T70" s="50" t="str">
        <x:v>Choose whether a phone should ring or vibrate from the incoming-call and silent-mode control signals.</x:v>
      </x:c>
      <x:c r="U70" s="50"/>
    </x:row>
    <x:row r="71" ht="34" customHeight="1">
      <x:c r="A71" s="26" t="n">
        <x:v>57</x:v>
      </x:c>
      <x:c r="B71" s="26" t="n">
        <x:v>55</x:v>
      </x:c>
      <x:c r="C71" s="23" t="str">
        <x:v>Circuits</x:v>
      </x:c>
      <x:c r="D71" s="23" t="str">
        <x:v>Combinational Logic → Basic Gates</x:v>
      </x:c>
      <x:c r="E71" s="23" t="str">
        <x:v>Thermostat</x:v>
      </x:c>
      <x:c r="F71" s="23" t="str">
        <x:v>thermostat</x:v>
      </x:c>
      <x:c r="G71" s="26" t="str">
        <x:v>Completed</x:v>
      </x:c>
      <x:c r="H71" s="26" t="str">
        <x:v>Day 03</x:v>
      </x:c>
      <x:c r="I71" s="32" t="n">
        <x:v>46198</x:v>
      </x:c>
      <x:c r="J71" s="26" t="str">
        <x:v>4:47:58 PM</x:v>
      </x:c>
      <x:c r="K71" s="26" t="n">
        <x:v>2</x:v>
      </x:c>
      <x:c r="L71" s="26" t="n">
        <x:v>0</x:v>
      </x:c>
      <x:c r="M71" s="26" t="n">
        <x:v>1</x:v>
      </x:c>
      <x:c r="N71" s="26" t="n">
        <x:v>0</x:v>
      </x:c>
      <x:c r="O71" s="35" t="n">
        <x:v>0.5</x:v>
      </x:c>
      <x:c r="P71" s="29" t="e">
        <x:f>HYPERLINK("https://github.com/kapiltrip/hdlBits/blob/main/problems/Day%2003/055-thermostat.md","Note")</x:f>
        <x:v>HYPERLINK is not implemented. linkLocation=https://github.com/kapiltrip/hdlBits/blob/main/problems/Day%2003/055-thermostat.md, friendlyName=Note</x:v>
      </x:c>
      <x:c r="Q71" s="29" t="e">
        <x:f>HYPERLINK("https://github.com/kapiltrip/hdlBits/blob/main/images/Day%2003/055-thermostat.png","Image")</x:f>
        <x:v>HYPERLINK is not implemented. linkLocation=https://github.com/kapiltrip/hdlBits/blob/main/images/Day%2003/055-thermostat.png, friendlyName=Image</x:v>
      </x:c>
      <x:c r="R71" s="29" t="e">
        <x:f>HYPERLINK("https://github.com/kapiltrip/hdlBits/blob/main/solutions/Day%2003/055-thermostat.sv","Code")</x:f>
        <x:v>HYPERLINK is not implemented. linkLocation=https://github.com/kapiltrip/hdlBits/blob/main/solutions/Day%2003/055-thermostat.sv, friendlyName=Code</x:v>
      </x:c>
      <x:c r="S71" s="29" t="e">
        <x:f>HYPERLINK("https://hdlbits.01xz.net/wiki/thermostat","HDLBits")</x:f>
        <x:v>HYPERLINK is not implemented. linkLocation=https://hdlbits.01xz.net/wiki/thermostat, friendlyName=HDLBits</x:v>
      </x:c>
      <x:c r="T71" s="23" t="str">
        <x:v>Implement the thermostat's heater, air-conditioner, and fan control rules from the temperature and mode inputs.</x:v>
      </x:c>
      <x:c r="U71" s="23"/>
    </x:row>
    <x:row r="72" ht="34" customHeight="1">
      <x:c r="A72" s="49" t="n">
        <x:v>58</x:v>
      </x:c>
      <x:c r="B72" s="49" t="n">
        <x:v>56</x:v>
      </x:c>
      <x:c r="C72" s="50" t="str">
        <x:v>Circuits</x:v>
      </x:c>
      <x:c r="D72" s="50" t="str">
        <x:v>Combinational Logic → Basic Gates</x:v>
      </x:c>
      <x:c r="E72" s="50" t="str">
        <x:v>3-bit population count</x:v>
      </x:c>
      <x:c r="F72" s="50" t="str">
        <x:v>popcount3</x:v>
      </x:c>
      <x:c r="G72" s="49" t="str">
        <x:v>Completed</x:v>
      </x:c>
      <x:c r="H72" s="49" t="str">
        <x:v>Day 03</x:v>
      </x:c>
      <x:c r="I72" s="51" t="n">
        <x:v>46198</x:v>
      </x:c>
      <x:c r="J72" s="49" t="str">
        <x:v>12:58:42 AM</x:v>
      </x:c>
      <x:c r="K72" s="49" t="n">
        <x:v>2</x:v>
      </x:c>
      <x:c r="L72" s="49" t="n">
        <x:v>1</x:v>
      </x:c>
      <x:c r="M72" s="49" t="n">
        <x:v>0</x:v>
      </x:c>
      <x:c r="N72" s="49" t="n">
        <x:v>0</x:v>
      </x:c>
      <x:c r="O72" s="52" t="n">
        <x:v>0.5</x:v>
      </x:c>
      <x:c r="P72" s="53" t="e">
        <x:f>HYPERLINK("https://github.com/kapiltrip/hdlBits/blob/main/problems/Day%2003/056-popcount3.md","Note")</x:f>
        <x:v>HYPERLINK is not implemented. linkLocation=https://github.com/kapiltrip/hdlBits/blob/main/problems/Day%2003/056-popcount3.md, friendlyName=Note</x:v>
      </x:c>
      <x:c r="Q72" s="53" t="e">
        <x:f>HYPERLINK("https://github.com/kapiltrip/hdlBits/blob/main/images/Day%2003/056-popcount3.png","Image")</x:f>
        <x:v>HYPERLINK is not implemented. linkLocation=https://github.com/kapiltrip/hdlBits/blob/main/images/Day%2003/056-popcount3.png, friendlyName=Image</x:v>
      </x:c>
      <x:c r="R72" s="53" t="e">
        <x:f>HYPERLINK("https://github.com/kapiltrip/hdlBits/blob/main/solutions/Day%2003/056-popcount3.sv","Code")</x:f>
        <x:v>HYPERLINK is not implemented. linkLocation=https://github.com/kapiltrip/hdlBits/blob/main/solutions/Day%2003/056-popcount3.sv, friendlyName=Code</x:v>
      </x:c>
      <x:c r="S72" s="53" t="e">
        <x:f>HYPERLINK("https://hdlbits.01xz.net/wiki/popcount3","HDLBits")</x:f>
        <x:v>HYPERLINK is not implemented. linkLocation=https://hdlbits.01xz.net/wiki/popcount3, friendlyName=HDLBits</x:v>
      </x:c>
      <x:c r="T72" s="50" t="str">
        <x:v>Count the number of asserted bits in a 3-bit input and return that count as a binary value.</x:v>
      </x:c>
      <x:c r="U72" s="50"/>
    </x:row>
    <x:row r="73" ht="34" customHeight="1">
      <x:c r="A73" s="26" t="n">
        <x:v>59</x:v>
      </x:c>
      <x:c r="B73" s="26" t="n">
        <x:v>57</x:v>
      </x:c>
      <x:c r="C73" s="23" t="str">
        <x:v>Circuits</x:v>
      </x:c>
      <x:c r="D73" s="23" t="str">
        <x:v>Combinational Logic → Basic Gates</x:v>
      </x:c>
      <x:c r="E73" s="23" t="str">
        <x:v>Gates and vectors</x:v>
      </x:c>
      <x:c r="F73" s="23" t="str">
        <x:v>gatesv</x:v>
      </x:c>
      <x:c r="G73" s="26" t="str">
        <x:v>Completed</x:v>
      </x:c>
      <x:c r="H73" s="26" t="str">
        <x:v>Day 03</x:v>
      </x:c>
      <x:c r="I73" s="32" t="n">
        <x:v>46198</x:v>
      </x:c>
      <x:c r="J73" s="26" t="str">
        <x:v>9:45:17 PM</x:v>
      </x:c>
      <x:c r="K73" s="26" t="n">
        <x:v>6</x:v>
      </x:c>
      <x:c r="L73" s="26" t="n">
        <x:v>5</x:v>
      </x:c>
      <x:c r="M73" s="26" t="n">
        <x:v>0</x:v>
      </x:c>
      <x:c r="N73" s="26" t="n">
        <x:v>0</x:v>
      </x:c>
      <x:c r="O73" s="35" t="n">
        <x:v>0.17</x:v>
      </x:c>
      <x:c r="P73" s="29" t="e">
        <x:f>HYPERLINK("https://github.com/kapiltrip/hdlBits/blob/main/problems/Day%2003/057-gatesv.md","Note")</x:f>
        <x:v>HYPERLINK is not implemented. linkLocation=https://github.com/kapiltrip/hdlBits/blob/main/problems/Day%2003/057-gatesv.md, friendlyName=Note</x:v>
      </x:c>
      <x:c r="Q73" s="29" t="e">
        <x:f>HYPERLINK("https://github.com/kapiltrip/hdlBits/blob/main/images/Day%2003/057-gatesv.png","Image")</x:f>
        <x:v>HYPERLINK is not implemented. linkLocation=https://github.com/kapiltrip/hdlBits/blob/main/images/Day%2003/057-gatesv.png, friendlyName=Image</x:v>
      </x:c>
      <x:c r="R73" s="29" t="e">
        <x:f>HYPERLINK("https://github.com/kapiltrip/hdlBits/blob/main/solutions/Day%2003/057-gatesv.sv","Code")</x:f>
        <x:v>HYPERLINK is not implemented. linkLocation=https://github.com/kapiltrip/hdlBits/blob/main/solutions/Day%2003/057-gatesv.sv, friendlyName=Code</x:v>
      </x:c>
      <x:c r="S73" s="29" t="e">
        <x:f>HYPERLINK("https://hdlbits.01xz.net/wiki/gatesv","HDLBits")</x:f>
        <x:v>HYPERLINK is not implemented. linkLocation=https://hdlbits.01xz.net/wiki/gatesv, friendlyName=HDLBits</x:v>
      </x:c>
      <x:c r="T73" s="23" t="str">
        <x:v>For two vectors, compute bitwise gate results and also indicate whether the vectors differ at any or every position.</x:v>
      </x:c>
      <x:c r="U73" s="23"/>
    </x:row>
    <x:row r="74" ht="34" customHeight="1">
      <x:c r="A74" s="49" t="n">
        <x:v>60</x:v>
      </x:c>
      <x:c r="B74" s="49" t="n">
        <x:v>58</x:v>
      </x:c>
      <x:c r="C74" s="50" t="str">
        <x:v>Circuits</x:v>
      </x:c>
      <x:c r="D74" s="50" t="str">
        <x:v>Combinational Logic → Basic Gates</x:v>
      </x:c>
      <x:c r="E74" s="50" t="str">
        <x:v>Even longer vectors</x:v>
      </x:c>
      <x:c r="F74" s="50" t="str">
        <x:v>gatesv100</x:v>
      </x:c>
      <x:c r="G74" s="49" t="str">
        <x:v>Completed</x:v>
      </x:c>
      <x:c r="H74" s="49" t="str">
        <x:v>Day 03</x:v>
      </x:c>
      <x:c r="I74" s="51" t="n">
        <x:v>46198</x:v>
      </x:c>
      <x:c r="J74" s="49" t="str">
        <x:v>10:13:17 PM</x:v>
      </x:c>
      <x:c r="K74" s="49" t="n">
        <x:v>1</x:v>
      </x:c>
      <x:c r="L74" s="49" t="n">
        <x:v>0</x:v>
      </x:c>
      <x:c r="M74" s="49" t="n">
        <x:v>0</x:v>
      </x:c>
      <x:c r="N74" s="49" t="n">
        <x:v>0</x:v>
      </x:c>
      <x:c r="O74" s="52" t="n">
        <x:v>1</x:v>
      </x:c>
      <x:c r="P74" s="53" t="e">
        <x:f>HYPERLINK("https://github.com/kapiltrip/hdlBits/blob/main/problems/Day%2003/058-gatesv100.md","Note")</x:f>
        <x:v>HYPERLINK is not implemented. linkLocation=https://github.com/kapiltrip/hdlBits/blob/main/problems/Day%2003/058-gatesv100.md, friendlyName=Note</x:v>
      </x:c>
      <x:c r="Q74" s="53" t="e">
        <x:f>HYPERLINK("https://github.com/kapiltrip/hdlBits/blob/main/images/Day%2003/058-gatesv100.png","Image")</x:f>
        <x:v>HYPERLINK is not implemented. linkLocation=https://github.com/kapiltrip/hdlBits/blob/main/images/Day%2003/058-gatesv100.png, friendlyName=Image</x:v>
      </x:c>
      <x:c r="R74" s="53" t="e">
        <x:f>HYPERLINK("https://github.com/kapiltrip/hdlBits/blob/main/solutions/Day%2003/058-gatesv100.sv","Code")</x:f>
        <x:v>HYPERLINK is not implemented. linkLocation=https://github.com/kapiltrip/hdlBits/blob/main/solutions/Day%2003/058-gatesv100.sv, friendlyName=Code</x:v>
      </x:c>
      <x:c r="S74" s="53" t="e">
        <x:f>HYPERLINK("https://hdlbits.01xz.net/wiki/gatesv100","HDLBits")</x:f>
        <x:v>HYPERLINK is not implemented. linkLocation=https://hdlbits.01xz.net/wiki/gatesv100, friendlyName=HDLBits</x:v>
      </x:c>
      <x:c r="T74" s="50" t="str">
        <x:v>Extend the vector-gate comparison to 100-bit inputs, including per-bit outputs and wide reduction results.</x:v>
      </x:c>
      <x:c r="U74" s="50"/>
    </x:row>
    <x:row r="75" ht="22" customHeight="1">
      <x:c r="A75" s="79" t="str">
        <x:v>SUBSECTION · Combinational Logic → Multiplexers</x:v>
      </x:c>
      <x:c r="B75" s="79"/>
      <x:c r="C75" s="79"/>
      <x:c r="D75" s="79"/>
      <x:c r="E75" s="79"/>
      <x:c r="F75" s="79"/>
      <x:c r="G75" s="79"/>
      <x:c r="H75" s="79"/>
      <x:c r="I75" s="80"/>
      <x:c r="J75" s="79"/>
      <x:c r="K75" s="79"/>
      <x:c r="L75" s="79"/>
      <x:c r="M75" s="79"/>
      <x:c r="N75" s="79"/>
      <x:c r="O75" s="81"/>
      <x:c r="P75" s="79"/>
      <x:c r="Q75" s="79"/>
      <x:c r="R75" s="79"/>
      <x:c r="S75" s="79"/>
      <x:c r="T75" s="79"/>
      <x:c r="U75" s="79"/>
    </x:row>
    <x:row r="76" ht="34" customHeight="1">
      <x:c r="A76" s="26" t="n">
        <x:v>61</x:v>
      </x:c>
      <x:c r="B76" s="26" t="n">
        <x:v>59</x:v>
      </x:c>
      <x:c r="C76" s="23" t="str">
        <x:v>Circuits</x:v>
      </x:c>
      <x:c r="D76" s="23" t="str">
        <x:v>Combinational Logic → Multiplexers</x:v>
      </x:c>
      <x:c r="E76" s="23" t="str">
        <x:v>2-to-1 multiplexer</x:v>
      </x:c>
      <x:c r="F76" s="23" t="str">
        <x:v>mux2to1</x:v>
      </x:c>
      <x:c r="G76" s="26" t="str">
        <x:v>Completed</x:v>
      </x:c>
      <x:c r="H76" s="26" t="str">
        <x:v>Day 03</x:v>
      </x:c>
      <x:c r="I76" s="32" t="n">
        <x:v>46198</x:v>
      </x:c>
      <x:c r="J76" s="26" t="str">
        <x:v>1:06:47 AM</x:v>
      </x:c>
      <x:c r="K76" s="26" t="n">
        <x:v>1</x:v>
      </x:c>
      <x:c r="L76" s="26" t="n">
        <x:v>0</x:v>
      </x:c>
      <x:c r="M76" s="26" t="n">
        <x:v>0</x:v>
      </x:c>
      <x:c r="N76" s="26" t="n">
        <x:v>0</x:v>
      </x:c>
      <x:c r="O76" s="35" t="n">
        <x:v>1</x:v>
      </x:c>
      <x:c r="P76" s="29" t="e">
        <x:f>HYPERLINK("https://github.com/kapiltrip/hdlBits/blob/main/problems/Day%2003/059-mux2to1.md","Note")</x:f>
        <x:v>HYPERLINK is not implemented. linkLocation=https://github.com/kapiltrip/hdlBits/blob/main/problems/Day%2003/059-mux2to1.md, friendlyName=Note</x:v>
      </x:c>
      <x:c r="Q76" s="29" t="e">
        <x:f>HYPERLINK("https://github.com/kapiltrip/hdlBits/blob/main/images/Day%2003/059-mux2to1.png","Image")</x:f>
        <x:v>HYPERLINK is not implemented. linkLocation=https://github.com/kapiltrip/hdlBits/blob/main/images/Day%2003/059-mux2to1.png, friendlyName=Image</x:v>
      </x:c>
      <x:c r="R76" s="29" t="e">
        <x:f>HYPERLINK("https://github.com/kapiltrip/hdlBits/blob/main/solutions/Day%2003/059-mux2to1.sv","Code")</x:f>
        <x:v>HYPERLINK is not implemented. linkLocation=https://github.com/kapiltrip/hdlBits/blob/main/solutions/Day%2003/059-mux2to1.sv, friendlyName=Code</x:v>
      </x:c>
      <x:c r="S76" s="29" t="e">
        <x:f>HYPERLINK("https://hdlbits.01xz.net/wiki/mux2to1","HDLBits")</x:f>
        <x:v>HYPERLINK is not implemented. linkLocation=https://hdlbits.01xz.net/wiki/mux2to1, friendlyName=HDLBits</x:v>
      </x:c>
      <x:c r="T76" s="23" t="str">
        <x:v>Implement a one-bit 2-to-1 multiplexer that selects one input according to the select signal.</x:v>
      </x:c>
      <x:c r="U76" s="23"/>
    </x:row>
    <x:row r="77" ht="34" customHeight="1">
      <x:c r="A77" s="49" t="n">
        <x:v>62</x:v>
      </x:c>
      <x:c r="B77" s="49" t="n">
        <x:v>60</x:v>
      </x:c>
      <x:c r="C77" s="50" t="str">
        <x:v>Circuits</x:v>
      </x:c>
      <x:c r="D77" s="50" t="str">
        <x:v>Combinational Logic → Multiplexers</x:v>
      </x:c>
      <x:c r="E77" s="50" t="str">
        <x:v>2-to-1 bus multiplexer</x:v>
      </x:c>
      <x:c r="F77" s="50" t="str">
        <x:v>mux2to1v</x:v>
      </x:c>
      <x:c r="G77" s="49" t="str">
        <x:v>Completed</x:v>
      </x:c>
      <x:c r="H77" s="49" t="str">
        <x:v>Day 03</x:v>
      </x:c>
      <x:c r="I77" s="51" t="n">
        <x:v>46198</x:v>
      </x:c>
      <x:c r="J77" s="49" t="str">
        <x:v>1:07:52 AM</x:v>
      </x:c>
      <x:c r="K77" s="49" t="n">
        <x:v>1</x:v>
      </x:c>
      <x:c r="L77" s="49" t="n">
        <x:v>0</x:v>
      </x:c>
      <x:c r="M77" s="49" t="n">
        <x:v>0</x:v>
      </x:c>
      <x:c r="N77" s="49" t="n">
        <x:v>0</x:v>
      </x:c>
      <x:c r="O77" s="52" t="n">
        <x:v>1</x:v>
      </x:c>
      <x:c r="P77" s="53" t="e">
        <x:f>HYPERLINK("https://github.com/kapiltrip/hdlBits/blob/main/problems/Day%2003/060-mux2to1v.md","Note")</x:f>
        <x:v>HYPERLINK is not implemented. linkLocation=https://github.com/kapiltrip/hdlBits/blob/main/problems/Day%2003/060-mux2to1v.md, friendlyName=Note</x:v>
      </x:c>
      <x:c r="Q77" s="53" t="e">
        <x:f>HYPERLINK("https://github.com/kapiltrip/hdlBits/blob/main/images/Day%2003/060-mux2to1v.png","Image")</x:f>
        <x:v>HYPERLINK is not implemented. linkLocation=https://github.com/kapiltrip/hdlBits/blob/main/images/Day%2003/060-mux2to1v.png, friendlyName=Image</x:v>
      </x:c>
      <x:c r="R77" s="53" t="e">
        <x:f>HYPERLINK("https://github.com/kapiltrip/hdlBits/blob/main/solutions/Day%2003/060-mux2to1v.sv","Code")</x:f>
        <x:v>HYPERLINK is not implemented. linkLocation=https://github.com/kapiltrip/hdlBits/blob/main/solutions/Day%2003/060-mux2to1v.sv, friendlyName=Code</x:v>
      </x:c>
      <x:c r="S77" s="53" t="e">
        <x:f>HYPERLINK("https://hdlbits.01xz.net/wiki/mux2to1v","HDLBits")</x:f>
        <x:v>HYPERLINK is not implemented. linkLocation=https://hdlbits.01xz.net/wiki/mux2to1v, friendlyName=HDLBits</x:v>
      </x:c>
      <x:c r="T77" s="50" t="str">
        <x:v>Implement a 2-to-1 multiplexer that selects an entire vector rather than a single bit.</x:v>
      </x:c>
      <x:c r="U77" s="50"/>
    </x:row>
    <x:row r="78" ht="34" customHeight="1">
      <x:c r="A78" s="26" t="n">
        <x:v>63</x:v>
      </x:c>
      <x:c r="B78" s="26" t="n">
        <x:v>61</x:v>
      </x:c>
      <x:c r="C78" s="23" t="str">
        <x:v>Circuits</x:v>
      </x:c>
      <x:c r="D78" s="23" t="str">
        <x:v>Combinational Logic → Multiplexers</x:v>
      </x:c>
      <x:c r="E78" s="23" t="str">
        <x:v>9-to-1 multiplexer</x:v>
      </x:c>
      <x:c r="F78" s="23" t="str">
        <x:v>mux9to1v</x:v>
      </x:c>
      <x:c r="G78" s="26" t="str">
        <x:v>Completed</x:v>
      </x:c>
      <x:c r="H78" s="26" t="str">
        <x:v>Day 03</x:v>
      </x:c>
      <x:c r="I78" s="32" t="n">
        <x:v>46198</x:v>
      </x:c>
      <x:c r="J78" s="26" t="str">
        <x:v>2:44:03 PM</x:v>
      </x:c>
      <x:c r="K78" s="26" t="n">
        <x:v>10</x:v>
      </x:c>
      <x:c r="L78" s="26" t="n">
        <x:v>7</x:v>
      </x:c>
      <x:c r="M78" s="26" t="n">
        <x:v>2</x:v>
      </x:c>
      <x:c r="N78" s="26" t="n">
        <x:v>0</x:v>
      </x:c>
      <x:c r="O78" s="35" t="n">
        <x:v>0.1</x:v>
      </x:c>
      <x:c r="P78" s="29" t="e">
        <x:f>HYPERLINK("https://github.com/kapiltrip/hdlBits/blob/main/problems/Day%2003/061-mux9to1v.md","Note")</x:f>
        <x:v>HYPERLINK is not implemented. linkLocation=https://github.com/kapiltrip/hdlBits/blob/main/problems/Day%2003/061-mux9to1v.md, friendlyName=Note</x:v>
      </x:c>
      <x:c r="Q78" s="29" t="e">
        <x:f>HYPERLINK("https://github.com/kapiltrip/hdlBits/blob/main/images/Day%2003/061-mux9to1v.png","Image")</x:f>
        <x:v>HYPERLINK is not implemented. linkLocation=https://github.com/kapiltrip/hdlBits/blob/main/images/Day%2003/061-mux9to1v.png, friendlyName=Image</x:v>
      </x:c>
      <x:c r="R78" s="29" t="e">
        <x:f>HYPERLINK("https://github.com/kapiltrip/hdlBits/blob/main/solutions/Day%2003/061-mux9to1v.sv","Code")</x:f>
        <x:v>HYPERLINK is not implemented. linkLocation=https://github.com/kapiltrip/hdlBits/blob/main/solutions/Day%2003/061-mux9to1v.sv, friendlyName=Code</x:v>
      </x:c>
      <x:c r="S78" s="29" t="e">
        <x:f>HYPERLINK("https://hdlbits.01xz.net/wiki/mux9to1v","HDLBits")</x:f>
        <x:v>HYPERLINK is not implemented. linkLocation=https://hdlbits.01xz.net/wiki/mux9to1v, friendlyName=HDLBits</x:v>
      </x:c>
      <x:c r="T78" s="23" t="str">
        <x:v>Select one of nine 16-bit inputs; produce the required default value when the selector is outside the valid range.</x:v>
      </x:c>
      <x:c r="U78" s="23"/>
    </x:row>
    <x:row r="79" ht="34" customHeight="1">
      <x:c r="A79" s="49" t="n">
        <x:v>64</x:v>
      </x:c>
      <x:c r="B79" s="49" t="n">
        <x:v>62</x:v>
      </x:c>
      <x:c r="C79" s="50" t="str">
        <x:v>Circuits</x:v>
      </x:c>
      <x:c r="D79" s="50" t="str">
        <x:v>Combinational Logic → Multiplexers</x:v>
      </x:c>
      <x:c r="E79" s="50" t="str">
        <x:v>256-to-1 multiplexer</x:v>
      </x:c>
      <x:c r="F79" s="50" t="str">
        <x:v>mux256to1</x:v>
      </x:c>
      <x:c r="G79" s="49" t="str">
        <x:v>Completed</x:v>
      </x:c>
      <x:c r="H79" s="49" t="str">
        <x:v>Day 03</x:v>
      </x:c>
      <x:c r="I79" s="51" t="n">
        <x:v>46198</x:v>
      </x:c>
      <x:c r="J79" s="49" t="str">
        <x:v>2:42:55 PM</x:v>
      </x:c>
      <x:c r="K79" s="49" t="n">
        <x:v>1</x:v>
      </x:c>
      <x:c r="L79" s="49" t="n">
        <x:v>0</x:v>
      </x:c>
      <x:c r="M79" s="49" t="n">
        <x:v>0</x:v>
      </x:c>
      <x:c r="N79" s="49" t="n">
        <x:v>0</x:v>
      </x:c>
      <x:c r="O79" s="52" t="n">
        <x:v>1</x:v>
      </x:c>
      <x:c r="P79" s="53" t="e">
        <x:f>HYPERLINK("https://github.com/kapiltrip/hdlBits/blob/main/problems/Day%2003/062-mux256to1.md","Note")</x:f>
        <x:v>HYPERLINK is not implemented. linkLocation=https://github.com/kapiltrip/hdlBits/blob/main/problems/Day%2003/062-mux256to1.md, friendlyName=Note</x:v>
      </x:c>
      <x:c r="Q79" s="53" t="e">
        <x:f>HYPERLINK("https://github.com/kapiltrip/hdlBits/blob/main/images/Day%2003/062-mux256to1.png","Image")</x:f>
        <x:v>HYPERLINK is not implemented. linkLocation=https://github.com/kapiltrip/hdlBits/blob/main/images/Day%2003/062-mux256to1.png, friendlyName=Image</x:v>
      </x:c>
      <x:c r="R79" s="53" t="e">
        <x:f>HYPERLINK("https://github.com/kapiltrip/hdlBits/blob/main/solutions/Day%2003/062-mux256to1.sv","Code")</x:f>
        <x:v>HYPERLINK is not implemented. linkLocation=https://github.com/kapiltrip/hdlBits/blob/main/solutions/Day%2003/062-mux256to1.sv, friendlyName=Code</x:v>
      </x:c>
      <x:c r="S79" s="53" t="e">
        <x:f>HYPERLINK("https://hdlbits.01xz.net/wiki/mux256to1","HDLBits")</x:f>
        <x:v>HYPERLINK is not implemented. linkLocation=https://hdlbits.01xz.net/wiki/mux256to1, friendlyName=HDLBits</x:v>
      </x:c>
      <x:c r="T79" s="50" t="str">
        <x:v>Select one bit from a 256-bit input vector using an 8-bit selector as the index.</x:v>
      </x:c>
      <x:c r="U79" s="50"/>
    </x:row>
    <x:row r="80" ht="34" customHeight="1">
      <x:c r="A80" s="26" t="n">
        <x:v>65</x:v>
      </x:c>
      <x:c r="B80" s="26" t="n">
        <x:v>63</x:v>
      </x:c>
      <x:c r="C80" s="23" t="str">
        <x:v>Circuits</x:v>
      </x:c>
      <x:c r="D80" s="23" t="str">
        <x:v>Combinational Logic → Multiplexers</x:v>
      </x:c>
      <x:c r="E80" s="23" t="str">
        <x:v>256-to-1 4-bit multiplexer</x:v>
      </x:c>
      <x:c r="F80" s="23" t="str">
        <x:v>mux256to1v</x:v>
      </x:c>
      <x:c r="G80" s="26" t="str">
        <x:v>Completed</x:v>
      </x:c>
      <x:c r="H80" s="26" t="str">
        <x:v>Day 03</x:v>
      </x:c>
      <x:c r="I80" s="32" t="n">
        <x:v>46198</x:v>
      </x:c>
      <x:c r="J80" s="26" t="str">
        <x:v>2:46:53 PM</x:v>
      </x:c>
      <x:c r="K80" s="26" t="n">
        <x:v>1</x:v>
      </x:c>
      <x:c r="L80" s="26" t="n">
        <x:v>0</x:v>
      </x:c>
      <x:c r="M80" s="26" t="n">
        <x:v>0</x:v>
      </x:c>
      <x:c r="N80" s="26" t="n">
        <x:v>0</x:v>
      </x:c>
      <x:c r="O80" s="35" t="n">
        <x:v>1</x:v>
      </x:c>
      <x:c r="P80" s="29" t="e">
        <x:f>HYPERLINK("https://github.com/kapiltrip/hdlBits/blob/main/problems/Day%2003/063-mux256to1v.md","Note")</x:f>
        <x:v>HYPERLINK is not implemented. linkLocation=https://github.com/kapiltrip/hdlBits/blob/main/problems/Day%2003/063-mux256to1v.md, friendlyName=Note</x:v>
      </x:c>
      <x:c r="Q80" s="29" t="e">
        <x:f>HYPERLINK("https://github.com/kapiltrip/hdlBits/blob/main/images/Day%2003/063-mux256to1v.png","Image")</x:f>
        <x:v>HYPERLINK is not implemented. linkLocation=https://github.com/kapiltrip/hdlBits/blob/main/images/Day%2003/063-mux256to1v.png, friendlyName=Image</x:v>
      </x:c>
      <x:c r="R80" s="29" t="e">
        <x:f>HYPERLINK("https://github.com/kapiltrip/hdlBits/blob/main/solutions/Day%2003/063-mux256to1v.sv","Code")</x:f>
        <x:v>HYPERLINK is not implemented. linkLocation=https://github.com/kapiltrip/hdlBits/blob/main/solutions/Day%2003/063-mux256to1v.sv, friendlyName=Code</x:v>
      </x:c>
      <x:c r="S80" s="29" t="e">
        <x:f>HYPERLINK("https://hdlbits.01xz.net/wiki/mux256to1v","HDLBits")</x:f>
        <x:v>HYPERLINK is not implemented. linkLocation=https://hdlbits.01xz.net/wiki/mux256to1v, friendlyName=HDLBits</x:v>
      </x:c>
      <x:c r="T80" s="23" t="str">
        <x:v>Select one 4-bit word from 256 packed words by calculating the correct vector slice from the selector.</x:v>
      </x:c>
      <x:c r="U80" s="23"/>
    </x:row>
    <x:row r="81" ht="22" customHeight="1">
      <x:c r="A81" s="79" t="str">
        <x:v>SUBSECTION · Combinational Logic → Arithmetic Circuits</x:v>
      </x:c>
      <x:c r="B81" s="79"/>
      <x:c r="C81" s="79"/>
      <x:c r="D81" s="79"/>
      <x:c r="E81" s="79"/>
      <x:c r="F81" s="79"/>
      <x:c r="G81" s="79"/>
      <x:c r="H81" s="79"/>
      <x:c r="I81" s="80"/>
      <x:c r="J81" s="79"/>
      <x:c r="K81" s="79"/>
      <x:c r="L81" s="79"/>
      <x:c r="M81" s="79"/>
      <x:c r="N81" s="79"/>
      <x:c r="O81" s="81"/>
      <x:c r="P81" s="79"/>
      <x:c r="Q81" s="79"/>
      <x:c r="R81" s="79"/>
      <x:c r="S81" s="79"/>
      <x:c r="T81" s="79"/>
      <x:c r="U81" s="79"/>
    </x:row>
    <x:row r="82" ht="34" customHeight="1">
      <x:c r="A82" s="49" t="n">
        <x:v>66</x:v>
      </x:c>
      <x:c r="B82" s="49" t="n">
        <x:v>64</x:v>
      </x:c>
      <x:c r="C82" s="50" t="str">
        <x:v>Circuits</x:v>
      </x:c>
      <x:c r="D82" s="50" t="str">
        <x:v>Combinational Logic → Arithmetic Circuits</x:v>
      </x:c>
      <x:c r="E82" s="50" t="str">
        <x:v>Half adder</x:v>
      </x:c>
      <x:c r="F82" s="50" t="str">
        <x:v>hadd</x:v>
      </x:c>
      <x:c r="G82" s="49" t="str">
        <x:v>Completed</x:v>
      </x:c>
      <x:c r="H82" s="49" t="str">
        <x:v>Day 03</x:v>
      </x:c>
      <x:c r="I82" s="51" t="n">
        <x:v>46198</x:v>
      </x:c>
      <x:c r="J82" s="49" t="str">
        <x:v>3:25:33 PM</x:v>
      </x:c>
      <x:c r="K82" s="49" t="n">
        <x:v>1</x:v>
      </x:c>
      <x:c r="L82" s="49" t="n">
        <x:v>0</x:v>
      </x:c>
      <x:c r="M82" s="49" t="n">
        <x:v>0</x:v>
      </x:c>
      <x:c r="N82" s="49" t="n">
        <x:v>0</x:v>
      </x:c>
      <x:c r="O82" s="52" t="n">
        <x:v>1</x:v>
      </x:c>
      <x:c r="P82" s="53" t="e">
        <x:f>HYPERLINK("https://github.com/kapiltrip/hdlBits/blob/main/problems/Day%2003/064-hadd.md","Note")</x:f>
        <x:v>HYPERLINK is not implemented. linkLocation=https://github.com/kapiltrip/hdlBits/blob/main/problems/Day%2003/064-hadd.md, friendlyName=Note</x:v>
      </x:c>
      <x:c r="Q82" s="53" t="e">
        <x:f>HYPERLINK("https://github.com/kapiltrip/hdlBits/blob/main/images/Day%2003/064-hadd.png","Image")</x:f>
        <x:v>HYPERLINK is not implemented. linkLocation=https://github.com/kapiltrip/hdlBits/blob/main/images/Day%2003/064-hadd.png, friendlyName=Image</x:v>
      </x:c>
      <x:c r="R82" s="53" t="e">
        <x:f>HYPERLINK("https://github.com/kapiltrip/hdlBits/blob/main/solutions/Day%2003/064-hadd.sv","Code")</x:f>
        <x:v>HYPERLINK is not implemented. linkLocation=https://github.com/kapiltrip/hdlBits/blob/main/solutions/Day%2003/064-hadd.sv, friendlyName=Code</x:v>
      </x:c>
      <x:c r="S82" s="53" t="e">
        <x:f>HYPERLINK("https://hdlbits.01xz.net/wiki/hadd","HDLBits")</x:f>
        <x:v>HYPERLINK is not implemented. linkLocation=https://hdlbits.01xz.net/wiki/hadd, friendlyName=HDLBits</x:v>
      </x:c>
      <x:c r="T82" s="50" t="str">
        <x:v>Implement a half adder that produces a one-bit sum and carry from two input bits.</x:v>
      </x:c>
      <x:c r="U82" s="50"/>
    </x:row>
    <x:row r="83" ht="34" customHeight="1">
      <x:c r="A83" s="26" t="n">
        <x:v>67</x:v>
      </x:c>
      <x:c r="B83" s="26" t="n">
        <x:v>65</x:v>
      </x:c>
      <x:c r="C83" s="23" t="str">
        <x:v>Circuits</x:v>
      </x:c>
      <x:c r="D83" s="23" t="str">
        <x:v>Combinational Logic → Arithmetic Circuits</x:v>
      </x:c>
      <x:c r="E83" s="23" t="str">
        <x:v>Full adder</x:v>
      </x:c>
      <x:c r="F83" s="23" t="str">
        <x:v>fadd</x:v>
      </x:c>
      <x:c r="G83" s="26" t="str">
        <x:v>Completed</x:v>
      </x:c>
      <x:c r="H83" s="26" t="str">
        <x:v>Day 02</x:v>
      </x:c>
      <x:c r="I83" s="32" t="n">
        <x:v>46197</x:v>
      </x:c>
      <x:c r="J83" s="26" t="str">
        <x:v>10:21:26 PM</x:v>
      </x:c>
      <x:c r="K83" s="26" t="n">
        <x:v>1</x:v>
      </x:c>
      <x:c r="L83" s="26" t="n">
        <x:v>0</x:v>
      </x:c>
      <x:c r="M83" s="26" t="n">
        <x:v>0</x:v>
      </x:c>
      <x:c r="N83" s="26" t="n">
        <x:v>0</x:v>
      </x:c>
      <x:c r="O83" s="35" t="n">
        <x:v>1</x:v>
      </x:c>
      <x:c r="P83" s="29" t="e">
        <x:f>HYPERLINK("https://github.com/kapiltrip/hdlBits/blob/main/problems/Day%2002/065-fadd.md","Note")</x:f>
        <x:v>HYPERLINK is not implemented. linkLocation=https://github.com/kapiltrip/hdlBits/blob/main/problems/Day%2002/065-fadd.md, friendlyName=Note</x:v>
      </x:c>
      <x:c r="Q83" s="29" t="e">
        <x:f>HYPERLINK("https://github.com/kapiltrip/hdlBits/blob/main/images/Day%2002/065-fadd.png","Image")</x:f>
        <x:v>HYPERLINK is not implemented. linkLocation=https://github.com/kapiltrip/hdlBits/blob/main/images/Day%2002/065-fadd.png, friendlyName=Image</x:v>
      </x:c>
      <x:c r="R83" s="29" t="e">
        <x:f>HYPERLINK("https://github.com/kapiltrip/hdlBits/blob/main/solutions/Day%2002/065-fadd.sv","Code")</x:f>
        <x:v>HYPERLINK is not implemented. linkLocation=https://github.com/kapiltrip/hdlBits/blob/main/solutions/Day%2002/065-fadd.sv, friendlyName=Code</x:v>
      </x:c>
      <x:c r="S83" s="29" t="e">
        <x:f>HYPERLINK("https://hdlbits.01xz.net/wiki/fadd","HDLBits")</x:f>
        <x:v>HYPERLINK is not implemented. linkLocation=https://hdlbits.01xz.net/wiki/fadd, friendlyName=HDLBits</x:v>
      </x:c>
      <x:c r="T83" s="23" t="str">
        <x:v>Implement a full adder that includes carry-in and produces both sum and carry-out.</x:v>
      </x:c>
      <x:c r="U83" s="23"/>
    </x:row>
    <x:row r="84" ht="34" customHeight="1">
      <x:c r="A84" s="49" t="n">
        <x:v>68</x:v>
      </x:c>
      <x:c r="B84" s="49" t="n">
        <x:v>66</x:v>
      </x:c>
      <x:c r="C84" s="50" t="str">
        <x:v>Circuits</x:v>
      </x:c>
      <x:c r="D84" s="50" t="str">
        <x:v>Combinational Logic → Arithmetic Circuits</x:v>
      </x:c>
      <x:c r="E84" s="50" t="str">
        <x:v>3-bit binary adder</x:v>
      </x:c>
      <x:c r="F84" s="50" t="str">
        <x:v>adder3</x:v>
      </x:c>
      <x:c r="G84" s="49" t="str">
        <x:v>Completed</x:v>
      </x:c>
      <x:c r="H84" s="49" t="str">
        <x:v>Day 03</x:v>
      </x:c>
      <x:c r="I84" s="51" t="n">
        <x:v>46198</x:v>
      </x:c>
      <x:c r="J84" s="49" t="str">
        <x:v>3:24:38 PM</x:v>
      </x:c>
      <x:c r="K84" s="49" t="n">
        <x:v>3</x:v>
      </x:c>
      <x:c r="L84" s="49" t="n">
        <x:v>1</x:v>
      </x:c>
      <x:c r="M84" s="49" t="n">
        <x:v>1</x:v>
      </x:c>
      <x:c r="N84" s="49" t="n">
        <x:v>0</x:v>
      </x:c>
      <x:c r="O84" s="52" t="n">
        <x:v>0.33</x:v>
      </x:c>
      <x:c r="P84" s="53" t="e">
        <x:f>HYPERLINK("https://github.com/kapiltrip/hdlBits/blob/main/problems/Day%2003/066-adder3.md","Note")</x:f>
        <x:v>HYPERLINK is not implemented. linkLocation=https://github.com/kapiltrip/hdlBits/blob/main/problems/Day%2003/066-adder3.md, friendlyName=Note</x:v>
      </x:c>
      <x:c r="Q84" s="53" t="e">
        <x:f>HYPERLINK("https://github.com/kapiltrip/hdlBits/blob/main/images/Day%2003/066-adder3.png","Image")</x:f>
        <x:v>HYPERLINK is not implemented. linkLocation=https://github.com/kapiltrip/hdlBits/blob/main/images/Day%2003/066-adder3.png, friendlyName=Image</x:v>
      </x:c>
      <x:c r="R84" s="53" t="e">
        <x:f>HYPERLINK("https://github.com/kapiltrip/hdlBits/blob/main/solutions/Day%2003/066-adder3.sv","Code")</x:f>
        <x:v>HYPERLINK is not implemented. linkLocation=https://github.com/kapiltrip/hdlBits/blob/main/solutions/Day%2003/066-adder3.sv, friendlyName=Code</x:v>
      </x:c>
      <x:c r="S84" s="53" t="e">
        <x:f>HYPERLINK("https://hdlbits.01xz.net/wiki/adder3","HDLBits")</x:f>
        <x:v>HYPERLINK is not implemented. linkLocation=https://hdlbits.01xz.net/wiki/adder3, friendlyName=HDLBits</x:v>
      </x:c>
      <x:c r="T84" s="50" t="str">
        <x:v>Chain three full adders to add two 3-bit numbers and expose the intermediate carry signals.</x:v>
      </x:c>
      <x:c r="U84" s="50"/>
    </x:row>
    <x:row r="85" ht="34" customHeight="1">
      <x:c r="A85" s="26" t="n">
        <x:v>69</x:v>
      </x:c>
      <x:c r="B85" s="26" t="n">
        <x:v>67</x:v>
      </x:c>
      <x:c r="C85" s="23" t="str">
        <x:v>Circuits</x:v>
      </x:c>
      <x:c r="D85" s="23" t="str">
        <x:v>Combinational Logic → Arithmetic Circuits</x:v>
      </x:c>
      <x:c r="E85" s="23" t="str">
        <x:v>Adder</x:v>
      </x:c>
      <x:c r="F85" s="23" t="str">
        <x:v>exams/m2014_q4j</x:v>
      </x:c>
      <x:c r="G85" s="26" t="str">
        <x:v>Completed</x:v>
      </x:c>
      <x:c r="H85" s="26" t="str">
        <x:v>Day 03</x:v>
      </x:c>
      <x:c r="I85" s="32" t="n">
        <x:v>46198</x:v>
      </x:c>
      <x:c r="J85" s="26" t="str">
        <x:v>3:20:07 PM</x:v>
      </x:c>
      <x:c r="K85" s="26" t="n">
        <x:v>4</x:v>
      </x:c>
      <x:c r="L85" s="26" t="n">
        <x:v>0</x:v>
      </x:c>
      <x:c r="M85" s="26" t="n">
        <x:v>3</x:v>
      </x:c>
      <x:c r="N85" s="26" t="n">
        <x:v>0</x:v>
      </x:c>
      <x:c r="O85" s="35" t="n">
        <x:v>0.25</x:v>
      </x:c>
      <x:c r="P85" s="29" t="e">
        <x:f>HYPERLINK("https://github.com/kapiltrip/hdlBits/blob/main/problems/Day%2003/067-exams__m2014_q4j.md","Note")</x:f>
        <x:v>HYPERLINK is not implemented. linkLocation=https://github.com/kapiltrip/hdlBits/blob/main/problems/Day%2003/067-exams__m2014_q4j.md, friendlyName=Note</x:v>
      </x:c>
      <x:c r="Q85" s="29" t="e">
        <x:f>HYPERLINK("https://github.com/kapiltrip/hdlBits/blob/main/images/Day%2003/067-exams__m2014_q4j.png","Image")</x:f>
        <x:v>HYPERLINK is not implemented. linkLocation=https://github.com/kapiltrip/hdlBits/blob/main/images/Day%2003/067-exams__m2014_q4j.png, friendlyName=Image</x:v>
      </x:c>
      <x:c r="R85" s="29" t="e">
        <x:f>HYPERLINK("https://github.com/kapiltrip/hdlBits/blob/main/solutions/Day%2003/067-exams__m2014_q4j.sv","Code")</x:f>
        <x:v>HYPERLINK is not implemented. linkLocation=https://github.com/kapiltrip/hdlBits/blob/main/solutions/Day%2003/067-exams__m2014_q4j.sv, friendlyName=Code</x:v>
      </x:c>
      <x:c r="S85" s="29" t="e">
        <x:f>HYPERLINK("https://hdlbits.01xz.net/wiki/exams/m2014_q4j","HDLBits")</x:f>
        <x:v>HYPERLINK is not implemented. linkLocation=https://hdlbits.01xz.net/wiki/exams/m2014_q4j, friendlyName=HDLBits</x:v>
      </x:c>
      <x:c r="T85" s="23" t="str">
        <x:v>Implement the adder circuit shown in the exam diagram with the requested sum and carry behaviour.</x:v>
      </x:c>
      <x:c r="U85" s="23"/>
    </x:row>
    <x:row r="86" ht="34" customHeight="1">
      <x:c r="A86" s="49" t="n">
        <x:v>70</x:v>
      </x:c>
      <x:c r="B86" s="49" t="n">
        <x:v>68</x:v>
      </x:c>
      <x:c r="C86" s="50" t="str">
        <x:v>Circuits</x:v>
      </x:c>
      <x:c r="D86" s="50" t="str">
        <x:v>Combinational Logic → Arithmetic Circuits</x:v>
      </x:c>
      <x:c r="E86" s="50" t="str">
        <x:v>Signed addition overflow</x:v>
      </x:c>
      <x:c r="F86" s="50" t="str">
        <x:v>exams/ece241_2014_q1c</x:v>
      </x:c>
      <x:c r="G86" s="49" t="str">
        <x:v>Completed</x:v>
      </x:c>
      <x:c r="H86" s="49" t="str">
        <x:v>Day 03</x:v>
      </x:c>
      <x:c r="I86" s="51" t="n">
        <x:v>46198</x:v>
      </x:c>
      <x:c r="J86" s="49" t="str">
        <x:v>5:28:33 PM</x:v>
      </x:c>
      <x:c r="K86" s="49" t="n">
        <x:v>1</x:v>
      </x:c>
      <x:c r="L86" s="49" t="n">
        <x:v>0</x:v>
      </x:c>
      <x:c r="M86" s="49" t="n">
        <x:v>0</x:v>
      </x:c>
      <x:c r="N86" s="49" t="n">
        <x:v>0</x:v>
      </x:c>
      <x:c r="O86" s="52" t="n">
        <x:v>1</x:v>
      </x:c>
      <x:c r="P86" s="53" t="e">
        <x:f>HYPERLINK("https://github.com/kapiltrip/hdlBits/blob/main/problems/Day%2003/068-exams__ece241_2014_q1c.md","Note")</x:f>
        <x:v>HYPERLINK is not implemented. linkLocation=https://github.com/kapiltrip/hdlBits/blob/main/problems/Day%2003/068-exams__ece241_2014_q1c.md, friendlyName=Note</x:v>
      </x:c>
      <x:c r="Q86" s="53" t="e">
        <x:f>HYPERLINK("https://github.com/kapiltrip/hdlBits/blob/main/images/Day%2003/068-exams__ece241_2014_q1c.png","Image")</x:f>
        <x:v>HYPERLINK is not implemented. linkLocation=https://github.com/kapiltrip/hdlBits/blob/main/images/Day%2003/068-exams__ece241_2014_q1c.png, friendlyName=Image</x:v>
      </x:c>
      <x:c r="R86" s="53" t="e">
        <x:f>HYPERLINK("https://github.com/kapiltrip/hdlBits/blob/main/solutions/Day%2003/068-exams__ece241_2014_q1c.sv","Code")</x:f>
        <x:v>HYPERLINK is not implemented. linkLocation=https://github.com/kapiltrip/hdlBits/blob/main/solutions/Day%2003/068-exams__ece241_2014_q1c.sv, friendlyName=Code</x:v>
      </x:c>
      <x:c r="S86" s="53" t="e">
        <x:f>HYPERLINK("https://hdlbits.01xz.net/wiki/exams/ece241_2014_q1c","HDLBits")</x:f>
        <x:v>HYPERLINK is not implemented. linkLocation=https://hdlbits.01xz.net/wiki/exams/ece241_2014_q1c, friendlyName=HDLBits</x:v>
      </x:c>
      <x:c r="T86" s="50" t="str">
        <x:v>Add two signed values and assert overflow when the mathematical result cannot fit in the signed output width.</x:v>
      </x:c>
      <x:c r="U86" s="50"/>
    </x:row>
    <x:row r="87" ht="34" customHeight="1">
      <x:c r="A87" s="26" t="n">
        <x:v>71</x:v>
      </x:c>
      <x:c r="B87" s="26" t="n">
        <x:v>69</x:v>
      </x:c>
      <x:c r="C87" s="23" t="str">
        <x:v>Circuits</x:v>
      </x:c>
      <x:c r="D87" s="23" t="str">
        <x:v>Combinational Logic → Arithmetic Circuits</x:v>
      </x:c>
      <x:c r="E87" s="23" t="str">
        <x:v>100-bit binary adder</x:v>
      </x:c>
      <x:c r="F87" s="23" t="str">
        <x:v>adder100</x:v>
      </x:c>
      <x:c r="G87" s="26" t="str">
        <x:v>Completed</x:v>
      </x:c>
      <x:c r="H87" s="26" t="str">
        <x:v>Day 03</x:v>
      </x:c>
      <x:c r="I87" s="32" t="n">
        <x:v>46198</x:v>
      </x:c>
      <x:c r="J87" s="26" t="str">
        <x:v>5:26:53 PM</x:v>
      </x:c>
      <x:c r="K87" s="26" t="n">
        <x:v>2</x:v>
      </x:c>
      <x:c r="L87" s="26" t="n">
        <x:v>1</x:v>
      </x:c>
      <x:c r="M87" s="26" t="n">
        <x:v>0</x:v>
      </x:c>
      <x:c r="N87" s="26" t="n">
        <x:v>0</x:v>
      </x:c>
      <x:c r="O87" s="35" t="n">
        <x:v>0.5</x:v>
      </x:c>
      <x:c r="P87" s="29" t="e">
        <x:f>HYPERLINK("https://github.com/kapiltrip/hdlBits/blob/main/problems/Day%2003/069-adder100.md","Note")</x:f>
        <x:v>HYPERLINK is not implemented. linkLocation=https://github.com/kapiltrip/hdlBits/blob/main/problems/Day%2003/069-adder100.md, friendlyName=Note</x:v>
      </x:c>
      <x:c r="Q87" s="29" t="e">
        <x:f>HYPERLINK("https://github.com/kapiltrip/hdlBits/blob/main/images/Day%2003/069-adder100.png","Image")</x:f>
        <x:v>HYPERLINK is not implemented. linkLocation=https://github.com/kapiltrip/hdlBits/blob/main/images/Day%2003/069-adder100.png, friendlyName=Image</x:v>
      </x:c>
      <x:c r="R87" s="29" t="e">
        <x:f>HYPERLINK("https://github.com/kapiltrip/hdlBits/blob/main/solutions/Day%2003/069-adder100.sv","Code")</x:f>
        <x:v>HYPERLINK is not implemented. linkLocation=https://github.com/kapiltrip/hdlBits/blob/main/solutions/Day%2003/069-adder100.sv, friendlyName=Code</x:v>
      </x:c>
      <x:c r="S87" s="29" t="e">
        <x:f>HYPERLINK("https://hdlbits.01xz.net/wiki/adder100","HDLBits")</x:f>
        <x:v>HYPERLINK is not implemented. linkLocation=https://hdlbits.01xz.net/wiki/adder100, friendlyName=HDLBits</x:v>
      </x:c>
      <x:c r="T87" s="23" t="str">
        <x:v>Implement a 100-bit combinational adder and return the final carry-out together with the sum.</x:v>
      </x:c>
      <x:c r="U87" s="23"/>
    </x:row>
    <x:row r="88" ht="34" customHeight="1">
      <x:c r="A88" s="49" t="n">
        <x:v>72</x:v>
      </x:c>
      <x:c r="B88" s="49" t="n">
        <x:v>70</x:v>
      </x:c>
      <x:c r="C88" s="50" t="str">
        <x:v>Circuits</x:v>
      </x:c>
      <x:c r="D88" s="50" t="str">
        <x:v>Combinational Logic → Arithmetic Circuits</x:v>
      </x:c>
      <x:c r="E88" s="50" t="str">
        <x:v>4-digit BCD adder</x:v>
      </x:c>
      <x:c r="F88" s="50" t="str">
        <x:v>bcdadd4</x:v>
      </x:c>
      <x:c r="G88" s="49" t="str">
        <x:v>Completed</x:v>
      </x:c>
      <x:c r="H88" s="49" t="str">
        <x:v>Day 03</x:v>
      </x:c>
      <x:c r="I88" s="51" t="n">
        <x:v>46198</x:v>
      </x:c>
      <x:c r="J88" s="49" t="str">
        <x:v>5:16:55 PM</x:v>
      </x:c>
      <x:c r="K88" s="49" t="n">
        <x:v>2</x:v>
      </x:c>
      <x:c r="L88" s="49" t="n">
        <x:v>0</x:v>
      </x:c>
      <x:c r="M88" s="49" t="n">
        <x:v>1</x:v>
      </x:c>
      <x:c r="N88" s="49" t="n">
        <x:v>0</x:v>
      </x:c>
      <x:c r="O88" s="52" t="n">
        <x:v>0.5</x:v>
      </x:c>
      <x:c r="P88" s="53" t="e">
        <x:f>HYPERLINK("https://github.com/kapiltrip/hdlBits/blob/main/problems/Day%2003/070-bcdadd4.md","Note")</x:f>
        <x:v>HYPERLINK is not implemented. linkLocation=https://github.com/kapiltrip/hdlBits/blob/main/problems/Day%2003/070-bcdadd4.md, friendlyName=Note</x:v>
      </x:c>
      <x:c r="Q88" s="53" t="e">
        <x:f>HYPERLINK("https://github.com/kapiltrip/hdlBits/blob/main/images/Day%2003/070-bcdadd4.png","Image")</x:f>
        <x:v>HYPERLINK is not implemented. linkLocation=https://github.com/kapiltrip/hdlBits/blob/main/images/Day%2003/070-bcdadd4.png, friendlyName=Image</x:v>
      </x:c>
      <x:c r="R88" s="53" t="e">
        <x:f>HYPERLINK("https://github.com/kapiltrip/hdlBits/blob/main/solutions/Day%2003/070-bcdadd4.sv","Code")</x:f>
        <x:v>HYPERLINK is not implemented. linkLocation=https://github.com/kapiltrip/hdlBits/blob/main/solutions/Day%2003/070-bcdadd4.sv, friendlyName=Code</x:v>
      </x:c>
      <x:c r="S88" s="53" t="e">
        <x:f>HYPERLINK("https://hdlbits.01xz.net/wiki/bcdadd4","HDLBits")</x:f>
        <x:v>HYPERLINK is not implemented. linkLocation=https://hdlbits.01xz.net/wiki/bcdadd4, friendlyName=HDLBits</x:v>
      </x:c>
      <x:c r="T88" s="50" t="str">
        <x:v>Chain four BCD full adders to add two four-digit decimal values and propagate decimal carry between digits.</x:v>
      </x:c>
      <x:c r="U88" s="50"/>
    </x:row>
    <x:row r="89" ht="22" customHeight="1">
      <x:c r="A89" s="79" t="str">
        <x:v>SUBSECTION · Combinational Logic → Karnaugh Map to Circuit</x:v>
      </x:c>
      <x:c r="B89" s="79"/>
      <x:c r="C89" s="79"/>
      <x:c r="D89" s="79"/>
      <x:c r="E89" s="79"/>
      <x:c r="F89" s="79"/>
      <x:c r="G89" s="79"/>
      <x:c r="H89" s="79"/>
      <x:c r="I89" s="80"/>
      <x:c r="J89" s="79"/>
      <x:c r="K89" s="79"/>
      <x:c r="L89" s="79"/>
      <x:c r="M89" s="79"/>
      <x:c r="N89" s="79"/>
      <x:c r="O89" s="81"/>
      <x:c r="P89" s="79"/>
      <x:c r="Q89" s="79"/>
      <x:c r="R89" s="79"/>
      <x:c r="S89" s="79"/>
      <x:c r="T89" s="79"/>
      <x:c r="U89" s="79"/>
    </x:row>
    <x:row r="90" ht="34" customHeight="1">
      <x:c r="A90" s="26" t="n">
        <x:v>73</x:v>
      </x:c>
      <x:c r="B90" s="26" t="n">
        <x:v>71</x:v>
      </x:c>
      <x:c r="C90" s="23" t="str">
        <x:v>Circuits</x:v>
      </x:c>
      <x:c r="D90" s="23" t="str">
        <x:v>Combinational Logic → Karnaugh Map to Circuit</x:v>
      </x:c>
      <x:c r="E90" s="23" t="str">
        <x:v>3-variable</x:v>
      </x:c>
      <x:c r="F90" s="23" t="str">
        <x:v>kmap1</x:v>
      </x:c>
      <x:c r="G90" s="26" t="str">
        <x:v>Completed</x:v>
      </x:c>
      <x:c r="H90" s="26" t="str">
        <x:v>Day 03</x:v>
      </x:c>
      <x:c r="I90" s="32" t="n">
        <x:v>46198</x:v>
      </x:c>
      <x:c r="J90" s="26" t="str">
        <x:v>5:31:33 PM</x:v>
      </x:c>
      <x:c r="K90" s="26" t="n">
        <x:v>1</x:v>
      </x:c>
      <x:c r="L90" s="26" t="n">
        <x:v>0</x:v>
      </x:c>
      <x:c r="M90" s="26" t="n">
        <x:v>0</x:v>
      </x:c>
      <x:c r="N90" s="26" t="n">
        <x:v>0</x:v>
      </x:c>
      <x:c r="O90" s="35" t="n">
        <x:v>1</x:v>
      </x:c>
      <x:c r="P90" s="29" t="e">
        <x:f>HYPERLINK("https://github.com/kapiltrip/hdlBits/blob/main/problems/Day%2003/071-kmap1.md","Note")</x:f>
        <x:v>HYPERLINK is not implemented. linkLocation=https://github.com/kapiltrip/hdlBits/blob/main/problems/Day%2003/071-kmap1.md, friendlyName=Note</x:v>
      </x:c>
      <x:c r="Q90" s="29" t="e">
        <x:f>HYPERLINK("https://github.com/kapiltrip/hdlBits/blob/main/images/Day%2003/071-kmap1.png","Image")</x:f>
        <x:v>HYPERLINK is not implemented. linkLocation=https://github.com/kapiltrip/hdlBits/blob/main/images/Day%2003/071-kmap1.png, friendlyName=Image</x:v>
      </x:c>
      <x:c r="R90" s="29" t="e">
        <x:f>HYPERLINK("https://github.com/kapiltrip/hdlBits/blob/main/solutions/Day%2003/071-kmap1.sv","Code")</x:f>
        <x:v>HYPERLINK is not implemented. linkLocation=https://github.com/kapiltrip/hdlBits/blob/main/solutions/Day%2003/071-kmap1.sv, friendlyName=Code</x:v>
      </x:c>
      <x:c r="S90" s="29" t="e">
        <x:f>HYPERLINK("https://hdlbits.01xz.net/wiki/kmap1","HDLBits")</x:f>
        <x:v>HYPERLINK is not implemented. linkLocation=https://hdlbits.01xz.net/wiki/kmap1, friendlyName=HDLBits</x:v>
      </x:c>
      <x:c r="T90" s="23" t="str">
        <x:v>Derive and implement the simplified logic function represented by the supplied 3-variable Karnaugh map.</x:v>
      </x:c>
      <x:c r="U90" s="23"/>
    </x:row>
    <x:row r="91" ht="34" customHeight="1">
      <x:c r="A91" s="49" t="n">
        <x:v>74</x:v>
      </x:c>
      <x:c r="B91" s="49" t="n">
        <x:v>72</x:v>
      </x:c>
      <x:c r="C91" s="50" t="str">
        <x:v>Circuits</x:v>
      </x:c>
      <x:c r="D91" s="50" t="str">
        <x:v>Combinational Logic → Karnaugh Map to Circuit</x:v>
      </x:c>
      <x:c r="E91" s="50" t="str">
        <x:v>4-variable</x:v>
      </x:c>
      <x:c r="F91" s="50" t="str">
        <x:v>kmap2</x:v>
      </x:c>
      <x:c r="G91" s="49" t="str">
        <x:v>Completed</x:v>
      </x:c>
      <x:c r="H91" s="49" t="str">
        <x:v>Day 03</x:v>
      </x:c>
      <x:c r="I91" s="51" t="n">
        <x:v>46198</x:v>
      </x:c>
      <x:c r="J91" s="49" t="str">
        <x:v>5:35:18 PM</x:v>
      </x:c>
      <x:c r="K91" s="49" t="n">
        <x:v>1</x:v>
      </x:c>
      <x:c r="L91" s="49" t="n">
        <x:v>0</x:v>
      </x:c>
      <x:c r="M91" s="49" t="n">
        <x:v>0</x:v>
      </x:c>
      <x:c r="N91" s="49" t="n">
        <x:v>0</x:v>
      </x:c>
      <x:c r="O91" s="52" t="n">
        <x:v>1</x:v>
      </x:c>
      <x:c r="P91" s="53" t="e">
        <x:f>HYPERLINK("https://github.com/kapiltrip/hdlBits/blob/main/problems/Day%2003/072-kmap2.md","Note")</x:f>
        <x:v>HYPERLINK is not implemented. linkLocation=https://github.com/kapiltrip/hdlBits/blob/main/problems/Day%2003/072-kmap2.md, friendlyName=Note</x:v>
      </x:c>
      <x:c r="Q91" s="53" t="e">
        <x:f>HYPERLINK("https://github.com/kapiltrip/hdlBits/blob/main/images/Day%2003/072-kmap2.png","Image")</x:f>
        <x:v>HYPERLINK is not implemented. linkLocation=https://github.com/kapiltrip/hdlBits/blob/main/images/Day%2003/072-kmap2.png, friendlyName=Image</x:v>
      </x:c>
      <x:c r="R91" s="53" t="e">
        <x:f>HYPERLINK("https://github.com/kapiltrip/hdlBits/blob/main/solutions/Day%2003/072-kmap2.sv","Code")</x:f>
        <x:v>HYPERLINK is not implemented. linkLocation=https://github.com/kapiltrip/hdlBits/blob/main/solutions/Day%2003/072-kmap2.sv, friendlyName=Code</x:v>
      </x:c>
      <x:c r="S91" s="53" t="e">
        <x:f>HYPERLINK("https://hdlbits.01xz.net/wiki/kmap2","HDLBits")</x:f>
        <x:v>HYPERLINK is not implemented. linkLocation=https://hdlbits.01xz.net/wiki/kmap2, friendlyName=HDLBits</x:v>
      </x:c>
      <x:c r="T91" s="50" t="str">
        <x:v>Derive a minimal combinational expression from the supplied 4-variable Karnaugh map.</x:v>
      </x:c>
      <x:c r="U91" s="50"/>
    </x:row>
    <x:row r="92" ht="34" customHeight="1">
      <x:c r="A92" s="26" t="n">
        <x:v>75</x:v>
      </x:c>
      <x:c r="B92" s="26" t="n">
        <x:v>73</x:v>
      </x:c>
      <x:c r="C92" s="23" t="str">
        <x:v>Circuits</x:v>
      </x:c>
      <x:c r="D92" s="23" t="str">
        <x:v>Combinational Logic → Karnaugh Map to Circuit</x:v>
      </x:c>
      <x:c r="E92" s="23" t="str">
        <x:v>4-variable</x:v>
      </x:c>
      <x:c r="F92" s="23" t="str">
        <x:v>kmap3</x:v>
      </x:c>
      <x:c r="G92" s="26" t="str">
        <x:v>Completed</x:v>
      </x:c>
      <x:c r="H92" s="26" t="str">
        <x:v>Day 03</x:v>
      </x:c>
      <x:c r="I92" s="32" t="n">
        <x:v>46198</x:v>
      </x:c>
      <x:c r="J92" s="26" t="str">
        <x:v>3:39:22 PM</x:v>
      </x:c>
      <x:c r="K92" s="26" t="n">
        <x:v>4</x:v>
      </x:c>
      <x:c r="L92" s="26" t="n">
        <x:v>2</x:v>
      </x:c>
      <x:c r="M92" s="26" t="n">
        <x:v>1</x:v>
      </x:c>
      <x:c r="N92" s="26" t="n">
        <x:v>0</x:v>
      </x:c>
      <x:c r="O92" s="35" t="n">
        <x:v>0.25</x:v>
      </x:c>
      <x:c r="P92" s="29" t="e">
        <x:f>HYPERLINK("https://github.com/kapiltrip/hdlBits/blob/main/problems/Day%2003/073-kmap3.md","Note")</x:f>
        <x:v>HYPERLINK is not implemented. linkLocation=https://github.com/kapiltrip/hdlBits/blob/main/problems/Day%2003/073-kmap3.md, friendlyName=Note</x:v>
      </x:c>
      <x:c r="Q92" s="29" t="e">
        <x:f>HYPERLINK("https://github.com/kapiltrip/hdlBits/blob/main/images/Day%2003/073-kmap3.png","Image")</x:f>
        <x:v>HYPERLINK is not implemented. linkLocation=https://github.com/kapiltrip/hdlBits/blob/main/images/Day%2003/073-kmap3.png, friendlyName=Image</x:v>
      </x:c>
      <x:c r="R92" s="29" t="e">
        <x:f>HYPERLINK("https://github.com/kapiltrip/hdlBits/blob/main/solutions/Day%2003/073-kmap3.sv","Code")</x:f>
        <x:v>HYPERLINK is not implemented. linkLocation=https://github.com/kapiltrip/hdlBits/blob/main/solutions/Day%2003/073-kmap3.sv, friendlyName=Code</x:v>
      </x:c>
      <x:c r="S92" s="29" t="e">
        <x:f>HYPERLINK("https://hdlbits.01xz.net/wiki/kmap3","HDLBits")</x:f>
        <x:v>HYPERLINK is not implemented. linkLocation=https://hdlbits.01xz.net/wiki/kmap3, friendlyName=HDLBits</x:v>
      </x:c>
      <x:c r="T92" s="23" t="str">
        <x:v>Implement the 4-variable Karnaugh-map function while using the indicated don't-care cells for simplification.</x:v>
      </x:c>
      <x:c r="U92" s="23"/>
    </x:row>
    <x:row r="93" ht="34" customHeight="1">
      <x:c r="A93" s="49" t="n">
        <x:v>76</x:v>
      </x:c>
      <x:c r="B93" s="49" t="n">
        <x:v>74</x:v>
      </x:c>
      <x:c r="C93" s="50" t="str">
        <x:v>Circuits</x:v>
      </x:c>
      <x:c r="D93" s="50" t="str">
        <x:v>Combinational Logic → Karnaugh Map to Circuit</x:v>
      </x:c>
      <x:c r="E93" s="50" t="str">
        <x:v>4-variable</x:v>
      </x:c>
      <x:c r="F93" s="50" t="str">
        <x:v>kmap4</x:v>
      </x:c>
      <x:c r="G93" s="49" t="str">
        <x:v>Completed</x:v>
      </x:c>
      <x:c r="H93" s="49" t="str">
        <x:v>Day 03</x:v>
      </x:c>
      <x:c r="I93" s="51" t="n">
        <x:v>46198</x:v>
      </x:c>
      <x:c r="J93" s="49" t="str">
        <x:v>3:49:07 PM</x:v>
      </x:c>
      <x:c r="K93" s="49" t="n">
        <x:v>1</x:v>
      </x:c>
      <x:c r="L93" s="49" t="n">
        <x:v>0</x:v>
      </x:c>
      <x:c r="M93" s="49" t="n">
        <x:v>0</x:v>
      </x:c>
      <x:c r="N93" s="49" t="n">
        <x:v>0</x:v>
      </x:c>
      <x:c r="O93" s="52" t="n">
        <x:v>1</x:v>
      </x:c>
      <x:c r="P93" s="53" t="e">
        <x:f>HYPERLINK("https://github.com/kapiltrip/hdlBits/blob/main/problems/Day%2003/074-kmap4.md","Note")</x:f>
        <x:v>HYPERLINK is not implemented. linkLocation=https://github.com/kapiltrip/hdlBits/blob/main/problems/Day%2003/074-kmap4.md, friendlyName=Note</x:v>
      </x:c>
      <x:c r="Q93" s="53" t="e">
        <x:f>HYPERLINK("https://github.com/kapiltrip/hdlBits/blob/main/images/Day%2003/074-kmap4.png","Image")</x:f>
        <x:v>HYPERLINK is not implemented. linkLocation=https://github.com/kapiltrip/hdlBits/blob/main/images/Day%2003/074-kmap4.png, friendlyName=Image</x:v>
      </x:c>
      <x:c r="R93" s="53" t="e">
        <x:f>HYPERLINK("https://github.com/kapiltrip/hdlBits/blob/main/solutions/Day%2003/074-kmap4.sv","Code")</x:f>
        <x:v>HYPERLINK is not implemented. linkLocation=https://github.com/kapiltrip/hdlBits/blob/main/solutions/Day%2003/074-kmap4.sv, friendlyName=Code</x:v>
      </x:c>
      <x:c r="S93" s="53" t="e">
        <x:f>HYPERLINK("https://hdlbits.01xz.net/wiki/kmap4","HDLBits")</x:f>
        <x:v>HYPERLINK is not implemented. linkLocation=https://hdlbits.01xz.net/wiki/kmap4, friendlyName=HDLBits</x:v>
      </x:c>
      <x:c r="T93" s="50" t="str">
        <x:v>Translate the supplied 4-variable Karnaugh map into a correct simplified Verilog expression.</x:v>
      </x:c>
      <x:c r="U93" s="50"/>
    </x:row>
    <x:row r="94" ht="34" customHeight="1">
      <x:c r="A94" s="26" t="n">
        <x:v>77</x:v>
      </x:c>
      <x:c r="B94" s="26" t="n">
        <x:v>75</x:v>
      </x:c>
      <x:c r="C94" s="23" t="str">
        <x:v>Circuits</x:v>
      </x:c>
      <x:c r="D94" s="23" t="str">
        <x:v>Combinational Logic → Karnaugh Map to Circuit</x:v>
      </x:c>
      <x:c r="E94" s="23" t="str">
        <x:v>Minimum SOP and POS</x:v>
      </x:c>
      <x:c r="F94" s="23" t="str">
        <x:v>exams/ece241_2013_q2</x:v>
      </x:c>
      <x:c r="G94" s="26" t="str">
        <x:v>Completed</x:v>
      </x:c>
      <x:c r="H94" s="26" t="str">
        <x:v>Day 03</x:v>
      </x:c>
      <x:c r="I94" s="32" t="n">
        <x:v>46198</x:v>
      </x:c>
      <x:c r="J94" s="26" t="str">
        <x:v>6:04:35 PM</x:v>
      </x:c>
      <x:c r="K94" s="26" t="n">
        <x:v>5</x:v>
      </x:c>
      <x:c r="L94" s="26" t="n">
        <x:v>3</x:v>
      </x:c>
      <x:c r="M94" s="26" t="n">
        <x:v>1</x:v>
      </x:c>
      <x:c r="N94" s="26" t="n">
        <x:v>0</x:v>
      </x:c>
      <x:c r="O94" s="35" t="n">
        <x:v>0.2</x:v>
      </x:c>
      <x:c r="P94" s="29" t="e">
        <x:f>HYPERLINK("https://github.com/kapiltrip/hdlBits/blob/main/problems/Day%2003/075-exams__ece241_2013_q2.md","Note")</x:f>
        <x:v>HYPERLINK is not implemented. linkLocation=https://github.com/kapiltrip/hdlBits/blob/main/problems/Day%2003/075-exams__ece241_2013_q2.md, friendlyName=Note</x:v>
      </x:c>
      <x:c r="Q94" s="29" t="e">
        <x:f>HYPERLINK("https://github.com/kapiltrip/hdlBits/blob/main/images/Day%2003/075-exams__ece241_2013_q2.png","Image")</x:f>
        <x:v>HYPERLINK is not implemented. linkLocation=https://github.com/kapiltrip/hdlBits/blob/main/images/Day%2003/075-exams__ece241_2013_q2.png, friendlyName=Image</x:v>
      </x:c>
      <x:c r="R94" s="29" t="e">
        <x:f>HYPERLINK("https://github.com/kapiltrip/hdlBits/blob/main/solutions/Day%2003/075-exams__ece241_2013_q2.sv","Code")</x:f>
        <x:v>HYPERLINK is not implemented. linkLocation=https://github.com/kapiltrip/hdlBits/blob/main/solutions/Day%2003/075-exams__ece241_2013_q2.sv, friendlyName=Code</x:v>
      </x:c>
      <x:c r="S94" s="29" t="e">
        <x:f>HYPERLINK("https://hdlbits.01xz.net/wiki/exams/ece241_2013_q2","HDLBits")</x:f>
        <x:v>HYPERLINK is not implemented. linkLocation=https://hdlbits.01xz.net/wiki/exams/ece241_2013_q2, friendlyName=HDLBits</x:v>
      </x:c>
      <x:c r="T94" s="23" t="str">
        <x:v>Implement both the minimum sum-of-products and minimum product-of-sums forms for the given logic function.</x:v>
      </x:c>
      <x:c r="U94" s="23"/>
    </x:row>
    <x:row r="95" ht="34" customHeight="1">
      <x:c r="A95" s="49" t="n">
        <x:v>78</x:v>
      </x:c>
      <x:c r="B95" s="49" t="n">
        <x:v>76</x:v>
      </x:c>
      <x:c r="C95" s="50" t="str">
        <x:v>Circuits</x:v>
      </x:c>
      <x:c r="D95" s="50" t="str">
        <x:v>Combinational Logic → Karnaugh Map to Circuit</x:v>
      </x:c>
      <x:c r="E95" s="50" t="str">
        <x:v>Karnaugh map</x:v>
      </x:c>
      <x:c r="F95" s="50" t="str">
        <x:v>exams/m2014_q3</x:v>
      </x:c>
      <x:c r="G95" s="49" t="str">
        <x:v>Completed</x:v>
      </x:c>
      <x:c r="H95" s="49" t="str">
        <x:v>Day 03</x:v>
      </x:c>
      <x:c r="I95" s="51" t="n">
        <x:v>46198</x:v>
      </x:c>
      <x:c r="J95" s="49" t="str">
        <x:v>5:39:50 PM</x:v>
      </x:c>
      <x:c r="K95" s="49" t="n">
        <x:v>2</x:v>
      </x:c>
      <x:c r="L95" s="49" t="n">
        <x:v>1</x:v>
      </x:c>
      <x:c r="M95" s="49" t="n">
        <x:v>0</x:v>
      </x:c>
      <x:c r="N95" s="49" t="n">
        <x:v>0</x:v>
      </x:c>
      <x:c r="O95" s="52" t="n">
        <x:v>0.5</x:v>
      </x:c>
      <x:c r="P95" s="53" t="e">
        <x:f>HYPERLINK("https://github.com/kapiltrip/hdlBits/blob/main/problems/Day%2003/076-exams__m2014_q3.md","Note")</x:f>
        <x:v>HYPERLINK is not implemented. linkLocation=https://github.com/kapiltrip/hdlBits/blob/main/problems/Day%2003/076-exams__m2014_q3.md, friendlyName=Note</x:v>
      </x:c>
      <x:c r="Q95" s="53" t="e">
        <x:f>HYPERLINK("https://github.com/kapiltrip/hdlBits/blob/main/images/Day%2003/076-exams__m2014_q3.png","Image")</x:f>
        <x:v>HYPERLINK is not implemented. linkLocation=https://github.com/kapiltrip/hdlBits/blob/main/images/Day%2003/076-exams__m2014_q3.png, friendlyName=Image</x:v>
      </x:c>
      <x:c r="R95" s="53" t="e">
        <x:f>HYPERLINK("https://github.com/kapiltrip/hdlBits/blob/main/solutions/Day%2003/076-exams__m2014_q3.sv","Code")</x:f>
        <x:v>HYPERLINK is not implemented. linkLocation=https://github.com/kapiltrip/hdlBits/blob/main/solutions/Day%2003/076-exams__m2014_q3.sv, friendlyName=Code</x:v>
      </x:c>
      <x:c r="S95" s="53" t="e">
        <x:f>HYPERLINK("https://hdlbits.01xz.net/wiki/exams/m2014_q3","HDLBits")</x:f>
        <x:v>HYPERLINK is not implemented. linkLocation=https://hdlbits.01xz.net/wiki/exams/m2014_q3, friendlyName=HDLBits</x:v>
      </x:c>
      <x:c r="T95" s="50" t="str">
        <x:v>Simplify the exam Karnaugh map and implement the resulting combinational output.</x:v>
      </x:c>
      <x:c r="U95" s="50"/>
    </x:row>
    <x:row r="96" ht="34" customHeight="1">
      <x:c r="A96" s="26" t="n">
        <x:v>79</x:v>
      </x:c>
      <x:c r="B96" s="26" t="n">
        <x:v>77</x:v>
      </x:c>
      <x:c r="C96" s="23" t="str">
        <x:v>Circuits</x:v>
      </x:c>
      <x:c r="D96" s="23" t="str">
        <x:v>Combinational Logic → Karnaugh Map to Circuit</x:v>
      </x:c>
      <x:c r="E96" s="23" t="str">
        <x:v>Karnaugh map</x:v>
      </x:c>
      <x:c r="F96" s="23" t="str">
        <x:v>exams/2012_q1g</x:v>
      </x:c>
      <x:c r="G96" s="26" t="str">
        <x:v>Completed</x:v>
      </x:c>
      <x:c r="H96" s="26" t="str">
        <x:v>Day 03</x:v>
      </x:c>
      <x:c r="I96" s="32" t="n">
        <x:v>46198</x:v>
      </x:c>
      <x:c r="J96" s="26" t="str">
        <x:v>10:17:24 PM</x:v>
      </x:c>
      <x:c r="K96" s="26" t="n">
        <x:v>1</x:v>
      </x:c>
      <x:c r="L96" s="26" t="n">
        <x:v>0</x:v>
      </x:c>
      <x:c r="M96" s="26" t="n">
        <x:v>0</x:v>
      </x:c>
      <x:c r="N96" s="26" t="n">
        <x:v>0</x:v>
      </x:c>
      <x:c r="O96" s="35" t="n">
        <x:v>1</x:v>
      </x:c>
      <x:c r="P96" s="29" t="e">
        <x:f>HYPERLINK("https://github.com/kapiltrip/hdlBits/blob/main/problems/Day%2003/077-exams__2012_q1g.md","Note")</x:f>
        <x:v>HYPERLINK is not implemented. linkLocation=https://github.com/kapiltrip/hdlBits/blob/main/problems/Day%2003/077-exams__2012_q1g.md, friendlyName=Note</x:v>
      </x:c>
      <x:c r="Q96" s="29" t="e">
        <x:f>HYPERLINK("https://github.com/kapiltrip/hdlBits/blob/main/images/Day%2003/077-exams__2012_q1g.png","Image")</x:f>
        <x:v>HYPERLINK is not implemented. linkLocation=https://github.com/kapiltrip/hdlBits/blob/main/images/Day%2003/077-exams__2012_q1g.png, friendlyName=Image</x:v>
      </x:c>
      <x:c r="R96" s="29" t="e">
        <x:f>HYPERLINK("https://github.com/kapiltrip/hdlBits/blob/main/solutions/Day%2003/077-exams__2012_q1g.sv","Code")</x:f>
        <x:v>HYPERLINK is not implemented. linkLocation=https://github.com/kapiltrip/hdlBits/blob/main/solutions/Day%2003/077-exams__2012_q1g.sv, friendlyName=Code</x:v>
      </x:c>
      <x:c r="S96" s="29" t="e">
        <x:f>HYPERLINK("https://hdlbits.01xz.net/wiki/exams/2012_q1g","HDLBits")</x:f>
        <x:v>HYPERLINK is not implemented. linkLocation=https://hdlbits.01xz.net/wiki/exams/2012_q1g, friendlyName=HDLBits</x:v>
      </x:c>
      <x:c r="T96" s="23" t="str">
        <x:v>Convert the supplied Karnaugh map, including any don't-care conditions, into simplified logic.</x:v>
      </x:c>
      <x:c r="U96" s="23"/>
    </x:row>
    <x:row r="97" ht="34" customHeight="1">
      <x:c r="A97" s="49" t="n">
        <x:v>80</x:v>
      </x:c>
      <x:c r="B97" s="49" t="n">
        <x:v>78</x:v>
      </x:c>
      <x:c r="C97" s="50" t="str">
        <x:v>Circuits</x:v>
      </x:c>
      <x:c r="D97" s="50" t="str">
        <x:v>Combinational Logic → Karnaugh Map to Circuit</x:v>
      </x:c>
      <x:c r="E97" s="50" t="str">
        <x:v>K-map implemented with a multiplexer</x:v>
      </x:c>
      <x:c r="F97" s="50" t="str">
        <x:v>exams/ece241_2014_q3</x:v>
      </x:c>
      <x:c r="G97" s="49" t="str">
        <x:v>Completed</x:v>
      </x:c>
      <x:c r="H97" s="49" t="str">
        <x:v>Day 03</x:v>
      </x:c>
      <x:c r="I97" s="51" t="n">
        <x:v>46198</x:v>
      </x:c>
      <x:c r="J97" s="49" t="str">
        <x:v>10:07:59 PM</x:v>
      </x:c>
      <x:c r="K97" s="49" t="n">
        <x:v>4</x:v>
      </x:c>
      <x:c r="L97" s="49" t="n">
        <x:v>2</x:v>
      </x:c>
      <x:c r="M97" s="49" t="n">
        <x:v>1</x:v>
      </x:c>
      <x:c r="N97" s="49" t="n">
        <x:v>0</x:v>
      </x:c>
      <x:c r="O97" s="52" t="n">
        <x:v>0.25</x:v>
      </x:c>
      <x:c r="P97" s="53" t="e">
        <x:f>HYPERLINK("https://github.com/kapiltrip/hdlBits/blob/main/problems/Day%2003/078-exams__ece241_2014_q3.md","Note")</x:f>
        <x:v>HYPERLINK is not implemented. linkLocation=https://github.com/kapiltrip/hdlBits/blob/main/problems/Day%2003/078-exams__ece241_2014_q3.md, friendlyName=Note</x:v>
      </x:c>
      <x:c r="Q97" s="53" t="e">
        <x:f>HYPERLINK("https://github.com/kapiltrip/hdlBits/blob/main/images/Day%2003/078-exams__ece241_2014_q3.png","Image")</x:f>
        <x:v>HYPERLINK is not implemented. linkLocation=https://github.com/kapiltrip/hdlBits/blob/main/images/Day%2003/078-exams__ece241_2014_q3.png, friendlyName=Image</x:v>
      </x:c>
      <x:c r="R97" s="53" t="e">
        <x:f>HYPERLINK("https://github.com/kapiltrip/hdlBits/blob/main/solutions/Day%2003/078-exams__ece241_2014_q3.sv","Code")</x:f>
        <x:v>HYPERLINK is not implemented. linkLocation=https://github.com/kapiltrip/hdlBits/blob/main/solutions/Day%2003/078-exams__ece241_2014_q3.sv, friendlyName=Code</x:v>
      </x:c>
      <x:c r="S97" s="53" t="e">
        <x:f>HYPERLINK("https://hdlbits.01xz.net/wiki/exams/ece241_2014_q3","HDLBits")</x:f>
        <x:v>HYPERLINK is not implemented. linkLocation=https://hdlbits.01xz.net/wiki/exams/ece241_2014_q3, friendlyName=HDLBits</x:v>
      </x:c>
      <x:c r="T97" s="50" t="str">
        <x:v>Implement the Karnaugh-map function using the specified multiplexer structure and input assignments.</x:v>
      </x:c>
      <x:c r="U97" s="50"/>
    </x:row>
    <x:row r="98" ht="22" customHeight="1">
      <x:c r="A98" s="79" t="str">
        <x:v>SUBSECTION · Sequential Logic → Latches and Flip-Flops</x:v>
      </x:c>
      <x:c r="B98" s="79"/>
      <x:c r="C98" s="79"/>
      <x:c r="D98" s="79"/>
      <x:c r="E98" s="79"/>
      <x:c r="F98" s="79"/>
      <x:c r="G98" s="79"/>
      <x:c r="H98" s="79"/>
      <x:c r="I98" s="80"/>
      <x:c r="J98" s="79"/>
      <x:c r="K98" s="79"/>
      <x:c r="L98" s="79"/>
      <x:c r="M98" s="79"/>
      <x:c r="N98" s="79"/>
      <x:c r="O98" s="81"/>
      <x:c r="P98" s="79"/>
      <x:c r="Q98" s="79"/>
      <x:c r="R98" s="79"/>
      <x:c r="S98" s="79"/>
      <x:c r="T98" s="79"/>
      <x:c r="U98" s="79"/>
    </x:row>
    <x:row r="99" ht="34" customHeight="1">
      <x:c r="A99" s="26" t="n">
        <x:v>81</x:v>
      </x:c>
      <x:c r="B99" s="26" t="n">
        <x:v>79</x:v>
      </x:c>
      <x:c r="C99" s="23" t="str">
        <x:v>Circuits</x:v>
      </x:c>
      <x:c r="D99" s="23" t="str">
        <x:v>Sequential Logic → Latches and Flip-Flops</x:v>
      </x:c>
      <x:c r="E99" s="23" t="str">
        <x:v>D flip-flop</x:v>
      </x:c>
      <x:c r="F99" s="23" t="str">
        <x:v>dff</x:v>
      </x:c>
      <x:c r="G99" s="26" t="str">
        <x:v>Completed</x:v>
      </x:c>
      <x:c r="H99" s="26" t="str">
        <x:v>Day 03</x:v>
      </x:c>
      <x:c r="I99" s="32" t="n">
        <x:v>46198</x:v>
      </x:c>
      <x:c r="J99" s="26" t="str">
        <x:v>10:21:47 PM</x:v>
      </x:c>
      <x:c r="K99" s="26" t="n">
        <x:v>1</x:v>
      </x:c>
      <x:c r="L99" s="26" t="n">
        <x:v>0</x:v>
      </x:c>
      <x:c r="M99" s="26" t="n">
        <x:v>0</x:v>
      </x:c>
      <x:c r="N99" s="26" t="n">
        <x:v>0</x:v>
      </x:c>
      <x:c r="O99" s="35" t="n">
        <x:v>1</x:v>
      </x:c>
      <x:c r="P99" s="29" t="e">
        <x:f>HYPERLINK("https://github.com/kapiltrip/hdlBits/blob/main/problems/Day%2003/079-dff.md","Note")</x:f>
        <x:v>HYPERLINK is not implemented. linkLocation=https://github.com/kapiltrip/hdlBits/blob/main/problems/Day%2003/079-dff.md, friendlyName=Note</x:v>
      </x:c>
      <x:c r="Q99" s="29" t="e">
        <x:f>HYPERLINK("https://github.com/kapiltrip/hdlBits/blob/main/images/Day%2003/079-dff.png","Image")</x:f>
        <x:v>HYPERLINK is not implemented. linkLocation=https://github.com/kapiltrip/hdlBits/blob/main/images/Day%2003/079-dff.png, friendlyName=Image</x:v>
      </x:c>
      <x:c r="R99" s="29" t="e">
        <x:f>HYPERLINK("https://github.com/kapiltrip/hdlBits/blob/main/solutions/Day%2003/079-dff.sv","Code")</x:f>
        <x:v>HYPERLINK is not implemented. linkLocation=https://github.com/kapiltrip/hdlBits/blob/main/solutions/Day%2003/079-dff.sv, friendlyName=Code</x:v>
      </x:c>
      <x:c r="S99" s="29" t="e">
        <x:f>HYPERLINK("https://hdlbits.01xz.net/wiki/dff","HDLBits")</x:f>
        <x:v>HYPERLINK is not implemented. linkLocation=https://hdlbits.01xz.net/wiki/dff, friendlyName=HDLBits</x:v>
      </x:c>
      <x:c r="T99" s="23" t="str">
        <x:v>Create a positive-edge-triggered D flip-flop that stores the input value on each rising clock edge.</x:v>
      </x:c>
      <x:c r="U99" s="23"/>
    </x:row>
    <x:row r="100" ht="34" customHeight="1">
      <x:c r="A100" s="49" t="n">
        <x:v>82</x:v>
      </x:c>
      <x:c r="B100" s="49" t="n">
        <x:v>80</x:v>
      </x:c>
      <x:c r="C100" s="50" t="str">
        <x:v>Circuits</x:v>
      </x:c>
      <x:c r="D100" s="50" t="str">
        <x:v>Sequential Logic → Latches and Flip-Flops</x:v>
      </x:c>
      <x:c r="E100" s="50" t="str">
        <x:v>D flip-flops</x:v>
      </x:c>
      <x:c r="F100" s="50" t="str">
        <x:v>dff8</x:v>
      </x:c>
      <x:c r="G100" s="49" t="str">
        <x:v>Completed</x:v>
      </x:c>
      <x:c r="H100" s="49" t="str">
        <x:v>Day 03</x:v>
      </x:c>
      <x:c r="I100" s="51" t="n">
        <x:v>46198</x:v>
      </x:c>
      <x:c r="J100" s="49" t="str">
        <x:v>10:22:47 PM</x:v>
      </x:c>
      <x:c r="K100" s="49" t="n">
        <x:v>1</x:v>
      </x:c>
      <x:c r="L100" s="49" t="n">
        <x:v>0</x:v>
      </x:c>
      <x:c r="M100" s="49" t="n">
        <x:v>0</x:v>
      </x:c>
      <x:c r="N100" s="49" t="n">
        <x:v>0</x:v>
      </x:c>
      <x:c r="O100" s="52" t="n">
        <x:v>1</x:v>
      </x:c>
      <x:c r="P100" s="53" t="e">
        <x:f>HYPERLINK("https://github.com/kapiltrip/hdlBits/blob/main/problems/Day%2003/080-dff8.md","Note")</x:f>
        <x:v>HYPERLINK is not implemented. linkLocation=https://github.com/kapiltrip/hdlBits/blob/main/problems/Day%2003/080-dff8.md, friendlyName=Note</x:v>
      </x:c>
      <x:c r="Q100" s="53" t="e">
        <x:f>HYPERLINK("https://github.com/kapiltrip/hdlBits/blob/main/images/Day%2003/080-dff8.png","Image")</x:f>
        <x:v>HYPERLINK is not implemented. linkLocation=https://github.com/kapiltrip/hdlBits/blob/main/images/Day%2003/080-dff8.png, friendlyName=Image</x:v>
      </x:c>
      <x:c r="R100" s="53" t="e">
        <x:f>HYPERLINK("https://github.com/kapiltrip/hdlBits/blob/main/solutions/Day%2003/080-dff8.sv","Code")</x:f>
        <x:v>HYPERLINK is not implemented. linkLocation=https://github.com/kapiltrip/hdlBits/blob/main/solutions/Day%2003/080-dff8.sv, friendlyName=Code</x:v>
      </x:c>
      <x:c r="S100" s="53" t="e">
        <x:f>HYPERLINK("https://hdlbits.01xz.net/wiki/dff8","HDLBits")</x:f>
        <x:v>HYPERLINK is not implemented. linkLocation=https://hdlbits.01xz.net/wiki/dff8, friendlyName=HDLBits</x:v>
      </x:c>
      <x:c r="T100" s="50" t="str">
        <x:v>Create eight D flip-flops in parallel so an entire 8-bit vector is registered on the rising clock edge.</x:v>
      </x:c>
      <x:c r="U100" s="50"/>
    </x:row>
    <x:row r="101" ht="34" customHeight="1">
      <x:c r="A101" s="26" t="n">
        <x:v>83</x:v>
      </x:c>
      <x:c r="B101" s="26" t="n">
        <x:v>81</x:v>
      </x:c>
      <x:c r="C101" s="23" t="str">
        <x:v>Circuits</x:v>
      </x:c>
      <x:c r="D101" s="23" t="str">
        <x:v>Sequential Logic → Latches and Flip-Flops</x:v>
      </x:c>
      <x:c r="E101" s="23" t="str">
        <x:v>DFF with reset</x:v>
      </x:c>
      <x:c r="F101" s="23" t="str">
        <x:v>dff8r</x:v>
      </x:c>
      <x:c r="G101" s="26" t="str">
        <x:v>Completed</x:v>
      </x:c>
      <x:c r="H101" s="26" t="str">
        <x:v>Day 03</x:v>
      </x:c>
      <x:c r="I101" s="32" t="n">
        <x:v>46198</x:v>
      </x:c>
      <x:c r="J101" s="26" t="str">
        <x:v>10:25:54 PM</x:v>
      </x:c>
      <x:c r="K101" s="26" t="n">
        <x:v>2</x:v>
      </x:c>
      <x:c r="L101" s="26" t="n">
        <x:v>1</x:v>
      </x:c>
      <x:c r="M101" s="26" t="n">
        <x:v>0</x:v>
      </x:c>
      <x:c r="N101" s="26" t="n">
        <x:v>0</x:v>
      </x:c>
      <x:c r="O101" s="35" t="n">
        <x:v>0.5</x:v>
      </x:c>
      <x:c r="P101" s="29" t="e">
        <x:f>HYPERLINK("https://github.com/kapiltrip/hdlBits/blob/main/problems/Day%2003/081-dff8r.md","Note")</x:f>
        <x:v>HYPERLINK is not implemented. linkLocation=https://github.com/kapiltrip/hdlBits/blob/main/problems/Day%2003/081-dff8r.md, friendlyName=Note</x:v>
      </x:c>
      <x:c r="Q101" s="29" t="e">
        <x:f>HYPERLINK("https://github.com/kapiltrip/hdlBits/blob/main/images/Day%2003/081-dff8r.png","Image")</x:f>
        <x:v>HYPERLINK is not implemented. linkLocation=https://github.com/kapiltrip/hdlBits/blob/main/images/Day%2003/081-dff8r.png, friendlyName=Image</x:v>
      </x:c>
      <x:c r="R101" s="29" t="e">
        <x:f>HYPERLINK("https://github.com/kapiltrip/hdlBits/blob/main/solutions/Day%2003/081-dff8r.sv","Code")</x:f>
        <x:v>HYPERLINK is not implemented. linkLocation=https://github.com/kapiltrip/hdlBits/blob/main/solutions/Day%2003/081-dff8r.sv, friendlyName=Code</x:v>
      </x:c>
      <x:c r="S101" s="29" t="e">
        <x:f>HYPERLINK("https://hdlbits.01xz.net/wiki/dff8r","HDLBits")</x:f>
        <x:v>HYPERLINK is not implemented. linkLocation=https://hdlbits.01xz.net/wiki/dff8r, friendlyName=HDLBits</x:v>
      </x:c>
      <x:c r="T101" s="23" t="str">
        <x:v>Add a synchronous reset to an 8-bit register so reset is sampled on the active clock edge.</x:v>
      </x:c>
      <x:c r="U101" s="23"/>
    </x:row>
    <x:row r="102" ht="34" customHeight="1">
      <x:c r="A102" s="49" t="n">
        <x:v>84</x:v>
      </x:c>
      <x:c r="B102" s="49" t="n">
        <x:v>82</x:v>
      </x:c>
      <x:c r="C102" s="50" t="str">
        <x:v>Circuits</x:v>
      </x:c>
      <x:c r="D102" s="50" t="str">
        <x:v>Sequential Logic → Latches and Flip-Flops</x:v>
      </x:c>
      <x:c r="E102" s="50" t="str">
        <x:v>DFF with reset value</x:v>
      </x:c>
      <x:c r="F102" s="50" t="str">
        <x:v>dff8p</x:v>
      </x:c>
      <x:c r="G102" s="49" t="str">
        <x:v>Completed</x:v>
      </x:c>
      <x:c r="H102" s="49" t="str">
        <x:v>Day 03</x:v>
      </x:c>
      <x:c r="I102" s="51" t="n">
        <x:v>46198</x:v>
      </x:c>
      <x:c r="J102" s="49" t="str">
        <x:v>10:28:00 PM</x:v>
      </x:c>
      <x:c r="K102" s="49" t="n">
        <x:v>2</x:v>
      </x:c>
      <x:c r="L102" s="49" t="n">
        <x:v>1</x:v>
      </x:c>
      <x:c r="M102" s="49" t="n">
        <x:v>0</x:v>
      </x:c>
      <x:c r="N102" s="49" t="n">
        <x:v>0</x:v>
      </x:c>
      <x:c r="O102" s="52" t="n">
        <x:v>0.5</x:v>
      </x:c>
      <x:c r="P102" s="53" t="e">
        <x:f>HYPERLINK("https://github.com/kapiltrip/hdlBits/blob/main/problems/Day%2003/082-dff8p.md","Note")</x:f>
        <x:v>HYPERLINK is not implemented. linkLocation=https://github.com/kapiltrip/hdlBits/blob/main/problems/Day%2003/082-dff8p.md, friendlyName=Note</x:v>
      </x:c>
      <x:c r="Q102" s="53" t="e">
        <x:f>HYPERLINK("https://github.com/kapiltrip/hdlBits/blob/main/images/Day%2003/082-dff8p.png","Image")</x:f>
        <x:v>HYPERLINK is not implemented. linkLocation=https://github.com/kapiltrip/hdlBits/blob/main/images/Day%2003/082-dff8p.png, friendlyName=Image</x:v>
      </x:c>
      <x:c r="R102" s="53" t="e">
        <x:f>HYPERLINK("https://github.com/kapiltrip/hdlBits/blob/main/solutions/Day%2003/082-dff8p.sv","Code")</x:f>
        <x:v>HYPERLINK is not implemented. linkLocation=https://github.com/kapiltrip/hdlBits/blob/main/solutions/Day%2003/082-dff8p.sv, friendlyName=Code</x:v>
      </x:c>
      <x:c r="S102" s="53" t="e">
        <x:f>HYPERLINK("https://hdlbits.01xz.net/wiki/dff8p","HDLBits")</x:f>
        <x:v>HYPERLINK is not implemented. linkLocation=https://hdlbits.01xz.net/wiki/dff8p, friendlyName=HDLBits</x:v>
      </x:c>
      <x:c r="T102" s="50" t="str">
        <x:v>Create an 8-bit register whose synchronous reset loads the specified non-zero reset value.</x:v>
      </x:c>
      <x:c r="U102" s="50"/>
    </x:row>
    <x:row r="103" ht="34" customHeight="1">
      <x:c r="A103" s="26" t="n">
        <x:v>85</x:v>
      </x:c>
      <x:c r="B103" s="26" t="n">
        <x:v>83</x:v>
      </x:c>
      <x:c r="C103" s="23" t="str">
        <x:v>Circuits</x:v>
      </x:c>
      <x:c r="D103" s="23" t="str">
        <x:v>Sequential Logic → Latches and Flip-Flops</x:v>
      </x:c>
      <x:c r="E103" s="23" t="str">
        <x:v>DFF with asynchronous reset</x:v>
      </x:c>
      <x:c r="F103" s="23" t="str">
        <x:v>dff8ar</x:v>
      </x:c>
      <x:c r="G103" s="26" t="str">
        <x:v>Completed</x:v>
      </x:c>
      <x:c r="H103" s="26" t="str">
        <x:v>Day 03</x:v>
      </x:c>
      <x:c r="I103" s="32" t="n">
        <x:v>46198</x:v>
      </x:c>
      <x:c r="J103" s="26" t="str">
        <x:v>10:29:11 PM</x:v>
      </x:c>
      <x:c r="K103" s="26" t="n">
        <x:v>2</x:v>
      </x:c>
      <x:c r="L103" s="26" t="n">
        <x:v>0</x:v>
      </x:c>
      <x:c r="M103" s="26" t="n">
        <x:v>1</x:v>
      </x:c>
      <x:c r="N103" s="26" t="n">
        <x:v>0</x:v>
      </x:c>
      <x:c r="O103" s="35" t="n">
        <x:v>0.5</x:v>
      </x:c>
      <x:c r="P103" s="29" t="e">
        <x:f>HYPERLINK("https://github.com/kapiltrip/hdlBits/blob/main/problems/Day%2003/083-dff8ar.md","Note")</x:f>
        <x:v>HYPERLINK is not implemented. linkLocation=https://github.com/kapiltrip/hdlBits/blob/main/problems/Day%2003/083-dff8ar.md, friendlyName=Note</x:v>
      </x:c>
      <x:c r="Q103" s="29" t="e">
        <x:f>HYPERLINK("https://github.com/kapiltrip/hdlBits/blob/main/images/Day%2003/083-dff8ar.png","Image")</x:f>
        <x:v>HYPERLINK is not implemented. linkLocation=https://github.com/kapiltrip/hdlBits/blob/main/images/Day%2003/083-dff8ar.png, friendlyName=Image</x:v>
      </x:c>
      <x:c r="R103" s="29" t="e">
        <x:f>HYPERLINK("https://github.com/kapiltrip/hdlBits/blob/main/solutions/Day%2003/083-dff8ar.sv","Code")</x:f>
        <x:v>HYPERLINK is not implemented. linkLocation=https://github.com/kapiltrip/hdlBits/blob/main/solutions/Day%2003/083-dff8ar.sv, friendlyName=Code</x:v>
      </x:c>
      <x:c r="S103" s="29" t="e">
        <x:f>HYPERLINK("https://hdlbits.01xz.net/wiki/dff8ar","HDLBits")</x:f>
        <x:v>HYPERLINK is not implemented. linkLocation=https://hdlbits.01xz.net/wiki/dff8ar, friendlyName=HDLBits</x:v>
      </x:c>
      <x:c r="T103" s="23" t="str">
        <x:v>Create an 8-bit register with asynchronous reset, allowing reset to change the output without waiting for a clock edge.</x:v>
      </x:c>
      <x:c r="U103" s="23"/>
    </x:row>
    <x:row r="104" ht="34" customHeight="1">
      <x:c r="A104" s="49" t="n">
        <x:v>86</x:v>
      </x:c>
      <x:c r="B104" s="49" t="n">
        <x:v>84</x:v>
      </x:c>
      <x:c r="C104" s="50" t="str">
        <x:v>Circuits</x:v>
      </x:c>
      <x:c r="D104" s="50" t="str">
        <x:v>Sequential Logic → Latches and Flip-Flops</x:v>
      </x:c>
      <x:c r="E104" s="50" t="str">
        <x:v>DFF with byte enable</x:v>
      </x:c>
      <x:c r="F104" s="50" t="str">
        <x:v>dff16e</x:v>
      </x:c>
      <x:c r="G104" s="49" t="str">
        <x:v>Completed</x:v>
      </x:c>
      <x:c r="H104" s="49" t="str">
        <x:v>Day 03</x:v>
      </x:c>
      <x:c r="I104" s="51" t="n">
        <x:v>46198</x:v>
      </x:c>
      <x:c r="J104" s="49" t="str">
        <x:v>10:53:33 PM</x:v>
      </x:c>
      <x:c r="K104" s="49" t="n">
        <x:v>9</x:v>
      </x:c>
      <x:c r="L104" s="49" t="n">
        <x:v>8</x:v>
      </x:c>
      <x:c r="M104" s="49" t="n">
        <x:v>0</x:v>
      </x:c>
      <x:c r="N104" s="49" t="n">
        <x:v>0</x:v>
      </x:c>
      <x:c r="O104" s="52" t="n">
        <x:v>0.11</x:v>
      </x:c>
      <x:c r="P104" s="53" t="e">
        <x:f>HYPERLINK("https://github.com/kapiltrip/hdlBits/blob/main/problems/Day%2003/084-dff16e.md","Note")</x:f>
        <x:v>HYPERLINK is not implemented. linkLocation=https://github.com/kapiltrip/hdlBits/blob/main/problems/Day%2003/084-dff16e.md, friendlyName=Note</x:v>
      </x:c>
      <x:c r="Q104" s="53" t="e">
        <x:f>HYPERLINK("https://github.com/kapiltrip/hdlBits/blob/main/images/Day%2003/084-dff16e.png","Image")</x:f>
        <x:v>HYPERLINK is not implemented. linkLocation=https://github.com/kapiltrip/hdlBits/blob/main/images/Day%2003/084-dff16e.png, friendlyName=Image</x:v>
      </x:c>
      <x:c r="R104" s="53" t="e">
        <x:f>HYPERLINK("https://github.com/kapiltrip/hdlBits/blob/main/solutions/Day%2003/084-dff16e.sv","Code")</x:f>
        <x:v>HYPERLINK is not implemented. linkLocation=https://github.com/kapiltrip/hdlBits/blob/main/solutions/Day%2003/084-dff16e.sv, friendlyName=Code</x:v>
      </x:c>
      <x:c r="S104" s="53" t="e">
        <x:f>HYPERLINK("https://hdlbits.01xz.net/wiki/dff16e","HDLBits")</x:f>
        <x:v>HYPERLINK is not implemented. linkLocation=https://hdlbits.01xz.net/wiki/dff16e, friendlyName=HDLBits</x:v>
      </x:c>
      <x:c r="T104" s="50" t="str">
        <x:v>Build a 16-bit register with synchronous reset and independent byte-enable controls for its upper and lower bytes.</x:v>
      </x:c>
      <x:c r="U104" s="50"/>
    </x:row>
    <x:row r="105" ht="34" customHeight="1">
      <x:c r="A105" s="26" t="n">
        <x:v>87</x:v>
      </x:c>
      <x:c r="B105" s="26" t="n">
        <x:v>85</x:v>
      </x:c>
      <x:c r="C105" s="23" t="str">
        <x:v>Circuits</x:v>
      </x:c>
      <x:c r="D105" s="23" t="str">
        <x:v>Sequential Logic → Latches and Flip-Flops</x:v>
      </x:c>
      <x:c r="E105" s="23" t="str">
        <x:v>D Latch</x:v>
      </x:c>
      <x:c r="F105" s="23" t="str">
        <x:v>exams/m2014_q4a</x:v>
      </x:c>
      <x:c r="G105" s="26" t="str">
        <x:v>Completed</x:v>
      </x:c>
      <x:c r="H105" s="26" t="str">
        <x:v>Day 03</x:v>
      </x:c>
      <x:c r="I105" s="32" t="n">
        <x:v>46198</x:v>
      </x:c>
      <x:c r="J105" s="26" t="str">
        <x:v>11:13:53 PM</x:v>
      </x:c>
      <x:c r="K105" s="26" t="n">
        <x:v>8</x:v>
      </x:c>
      <x:c r="L105" s="26" t="n">
        <x:v>7</x:v>
      </x:c>
      <x:c r="M105" s="26" t="n">
        <x:v>0</x:v>
      </x:c>
      <x:c r="N105" s="26" t="n">
        <x:v>0</x:v>
      </x:c>
      <x:c r="O105" s="35" t="n">
        <x:v>0.13</x:v>
      </x:c>
      <x:c r="P105" s="29" t="e">
        <x:f>HYPERLINK("https://github.com/kapiltrip/hdlBits/blob/main/problems/Day%2003/085-exams__m2014_q4a.md","Note")</x:f>
        <x:v>HYPERLINK is not implemented. linkLocation=https://github.com/kapiltrip/hdlBits/blob/main/problems/Day%2003/085-exams__m2014_q4a.md, friendlyName=Note</x:v>
      </x:c>
      <x:c r="Q105" s="29" t="e">
        <x:f>HYPERLINK("https://github.com/kapiltrip/hdlBits/blob/main/images/Day%2003/085-exams__m2014_q4a.png","Image")</x:f>
        <x:v>HYPERLINK is not implemented. linkLocation=https://github.com/kapiltrip/hdlBits/blob/main/images/Day%2003/085-exams__m2014_q4a.png, friendlyName=Image</x:v>
      </x:c>
      <x:c r="R105" s="29" t="e">
        <x:f>HYPERLINK("https://github.com/kapiltrip/hdlBits/blob/main/solutions/Day%2003/085-exams__m2014_q4a.sv","Code")</x:f>
        <x:v>HYPERLINK is not implemented. linkLocation=https://github.com/kapiltrip/hdlBits/blob/main/solutions/Day%2003/085-exams__m2014_q4a.sv, friendlyName=Code</x:v>
      </x:c>
      <x:c r="S105" s="29" t="e">
        <x:f>HYPERLINK("https://hdlbits.01xz.net/wiki/exams/m2014_q4a","HDLBits")</x:f>
        <x:v>HYPERLINK is not implemented. linkLocation=https://hdlbits.01xz.net/wiki/exams/m2014_q4a, friendlyName=HDLBits</x:v>
      </x:c>
      <x:c r="T105" s="23" t="str">
        <x:v>Model the level-sensitive D latch shown in the exam circuit.</x:v>
      </x:c>
      <x:c r="U105" s="23"/>
    </x:row>
    <x:row r="106" ht="34" customHeight="1">
      <x:c r="A106" s="49" t="n">
        <x:v>88</x:v>
      </x:c>
      <x:c r="B106" s="49" t="n">
        <x:v>86</x:v>
      </x:c>
      <x:c r="C106" s="50" t="str">
        <x:v>Circuits</x:v>
      </x:c>
      <x:c r="D106" s="50" t="str">
        <x:v>Sequential Logic → Latches and Flip-Flops</x:v>
      </x:c>
      <x:c r="E106" s="50" t="str">
        <x:v>DFF</x:v>
      </x:c>
      <x:c r="F106" s="50" t="str">
        <x:v>exams/m2014_q4b</x:v>
      </x:c>
      <x:c r="G106" s="49" t="str">
        <x:v>Completed</x:v>
      </x:c>
      <x:c r="H106" s="49" t="str">
        <x:v>Day 03</x:v>
      </x:c>
      <x:c r="I106" s="51" t="n">
        <x:v>46198</x:v>
      </x:c>
      <x:c r="J106" s="49" t="str">
        <x:v>10:43:06 PM</x:v>
      </x:c>
      <x:c r="K106" s="49" t="n">
        <x:v>1</x:v>
      </x:c>
      <x:c r="L106" s="49" t="n">
        <x:v>0</x:v>
      </x:c>
      <x:c r="M106" s="49" t="n">
        <x:v>0</x:v>
      </x:c>
      <x:c r="N106" s="49" t="n">
        <x:v>0</x:v>
      </x:c>
      <x:c r="O106" s="52" t="n">
        <x:v>1</x:v>
      </x:c>
      <x:c r="P106" s="53" t="e">
        <x:f>HYPERLINK("https://github.com/kapiltrip/hdlBits/blob/main/problems/Day%2003/086-exams__m2014_q4b.md","Note")</x:f>
        <x:v>HYPERLINK is not implemented. linkLocation=https://github.com/kapiltrip/hdlBits/blob/main/problems/Day%2003/086-exams__m2014_q4b.md, friendlyName=Note</x:v>
      </x:c>
      <x:c r="Q106" s="53" t="e">
        <x:f>HYPERLINK("https://github.com/kapiltrip/hdlBits/blob/main/images/Day%2003/086-exams__m2014_q4b.png","Image")</x:f>
        <x:v>HYPERLINK is not implemented. linkLocation=https://github.com/kapiltrip/hdlBits/blob/main/images/Day%2003/086-exams__m2014_q4b.png, friendlyName=Image</x:v>
      </x:c>
      <x:c r="R106" s="53" t="e">
        <x:f>HYPERLINK("https://github.com/kapiltrip/hdlBits/blob/main/solutions/Day%2003/086-exams__m2014_q4b.sv","Code")</x:f>
        <x:v>HYPERLINK is not implemented. linkLocation=https://github.com/kapiltrip/hdlBits/blob/main/solutions/Day%2003/086-exams__m2014_q4b.sv, friendlyName=Code</x:v>
      </x:c>
      <x:c r="S106" s="53" t="e">
        <x:f>HYPERLINK("https://hdlbits.01xz.net/wiki/exams/m2014_q4b","HDLBits")</x:f>
        <x:v>HYPERLINK is not implemented. linkLocation=https://hdlbits.01xz.net/wiki/exams/m2014_q4b, friendlyName=HDLBits</x:v>
      </x:c>
      <x:c r="T106" s="50" t="str">
        <x:v>Model the positive-edge-triggered D flip-flop shown in the exam circuit.</x:v>
      </x:c>
      <x:c r="U106" s="50"/>
    </x:row>
    <x:row r="107" ht="34" customHeight="1">
      <x:c r="A107" s="26" t="n">
        <x:v>89</x:v>
      </x:c>
      <x:c r="B107" s="26" t="n">
        <x:v>87</x:v>
      </x:c>
      <x:c r="C107" s="23" t="str">
        <x:v>Circuits</x:v>
      </x:c>
      <x:c r="D107" s="23" t="str">
        <x:v>Sequential Logic → Latches and Flip-Flops</x:v>
      </x:c>
      <x:c r="E107" s="23" t="str">
        <x:v>DFF</x:v>
      </x:c>
      <x:c r="F107" s="23" t="str">
        <x:v>exams/m2014_q4c</x:v>
      </x:c>
      <x:c r="G107" s="26" t="str">
        <x:v>Completed</x:v>
      </x:c>
      <x:c r="H107" s="26" t="str">
        <x:v>Day 03</x:v>
      </x:c>
      <x:c r="I107" s="32" t="n">
        <x:v>46198</x:v>
      </x:c>
      <x:c r="J107" s="26" t="str">
        <x:v>10:56:24 PM</x:v>
      </x:c>
      <x:c r="K107" s="26" t="n">
        <x:v>1</x:v>
      </x:c>
      <x:c r="L107" s="26" t="n">
        <x:v>0</x:v>
      </x:c>
      <x:c r="M107" s="26" t="n">
        <x:v>0</x:v>
      </x:c>
      <x:c r="N107" s="26" t="n">
        <x:v>0</x:v>
      </x:c>
      <x:c r="O107" s="35" t="n">
        <x:v>1</x:v>
      </x:c>
      <x:c r="P107" s="29" t="e">
        <x:f>HYPERLINK("https://github.com/kapiltrip/hdlBits/blob/main/problems/Day%2003/087-exams__m2014_q4c.md","Note")</x:f>
        <x:v>HYPERLINK is not implemented. linkLocation=https://github.com/kapiltrip/hdlBits/blob/main/problems/Day%2003/087-exams__m2014_q4c.md, friendlyName=Note</x:v>
      </x:c>
      <x:c r="Q107" s="29" t="e">
        <x:f>HYPERLINK("https://github.com/kapiltrip/hdlBits/blob/main/images/Day%2003/087-exams__m2014_q4c.png","Image")</x:f>
        <x:v>HYPERLINK is not implemented. linkLocation=https://github.com/kapiltrip/hdlBits/blob/main/images/Day%2003/087-exams__m2014_q4c.png, friendlyName=Image</x:v>
      </x:c>
      <x:c r="R107" s="29" t="e">
        <x:f>HYPERLINK("https://github.com/kapiltrip/hdlBits/blob/main/solutions/Day%2003/087-exams__m2014_q4c.sv","Code")</x:f>
        <x:v>HYPERLINK is not implemented. linkLocation=https://github.com/kapiltrip/hdlBits/blob/main/solutions/Day%2003/087-exams__m2014_q4c.sv, friendlyName=Code</x:v>
      </x:c>
      <x:c r="S107" s="29" t="e">
        <x:f>HYPERLINK("https://hdlbits.01xz.net/wiki/exams/m2014_q4c","HDLBits")</x:f>
        <x:v>HYPERLINK is not implemented. linkLocation=https://hdlbits.01xz.net/wiki/exams/m2014_q4c, friendlyName=HDLBits</x:v>
      </x:c>
      <x:c r="T107" s="23" t="str">
        <x:v>Model the specified D flip-flop behaviour and its control connection from the diagram.</x:v>
      </x:c>
      <x:c r="U107" s="23"/>
    </x:row>
    <x:row r="108" ht="34" customHeight="1">
      <x:c r="A108" s="49" t="n">
        <x:v>90</x:v>
      </x:c>
      <x:c r="B108" s="49" t="n">
        <x:v>88</x:v>
      </x:c>
      <x:c r="C108" s="50" t="str">
        <x:v>Circuits</x:v>
      </x:c>
      <x:c r="D108" s="50" t="str">
        <x:v>Sequential Logic → Latches and Flip-Flops</x:v>
      </x:c>
      <x:c r="E108" s="50" t="str">
        <x:v>DFF+gate</x:v>
      </x:c>
      <x:c r="F108" s="50" t="str">
        <x:v>exams/m2014_q4d</x:v>
      </x:c>
      <x:c r="G108" s="49" t="str">
        <x:v>Completed</x:v>
      </x:c>
      <x:c r="H108" s="49" t="str">
        <x:v>Day 03</x:v>
      </x:c>
      <x:c r="I108" s="51" t="n">
        <x:v>46198</x:v>
      </x:c>
      <x:c r="J108" s="49" t="str">
        <x:v>11:16:12 PM</x:v>
      </x:c>
      <x:c r="K108" s="49" t="n">
        <x:v>5</x:v>
      </x:c>
      <x:c r="L108" s="49" t="n">
        <x:v>3</x:v>
      </x:c>
      <x:c r="M108" s="49" t="n">
        <x:v>1</x:v>
      </x:c>
      <x:c r="N108" s="49" t="n">
        <x:v>0</x:v>
      </x:c>
      <x:c r="O108" s="52" t="n">
        <x:v>0.2</x:v>
      </x:c>
      <x:c r="P108" s="53" t="e">
        <x:f>HYPERLINK("https://github.com/kapiltrip/hdlBits/blob/main/problems/Day%2003/088-exams__m2014_q4d.md","Note")</x:f>
        <x:v>HYPERLINK is not implemented. linkLocation=https://github.com/kapiltrip/hdlBits/blob/main/problems/Day%2003/088-exams__m2014_q4d.md, friendlyName=Note</x:v>
      </x:c>
      <x:c r="Q108" s="53" t="e">
        <x:f>HYPERLINK("https://github.com/kapiltrip/hdlBits/blob/main/images/Day%2003/088-exams__m2014_q4d.png","Image")</x:f>
        <x:v>HYPERLINK is not implemented. linkLocation=https://github.com/kapiltrip/hdlBits/blob/main/images/Day%2003/088-exams__m2014_q4d.png, friendlyName=Image</x:v>
      </x:c>
      <x:c r="R108" s="53" t="e">
        <x:f>HYPERLINK("https://github.com/kapiltrip/hdlBits/blob/main/solutions/Day%2003/088-exams__m2014_q4d.sv","Code")</x:f>
        <x:v>HYPERLINK is not implemented. linkLocation=https://github.com/kapiltrip/hdlBits/blob/main/solutions/Day%2003/088-exams__m2014_q4d.sv, friendlyName=Code</x:v>
      </x:c>
      <x:c r="S108" s="53" t="e">
        <x:f>HYPERLINK("https://hdlbits.01xz.net/wiki/exams/m2014_q4d","HDLBits")</x:f>
        <x:v>HYPERLINK is not implemented. linkLocation=https://hdlbits.01xz.net/wiki/exams/m2014_q4d, friendlyName=HDLBits</x:v>
      </x:c>
      <x:c r="T108" s="50" t="str">
        <x:v>Implement the shown combination of a D flip-flop and combinational gate.</x:v>
      </x:c>
      <x:c r="U108" s="50"/>
    </x:row>
    <x:row r="109" ht="34" customHeight="1">
      <x:c r="A109" s="26" t="n">
        <x:v>91</x:v>
      </x:c>
      <x:c r="B109" s="26" t="n">
        <x:v>89</x:v>
      </x:c>
      <x:c r="C109" s="23" t="str">
        <x:v>Circuits</x:v>
      </x:c>
      <x:c r="D109" s="23" t="str">
        <x:v>Sequential Logic → Latches and Flip-Flops</x:v>
      </x:c>
      <x:c r="E109" s="23" t="str">
        <x:v>Mux and DFF</x:v>
      </x:c>
      <x:c r="F109" s="23" t="str">
        <x:v>mt2015_muxdff</x:v>
      </x:c>
      <x:c r="G109" s="26" t="str">
        <x:v>Completed</x:v>
      </x:c>
      <x:c r="H109" s="26" t="str">
        <x:v>Day 04</x:v>
      </x:c>
      <x:c r="I109" s="32" t="n">
        <x:v>46199</x:v>
      </x:c>
      <x:c r="J109" s="26" t="str">
        <x:v>12:09:54 AM</x:v>
      </x:c>
      <x:c r="K109" s="26" t="n">
        <x:v>2</x:v>
      </x:c>
      <x:c r="L109" s="26" t="n">
        <x:v>0</x:v>
      </x:c>
      <x:c r="M109" s="26" t="n">
        <x:v>1</x:v>
      </x:c>
      <x:c r="N109" s="26" t="n">
        <x:v>0</x:v>
      </x:c>
      <x:c r="O109" s="35" t="n">
        <x:v>0.5</x:v>
      </x:c>
      <x:c r="P109" s="29" t="e">
        <x:f>HYPERLINK("https://github.com/kapiltrip/hdlBits/blob/main/problems/Day%2004/089-mt2015_muxdff.md","Note")</x:f>
        <x:v>HYPERLINK is not implemented. linkLocation=https://github.com/kapiltrip/hdlBits/blob/main/problems/Day%2004/089-mt2015_muxdff.md, friendlyName=Note</x:v>
      </x:c>
      <x:c r="Q109" s="29" t="e">
        <x:f>HYPERLINK("https://github.com/kapiltrip/hdlBits/blob/main/images/Day%2004/089-mt2015_muxdff.png","Image")</x:f>
        <x:v>HYPERLINK is not implemented. linkLocation=https://github.com/kapiltrip/hdlBits/blob/main/images/Day%2004/089-mt2015_muxdff.png, friendlyName=Image</x:v>
      </x:c>
      <x:c r="R109" s="29" t="e">
        <x:f>HYPERLINK("https://github.com/kapiltrip/hdlBits/blob/main/solutions/Day%2004/089-mt2015_muxdff.sv","Code")</x:f>
        <x:v>HYPERLINK is not implemented. linkLocation=https://github.com/kapiltrip/hdlBits/blob/main/solutions/Day%2004/089-mt2015_muxdff.sv, friendlyName=Code</x:v>
      </x:c>
      <x:c r="S109" s="29" t="e">
        <x:f>HYPERLINK("https://hdlbits.01xz.net/wiki/mt2015_muxdff","HDLBits")</x:f>
        <x:v>HYPERLINK is not implemented. linkLocation=https://hdlbits.01xz.net/wiki/mt2015_muxdff, friendlyName=HDLBits</x:v>
      </x:c>
      <x:c r="T109" s="23" t="str">
        <x:v>Implement the circuit in which a multiplexer chooses the value captured by a D flip-flop.</x:v>
      </x:c>
      <x:c r="U109" s="23"/>
    </x:row>
    <x:row r="110" ht="34" customHeight="1">
      <x:c r="A110" s="49" t="n">
        <x:v>92</x:v>
      </x:c>
      <x:c r="B110" s="49" t="n">
        <x:v>90</x:v>
      </x:c>
      <x:c r="C110" s="50" t="str">
        <x:v>Circuits</x:v>
      </x:c>
      <x:c r="D110" s="50" t="str">
        <x:v>Sequential Logic → Latches and Flip-Flops</x:v>
      </x:c>
      <x:c r="E110" s="50" t="str">
        <x:v>Mux and DFF</x:v>
      </x:c>
      <x:c r="F110" s="50" t="str">
        <x:v>exams/2014_q4a</x:v>
      </x:c>
      <x:c r="G110" s="49" t="str">
        <x:v>Completed</x:v>
      </x:c>
      <x:c r="H110" s="49" t="str">
        <x:v>Day 04</x:v>
      </x:c>
      <x:c r="I110" s="51" t="n">
        <x:v>46199</x:v>
      </x:c>
      <x:c r="J110" s="49" t="str">
        <x:v>12:25:46 AM</x:v>
      </x:c>
      <x:c r="K110" s="49" t="n">
        <x:v>5</x:v>
      </x:c>
      <x:c r="L110" s="49" t="n">
        <x:v>4</x:v>
      </x:c>
      <x:c r="M110" s="49" t="n">
        <x:v>0</x:v>
      </x:c>
      <x:c r="N110" s="49" t="n">
        <x:v>0</x:v>
      </x:c>
      <x:c r="O110" s="52" t="n">
        <x:v>0.2</x:v>
      </x:c>
      <x:c r="P110" s="53" t="e">
        <x:f>HYPERLINK("https://github.com/kapiltrip/hdlBits/blob/main/problems/Day%2004/090-exams__2014_q4a.md","Note")</x:f>
        <x:v>HYPERLINK is not implemented. linkLocation=https://github.com/kapiltrip/hdlBits/blob/main/problems/Day%2004/090-exams__2014_q4a.md, friendlyName=Note</x:v>
      </x:c>
      <x:c r="Q110" s="53" t="e">
        <x:f>HYPERLINK("https://github.com/kapiltrip/hdlBits/blob/main/images/Day%2004/090-exams__2014_q4a.png","Image")</x:f>
        <x:v>HYPERLINK is not implemented. linkLocation=https://github.com/kapiltrip/hdlBits/blob/main/images/Day%2004/090-exams__2014_q4a.png, friendlyName=Image</x:v>
      </x:c>
      <x:c r="R110" s="53" t="e">
        <x:f>HYPERLINK("https://github.com/kapiltrip/hdlBits/blob/main/solutions/Day%2004/090-exams__2014_q4a.sv","Code")</x:f>
        <x:v>HYPERLINK is not implemented. linkLocation=https://github.com/kapiltrip/hdlBits/blob/main/solutions/Day%2004/090-exams__2014_q4a.sv, friendlyName=Code</x:v>
      </x:c>
      <x:c r="S110" s="53" t="e">
        <x:f>HYPERLINK("https://hdlbits.01xz.net/wiki/exams/2014_q4a","HDLBits")</x:f>
        <x:v>HYPERLINK is not implemented. linkLocation=https://hdlbits.01xz.net/wiki/exams/2014_q4a, friendlyName=HDLBits</x:v>
      </x:c>
      <x:c r="T110" s="50" t="str">
        <x:v>Translate the exam's multiplexer-and-DFF schematic into equivalent sequential Verilog.</x:v>
      </x:c>
      <x:c r="U110" s="50"/>
    </x:row>
    <x:row r="111" ht="34" customHeight="1">
      <x:c r="A111" s="26" t="n">
        <x:v>93</x:v>
      </x:c>
      <x:c r="B111" s="26" t="n">
        <x:v>91</x:v>
      </x:c>
      <x:c r="C111" s="23" t="str">
        <x:v>Circuits</x:v>
      </x:c>
      <x:c r="D111" s="23" t="str">
        <x:v>Sequential Logic → Latches and Flip-Flops</x:v>
      </x:c>
      <x:c r="E111" s="23" t="str">
        <x:v>DFFs and gates</x:v>
      </x:c>
      <x:c r="F111" s="23" t="str">
        <x:v>exams/ece241_2014_q4</x:v>
      </x:c>
      <x:c r="G111" s="26" t="str">
        <x:v>Completed</x:v>
      </x:c>
      <x:c r="H111" s="26" t="str">
        <x:v>Day 04</x:v>
      </x:c>
      <x:c r="I111" s="32" t="n">
        <x:v>46199</x:v>
      </x:c>
      <x:c r="J111" s="26" t="str">
        <x:v>12:00:31 AM</x:v>
      </x:c>
      <x:c r="K111" s="26" t="n">
        <x:v>3</x:v>
      </x:c>
      <x:c r="L111" s="26" t="n">
        <x:v>0</x:v>
      </x:c>
      <x:c r="M111" s="26" t="n">
        <x:v>2</x:v>
      </x:c>
      <x:c r="N111" s="26" t="n">
        <x:v>0</x:v>
      </x:c>
      <x:c r="O111" s="35" t="n">
        <x:v>0.33</x:v>
      </x:c>
      <x:c r="P111" s="29" t="e">
        <x:f>HYPERLINK("https://github.com/kapiltrip/hdlBits/blob/main/problems/Day%2004/091-exams__ece241_2014_q4.md","Note")</x:f>
        <x:v>HYPERLINK is not implemented. linkLocation=https://github.com/kapiltrip/hdlBits/blob/main/problems/Day%2004/091-exams__ece241_2014_q4.md, friendlyName=Note</x:v>
      </x:c>
      <x:c r="Q111" s="29" t="e">
        <x:f>HYPERLINK("https://github.com/kapiltrip/hdlBits/blob/main/images/Day%2004/091-exams__ece241_2014_q4.png","Image")</x:f>
        <x:v>HYPERLINK is not implemented. linkLocation=https://github.com/kapiltrip/hdlBits/blob/main/images/Day%2004/091-exams__ece241_2014_q4.png, friendlyName=Image</x:v>
      </x:c>
      <x:c r="R111" s="29" t="e">
        <x:f>HYPERLINK("https://github.com/kapiltrip/hdlBits/blob/main/solutions/Day%2004/091-exams__ece241_2014_q4.sv","Code")</x:f>
        <x:v>HYPERLINK is not implemented. linkLocation=https://github.com/kapiltrip/hdlBits/blob/main/solutions/Day%2004/091-exams__ece241_2014_q4.sv, friendlyName=Code</x:v>
      </x:c>
      <x:c r="S111" s="29" t="e">
        <x:f>HYPERLINK("https://hdlbits.01xz.net/wiki/exams/ece241_2014_q4","HDLBits")</x:f>
        <x:v>HYPERLINK is not implemented. linkLocation=https://hdlbits.01xz.net/wiki/exams/ece241_2014_q4, friendlyName=HDLBits</x:v>
      </x:c>
      <x:c r="T111" s="23" t="str">
        <x:v>Implement the shown network of D flip-flops and logic gates with the correct cycle-to-cycle behaviour.</x:v>
      </x:c>
      <x:c r="U111" s="23"/>
    </x:row>
    <x:row r="112" ht="34" customHeight="1">
      <x:c r="A112" s="49" t="n">
        <x:v>94</x:v>
      </x:c>
      <x:c r="B112" s="49" t="n">
        <x:v>92</x:v>
      </x:c>
      <x:c r="C112" s="50" t="str">
        <x:v>Circuits</x:v>
      </x:c>
      <x:c r="D112" s="50" t="str">
        <x:v>Sequential Logic → Latches and Flip-Flops</x:v>
      </x:c>
      <x:c r="E112" s="50" t="str">
        <x:v>Create circuit from truth table</x:v>
      </x:c>
      <x:c r="F112" s="50" t="str">
        <x:v>exams/ece241_2013_q7</x:v>
      </x:c>
      <x:c r="G112" s="49" t="str">
        <x:v>Completed</x:v>
      </x:c>
      <x:c r="H112" s="49" t="str">
        <x:v>Day 04</x:v>
      </x:c>
      <x:c r="I112" s="51" t="n">
        <x:v>46199</x:v>
      </x:c>
      <x:c r="J112" s="49" t="str">
        <x:v>2:12:29 PM</x:v>
      </x:c>
      <x:c r="K112" s="49" t="n">
        <x:v>1</x:v>
      </x:c>
      <x:c r="L112" s="49" t="n">
        <x:v>0</x:v>
      </x:c>
      <x:c r="M112" s="49" t="n">
        <x:v>0</x:v>
      </x:c>
      <x:c r="N112" s="49" t="n">
        <x:v>0</x:v>
      </x:c>
      <x:c r="O112" s="52" t="n">
        <x:v>1</x:v>
      </x:c>
      <x:c r="P112" s="53" t="e">
        <x:f>HYPERLINK("https://github.com/kapiltrip/hdlBits/blob/main/problems/Day%2004/092-exams__ece241_2013_q7.md","Note")</x:f>
        <x:v>HYPERLINK is not implemented. linkLocation=https://github.com/kapiltrip/hdlBits/blob/main/problems/Day%2004/092-exams__ece241_2013_q7.md, friendlyName=Note</x:v>
      </x:c>
      <x:c r="Q112" s="53" t="e">
        <x:f>HYPERLINK("https://github.com/kapiltrip/hdlBits/blob/main/images/Day%2004/092-exams__ece241_2013_q7.png","Image")</x:f>
        <x:v>HYPERLINK is not implemented. linkLocation=https://github.com/kapiltrip/hdlBits/blob/main/images/Day%2004/092-exams__ece241_2013_q7.png, friendlyName=Image</x:v>
      </x:c>
      <x:c r="R112" s="53" t="e">
        <x:f>HYPERLINK("https://github.com/kapiltrip/hdlBits/blob/main/solutions/Day%2004/092-exams__ece241_2013_q7.sv","Code")</x:f>
        <x:v>HYPERLINK is not implemented. linkLocation=https://github.com/kapiltrip/hdlBits/blob/main/solutions/Day%2004/092-exams__ece241_2013_q7.sv, friendlyName=Code</x:v>
      </x:c>
      <x:c r="S112" s="53" t="e">
        <x:f>HYPERLINK("https://hdlbits.01xz.net/wiki/exams/ece241_2013_q7","HDLBits")</x:f>
        <x:v>HYPERLINK is not implemented. linkLocation=https://hdlbits.01xz.net/wiki/exams/ece241_2013_q7, friendlyName=HDLBits</x:v>
      </x:c>
      <x:c r="T112" s="50" t="str">
        <x:v>Build the sequential circuit described by the state/output truth table, including its registered state.</x:v>
      </x:c>
      <x:c r="U112" s="50"/>
    </x:row>
    <x:row r="113" ht="34" customHeight="1">
      <x:c r="A113" s="26" t="n">
        <x:v>95</x:v>
      </x:c>
      <x:c r="B113" s="26" t="n">
        <x:v>93</x:v>
      </x:c>
      <x:c r="C113" s="23" t="str">
        <x:v>Circuits</x:v>
      </x:c>
      <x:c r="D113" s="23" t="str">
        <x:v>Sequential Logic → Latches and Flip-Flops</x:v>
      </x:c>
      <x:c r="E113" s="23" t="str">
        <x:v>Detect an edge</x:v>
      </x:c>
      <x:c r="F113" s="23" t="str">
        <x:v>edgedetect</x:v>
      </x:c>
      <x:c r="G113" s="26" t="str">
        <x:v>Completed</x:v>
      </x:c>
      <x:c r="H113" s="26" t="str">
        <x:v>Day 04</x:v>
      </x:c>
      <x:c r="I113" s="32" t="n">
        <x:v>46199</x:v>
      </x:c>
      <x:c r="J113" s="26" t="str">
        <x:v>2:28:20 PM</x:v>
      </x:c>
      <x:c r="K113" s="26" t="n">
        <x:v>1</x:v>
      </x:c>
      <x:c r="L113" s="26" t="n">
        <x:v>0</x:v>
      </x:c>
      <x:c r="M113" s="26" t="n">
        <x:v>0</x:v>
      </x:c>
      <x:c r="N113" s="26" t="n">
        <x:v>0</x:v>
      </x:c>
      <x:c r="O113" s="35" t="n">
        <x:v>1</x:v>
      </x:c>
      <x:c r="P113" s="29" t="e">
        <x:f>HYPERLINK("https://github.com/kapiltrip/hdlBits/blob/main/problems/Day%2004/093-edgedetect.md","Note")</x:f>
        <x:v>HYPERLINK is not implemented. linkLocation=https://github.com/kapiltrip/hdlBits/blob/main/problems/Day%2004/093-edgedetect.md, friendlyName=Note</x:v>
      </x:c>
      <x:c r="Q113" s="29" t="e">
        <x:f>HYPERLINK("https://github.com/kapiltrip/hdlBits/blob/main/images/Day%2004/093-edgedetect.png","Image")</x:f>
        <x:v>HYPERLINK is not implemented. linkLocation=https://github.com/kapiltrip/hdlBits/blob/main/images/Day%2004/093-edgedetect.png, friendlyName=Image</x:v>
      </x:c>
      <x:c r="R113" s="29" t="e">
        <x:f>HYPERLINK("https://github.com/kapiltrip/hdlBits/blob/main/solutions/Day%2004/093-edgedetect.sv","Code")</x:f>
        <x:v>HYPERLINK is not implemented. linkLocation=https://github.com/kapiltrip/hdlBits/blob/main/solutions/Day%2004/093-edgedetect.sv, friendlyName=Code</x:v>
      </x:c>
      <x:c r="S113" s="29" t="e">
        <x:f>HYPERLINK("https://hdlbits.01xz.net/wiki/edgedetect","HDLBits")</x:f>
        <x:v>HYPERLINK is not implemented. linkLocation=https://hdlbits.01xz.net/wiki/edgedetect, friendlyName=HDLBits</x:v>
      </x:c>
      <x:c r="T113" s="23" t="str">
        <x:v>Generate a one-cycle pulse whenever each input bit makes a 0-to-1 transition.</x:v>
      </x:c>
      <x:c r="U113" s="23"/>
    </x:row>
    <x:row r="114" ht="34" customHeight="1">
      <x:c r="A114" s="49" t="n">
        <x:v>96</x:v>
      </x:c>
      <x:c r="B114" s="49" t="n">
        <x:v>94</x:v>
      </x:c>
      <x:c r="C114" s="50" t="str">
        <x:v>Circuits</x:v>
      </x:c>
      <x:c r="D114" s="50" t="str">
        <x:v>Sequential Logic → Latches and Flip-Flops</x:v>
      </x:c>
      <x:c r="E114" s="50" t="str">
        <x:v>Detect both edges</x:v>
      </x:c>
      <x:c r="F114" s="50" t="str">
        <x:v>edgedetect2</x:v>
      </x:c>
      <x:c r="G114" s="49" t="str">
        <x:v>Completed</x:v>
      </x:c>
      <x:c r="H114" s="49" t="str">
        <x:v>Day 04</x:v>
      </x:c>
      <x:c r="I114" s="51" t="n">
        <x:v>46199</x:v>
      </x:c>
      <x:c r="J114" s="49" t="str">
        <x:v>2:31:22 PM</x:v>
      </x:c>
      <x:c r="K114" s="49" t="n">
        <x:v>1</x:v>
      </x:c>
      <x:c r="L114" s="49" t="n">
        <x:v>0</x:v>
      </x:c>
      <x:c r="M114" s="49" t="n">
        <x:v>0</x:v>
      </x:c>
      <x:c r="N114" s="49" t="n">
        <x:v>0</x:v>
      </x:c>
      <x:c r="O114" s="52" t="n">
        <x:v>1</x:v>
      </x:c>
      <x:c r="P114" s="53" t="e">
        <x:f>HYPERLINK("https://github.com/kapiltrip/hdlBits/blob/main/problems/Day%2004/094-edgedetect2.md","Note")</x:f>
        <x:v>HYPERLINK is not implemented. linkLocation=https://github.com/kapiltrip/hdlBits/blob/main/problems/Day%2004/094-edgedetect2.md, friendlyName=Note</x:v>
      </x:c>
      <x:c r="Q114" s="53" t="e">
        <x:f>HYPERLINK("https://github.com/kapiltrip/hdlBits/blob/main/images/Day%2004/094-edgedetect2.png","Image")</x:f>
        <x:v>HYPERLINK is not implemented. linkLocation=https://github.com/kapiltrip/hdlBits/blob/main/images/Day%2004/094-edgedetect2.png, friendlyName=Image</x:v>
      </x:c>
      <x:c r="R114" s="53" t="e">
        <x:f>HYPERLINK("https://github.com/kapiltrip/hdlBits/blob/main/solutions/Day%2004/094-edgedetect2.sv","Code")</x:f>
        <x:v>HYPERLINK is not implemented. linkLocation=https://github.com/kapiltrip/hdlBits/blob/main/solutions/Day%2004/094-edgedetect2.sv, friendlyName=Code</x:v>
      </x:c>
      <x:c r="S114" s="53" t="e">
        <x:f>HYPERLINK("https://hdlbits.01xz.net/wiki/edgedetect2","HDLBits")</x:f>
        <x:v>HYPERLINK is not implemented. linkLocation=https://hdlbits.01xz.net/wiki/edgedetect2, friendlyName=HDLBits</x:v>
      </x:c>
      <x:c r="T114" s="50" t="str">
        <x:v>Generate a one-cycle pulse whenever each input bit changes in either direction.</x:v>
      </x:c>
      <x:c r="U114" s="50"/>
    </x:row>
    <x:row r="115" ht="34" customHeight="1">
      <x:c r="A115" s="26" t="n">
        <x:v>97</x:v>
      </x:c>
      <x:c r="B115" s="26" t="n">
        <x:v>95</x:v>
      </x:c>
      <x:c r="C115" s="23" t="str">
        <x:v>Circuits</x:v>
      </x:c>
      <x:c r="D115" s="23" t="str">
        <x:v>Sequential Logic → Latches and Flip-Flops</x:v>
      </x:c>
      <x:c r="E115" s="23" t="str">
        <x:v>Edge capture register</x:v>
      </x:c>
      <x:c r="F115" s="23" t="str">
        <x:v>edgecapture</x:v>
      </x:c>
      <x:c r="G115" s="26" t="str">
        <x:v>Completed</x:v>
      </x:c>
      <x:c r="H115" s="26" t="str">
        <x:v>Day 04</x:v>
      </x:c>
      <x:c r="I115" s="32" t="n">
        <x:v>46199</x:v>
      </x:c>
      <x:c r="J115" s="26" t="str">
        <x:v>2:50:42 PM</x:v>
      </x:c>
      <x:c r="K115" s="26" t="n">
        <x:v>7</x:v>
      </x:c>
      <x:c r="L115" s="26" t="n">
        <x:v>5</x:v>
      </x:c>
      <x:c r="M115" s="26" t="n">
        <x:v>1</x:v>
      </x:c>
      <x:c r="N115" s="26" t="n">
        <x:v>0</x:v>
      </x:c>
      <x:c r="O115" s="35" t="n">
        <x:v>0.14</x:v>
      </x:c>
      <x:c r="P115" s="29" t="e">
        <x:f>HYPERLINK("https://github.com/kapiltrip/hdlBits/blob/main/problems/Day%2004/095-edgecapture.md","Note")</x:f>
        <x:v>HYPERLINK is not implemented. linkLocation=https://github.com/kapiltrip/hdlBits/blob/main/problems/Day%2004/095-edgecapture.md, friendlyName=Note</x:v>
      </x:c>
      <x:c r="Q115" s="29" t="e">
        <x:f>HYPERLINK("https://github.com/kapiltrip/hdlBits/blob/main/images/Day%2004/095-edgecapture.png","Image")</x:f>
        <x:v>HYPERLINK is not implemented. linkLocation=https://github.com/kapiltrip/hdlBits/blob/main/images/Day%2004/095-edgecapture.png, friendlyName=Image</x:v>
      </x:c>
      <x:c r="R115" s="29" t="e">
        <x:f>HYPERLINK("https://github.com/kapiltrip/hdlBits/blob/main/solutions/Day%2004/095-edgecapture.sv","Code")</x:f>
        <x:v>HYPERLINK is not implemented. linkLocation=https://github.com/kapiltrip/hdlBits/blob/main/solutions/Day%2004/095-edgecapture.sv, friendlyName=Code</x:v>
      </x:c>
      <x:c r="S115" s="29" t="e">
        <x:f>HYPERLINK("https://hdlbits.01xz.net/wiki/edgecapture","HDLBits")</x:f>
        <x:v>HYPERLINK is not implemented. linkLocation=https://hdlbits.01xz.net/wiki/edgecapture, friendlyName=HDLBits</x:v>
      </x:c>
      <x:c r="T115" s="23" t="str">
        <x:v>Set a register bit when a falling edge occurs and keep it set until a synchronous reset clears it.</x:v>
      </x:c>
      <x:c r="U115" s="23"/>
    </x:row>
    <x:row r="116" ht="34" customHeight="1">
      <x:c r="A116" s="49" t="n">
        <x:v>98</x:v>
      </x:c>
      <x:c r="B116" s="49" t="n">
        <x:v>96</x:v>
      </x:c>
      <x:c r="C116" s="50" t="str">
        <x:v>Circuits</x:v>
      </x:c>
      <x:c r="D116" s="50" t="str">
        <x:v>Sequential Logic → Latches and Flip-Flops</x:v>
      </x:c>
      <x:c r="E116" s="50" t="str">
        <x:v>Dual-edge triggered flip-flop</x:v>
      </x:c>
      <x:c r="F116" s="50" t="str">
        <x:v>dualedge</x:v>
      </x:c>
      <x:c r="G116" s="49" t="str">
        <x:v>Completed</x:v>
      </x:c>
      <x:c r="H116" s="49" t="str">
        <x:v>Day 04</x:v>
      </x:c>
      <x:c r="I116" s="51" t="n">
        <x:v>46199</x:v>
      </x:c>
      <x:c r="J116" s="49" t="str">
        <x:v>3:07:56 PM</x:v>
      </x:c>
      <x:c r="K116" s="49" t="n">
        <x:v>7</x:v>
      </x:c>
      <x:c r="L116" s="49" t="n">
        <x:v>4</x:v>
      </x:c>
      <x:c r="M116" s="49" t="n">
        <x:v>2</x:v>
      </x:c>
      <x:c r="N116" s="49" t="n">
        <x:v>0</x:v>
      </x:c>
      <x:c r="O116" s="52" t="n">
        <x:v>0.14</x:v>
      </x:c>
      <x:c r="P116" s="53" t="e">
        <x:f>HYPERLINK("https://github.com/kapiltrip/hdlBits/blob/main/problems/Day%2004/096-dualedge.md","Note")</x:f>
        <x:v>HYPERLINK is not implemented. linkLocation=https://github.com/kapiltrip/hdlBits/blob/main/problems/Day%2004/096-dualedge.md, friendlyName=Note</x:v>
      </x:c>
      <x:c r="Q116" s="53" t="e">
        <x:f>HYPERLINK("https://github.com/kapiltrip/hdlBits/blob/main/images/Day%2004/096-dualedge.png","Image")</x:f>
        <x:v>HYPERLINK is not implemented. linkLocation=https://github.com/kapiltrip/hdlBits/blob/main/images/Day%2004/096-dualedge.png, friendlyName=Image</x:v>
      </x:c>
      <x:c r="R116" s="53" t="e">
        <x:f>HYPERLINK("https://github.com/kapiltrip/hdlBits/blob/main/solutions/Day%2004/096-dualedge.sv","Code")</x:f>
        <x:v>HYPERLINK is not implemented. linkLocation=https://github.com/kapiltrip/hdlBits/blob/main/solutions/Day%2004/096-dualedge.sv, friendlyName=Code</x:v>
      </x:c>
      <x:c r="S116" s="53" t="e">
        <x:f>HYPERLINK("https://hdlbits.01xz.net/wiki/dualedge","HDLBits")</x:f>
        <x:v>HYPERLINK is not implemented. linkLocation=https://hdlbits.01xz.net/wiki/dualedge, friendlyName=HDLBits</x:v>
      </x:c>
      <x:c r="T116" s="50" t="str">
        <x:v>Emulate dual-edge-triggered storage using logic that captures data on both rising and falling clock edges.</x:v>
      </x:c>
      <x:c r="U116" s="50"/>
    </x:row>
    <x:row r="117" ht="22" customHeight="1">
      <x:c r="A117" s="79" t="str">
        <x:v>SUBSECTION · Sequential Logic → Counters</x:v>
      </x:c>
      <x:c r="B117" s="79"/>
      <x:c r="C117" s="79"/>
      <x:c r="D117" s="79"/>
      <x:c r="E117" s="79"/>
      <x:c r="F117" s="79"/>
      <x:c r="G117" s="79"/>
      <x:c r="H117" s="79"/>
      <x:c r="I117" s="80"/>
      <x:c r="J117" s="79"/>
      <x:c r="K117" s="79"/>
      <x:c r="L117" s="79"/>
      <x:c r="M117" s="79"/>
      <x:c r="N117" s="79"/>
      <x:c r="O117" s="81"/>
      <x:c r="P117" s="79"/>
      <x:c r="Q117" s="79"/>
      <x:c r="R117" s="79"/>
      <x:c r="S117" s="79"/>
      <x:c r="T117" s="79"/>
      <x:c r="U117" s="79"/>
    </x:row>
    <x:row r="118" ht="34" customHeight="1">
      <x:c r="A118" s="26" t="n">
        <x:v>99</x:v>
      </x:c>
      <x:c r="B118" s="26" t="n">
        <x:v>97</x:v>
      </x:c>
      <x:c r="C118" s="23" t="str">
        <x:v>Circuits</x:v>
      </x:c>
      <x:c r="D118" s="23" t="str">
        <x:v>Sequential Logic → Counters</x:v>
      </x:c>
      <x:c r="E118" s="23" t="str">
        <x:v>Four-bit binary counter</x:v>
      </x:c>
      <x:c r="F118" s="23" t="str">
        <x:v>count15</x:v>
      </x:c>
      <x:c r="G118" s="26" t="str">
        <x:v>Completed</x:v>
      </x:c>
      <x:c r="H118" s="26" t="str">
        <x:v>Day 04</x:v>
      </x:c>
      <x:c r="I118" s="32" t="n">
        <x:v>46199</x:v>
      </x:c>
      <x:c r="J118" s="26" t="str">
        <x:v>1:01:36 AM</x:v>
      </x:c>
      <x:c r="K118" s="26" t="n">
        <x:v>5</x:v>
      </x:c>
      <x:c r="L118" s="26" t="n">
        <x:v>4</x:v>
      </x:c>
      <x:c r="M118" s="26" t="n">
        <x:v>0</x:v>
      </x:c>
      <x:c r="N118" s="26" t="n">
        <x:v>0</x:v>
      </x:c>
      <x:c r="O118" s="35" t="n">
        <x:v>0.2</x:v>
      </x:c>
      <x:c r="P118" s="29" t="e">
        <x:f>HYPERLINK("https://github.com/kapiltrip/hdlBits/blob/main/problems/Day%2004/097-count15.md","Note")</x:f>
        <x:v>HYPERLINK is not implemented. linkLocation=https://github.com/kapiltrip/hdlBits/blob/main/problems/Day%2004/097-count15.md, friendlyName=Note</x:v>
      </x:c>
      <x:c r="Q118" s="29" t="e">
        <x:f>HYPERLINK("https://github.com/kapiltrip/hdlBits/blob/main/images/Day%2004/097-count15.png","Image")</x:f>
        <x:v>HYPERLINK is not implemented. linkLocation=https://github.com/kapiltrip/hdlBits/blob/main/images/Day%2004/097-count15.png, friendlyName=Image</x:v>
      </x:c>
      <x:c r="R118" s="29" t="e">
        <x:f>HYPERLINK("https://github.com/kapiltrip/hdlBits/blob/main/solutions/Day%2004/097-count15.sv","Code")</x:f>
        <x:v>HYPERLINK is not implemented. linkLocation=https://github.com/kapiltrip/hdlBits/blob/main/solutions/Day%2004/097-count15.sv, friendlyName=Code</x:v>
      </x:c>
      <x:c r="S118" s="29" t="e">
        <x:f>HYPERLINK("https://hdlbits.01xz.net/wiki/count15","HDLBits")</x:f>
        <x:v>HYPERLINK is not implemented. linkLocation=https://hdlbits.01xz.net/wiki/count15, friendlyName=HDLBits</x:v>
      </x:c>
      <x:c r="T118" s="23" t="str">
        <x:v>Implement a 4-bit binary counter with synchronous reset that naturally wraps after 15.</x:v>
      </x:c>
      <x:c r="U118" s="23"/>
    </x:row>
    <x:row r="119" ht="34" customHeight="1">
      <x:c r="A119" s="49" t="n">
        <x:v>100</x:v>
      </x:c>
      <x:c r="B119" s="49" t="n">
        <x:v>98</x:v>
      </x:c>
      <x:c r="C119" s="50" t="str">
        <x:v>Circuits</x:v>
      </x:c>
      <x:c r="D119" s="50" t="str">
        <x:v>Sequential Logic → Counters</x:v>
      </x:c>
      <x:c r="E119" s="50" t="str">
        <x:v>Decade counter</x:v>
      </x:c>
      <x:c r="F119" s="50" t="str">
        <x:v>count10</x:v>
      </x:c>
      <x:c r="G119" s="49" t="str">
        <x:v>Completed</x:v>
      </x:c>
      <x:c r="H119" s="49" t="str">
        <x:v>Day 04</x:v>
      </x:c>
      <x:c r="I119" s="51" t="n">
        <x:v>46199</x:v>
      </x:c>
      <x:c r="J119" s="49" t="str">
        <x:v>1:12:51 AM</x:v>
      </x:c>
      <x:c r="K119" s="49" t="n">
        <x:v>3</x:v>
      </x:c>
      <x:c r="L119" s="49" t="n">
        <x:v>2</x:v>
      </x:c>
      <x:c r="M119" s="49" t="n">
        <x:v>0</x:v>
      </x:c>
      <x:c r="N119" s="49" t="n">
        <x:v>0</x:v>
      </x:c>
      <x:c r="O119" s="52" t="n">
        <x:v>0.33</x:v>
      </x:c>
      <x:c r="P119" s="53" t="e">
        <x:f>HYPERLINK("https://github.com/kapiltrip/hdlBits/blob/main/problems/Day%2004/098-count10.md","Note")</x:f>
        <x:v>HYPERLINK is not implemented. linkLocation=https://github.com/kapiltrip/hdlBits/blob/main/problems/Day%2004/098-count10.md, friendlyName=Note</x:v>
      </x:c>
      <x:c r="Q119" s="53" t="e">
        <x:f>HYPERLINK("https://github.com/kapiltrip/hdlBits/blob/main/images/Day%2004/098-count10.png","Image")</x:f>
        <x:v>HYPERLINK is not implemented. linkLocation=https://github.com/kapiltrip/hdlBits/blob/main/images/Day%2004/098-count10.png, friendlyName=Image</x:v>
      </x:c>
      <x:c r="R119" s="53" t="e">
        <x:f>HYPERLINK("https://github.com/kapiltrip/hdlBits/blob/main/solutions/Day%2004/098-count10.sv","Code")</x:f>
        <x:v>HYPERLINK is not implemented. linkLocation=https://github.com/kapiltrip/hdlBits/blob/main/solutions/Day%2004/098-count10.sv, friendlyName=Code</x:v>
      </x:c>
      <x:c r="S119" s="53" t="e">
        <x:f>HYPERLINK("https://hdlbits.01xz.net/wiki/count10","HDLBits")</x:f>
        <x:v>HYPERLINK is not implemented. linkLocation=https://hdlbits.01xz.net/wiki/count10, friendlyName=HDLBits</x:v>
      </x:c>
      <x:c r="T119" s="50" t="str">
        <x:v>Implement a decade counter that counts from 0 through 9 and then wraps to 0.</x:v>
      </x:c>
      <x:c r="U119" s="50"/>
    </x:row>
    <x:row r="120" ht="34" customHeight="1">
      <x:c r="A120" s="26" t="n">
        <x:v>101</x:v>
      </x:c>
      <x:c r="B120" s="26" t="n">
        <x:v>99</x:v>
      </x:c>
      <x:c r="C120" s="23" t="str">
        <x:v>Circuits</x:v>
      </x:c>
      <x:c r="D120" s="23" t="str">
        <x:v>Sequential Logic → Counters</x:v>
      </x:c>
      <x:c r="E120" s="23" t="str">
        <x:v>Decade counter again</x:v>
      </x:c>
      <x:c r="F120" s="23" t="str">
        <x:v>count1to10</x:v>
      </x:c>
      <x:c r="G120" s="26" t="str">
        <x:v>Completed</x:v>
      </x:c>
      <x:c r="H120" s="26" t="str">
        <x:v>Day 04</x:v>
      </x:c>
      <x:c r="I120" s="32" t="n">
        <x:v>46199</x:v>
      </x:c>
      <x:c r="J120" s="26" t="str">
        <x:v>1:21:20 AM</x:v>
      </x:c>
      <x:c r="K120" s="26" t="n">
        <x:v>3</x:v>
      </x:c>
      <x:c r="L120" s="26" t="n">
        <x:v>1</x:v>
      </x:c>
      <x:c r="M120" s="26" t="n">
        <x:v>1</x:v>
      </x:c>
      <x:c r="N120" s="26" t="n">
        <x:v>0</x:v>
      </x:c>
      <x:c r="O120" s="35" t="n">
        <x:v>0.33</x:v>
      </x:c>
      <x:c r="P120" s="29" t="e">
        <x:f>HYPERLINK("https://github.com/kapiltrip/hdlBits/blob/main/problems/Day%2004/099-count1to10.md","Note")</x:f>
        <x:v>HYPERLINK is not implemented. linkLocation=https://github.com/kapiltrip/hdlBits/blob/main/problems/Day%2004/099-count1to10.md, friendlyName=Note</x:v>
      </x:c>
      <x:c r="Q120" s="29" t="e">
        <x:f>HYPERLINK("https://github.com/kapiltrip/hdlBits/blob/main/images/Day%2004/099-count1to10.png","Image")</x:f>
        <x:v>HYPERLINK is not implemented. linkLocation=https://github.com/kapiltrip/hdlBits/blob/main/images/Day%2004/099-count1to10.png, friendlyName=Image</x:v>
      </x:c>
      <x:c r="R120" s="29" t="e">
        <x:f>HYPERLINK("https://github.com/kapiltrip/hdlBits/blob/main/solutions/Day%2004/099-count1to10.sv","Code")</x:f>
        <x:v>HYPERLINK is not implemented. linkLocation=https://github.com/kapiltrip/hdlBits/blob/main/solutions/Day%2004/099-count1to10.sv, friendlyName=Code</x:v>
      </x:c>
      <x:c r="S120" s="29" t="e">
        <x:f>HYPERLINK("https://hdlbits.01xz.net/wiki/count1to10","HDLBits")</x:f>
        <x:v>HYPERLINK is not implemented. linkLocation=https://hdlbits.01xz.net/wiki/count1to10, friendlyName=HDLBits</x:v>
      </x:c>
      <x:c r="T120" s="23" t="str">
        <x:v>Implement the specified 1-to-10 decade count sequence with the required reset and enable behaviour.</x:v>
      </x:c>
      <x:c r="U120" s="23"/>
    </x:row>
    <x:row r="121" ht="34" customHeight="1">
      <x:c r="A121" s="49" t="n">
        <x:v>102</x:v>
      </x:c>
      <x:c r="B121" s="49" t="n">
        <x:v>100</x:v>
      </x:c>
      <x:c r="C121" s="50" t="str">
        <x:v>Circuits</x:v>
      </x:c>
      <x:c r="D121" s="50" t="str">
        <x:v>Sequential Logic → Counters</x:v>
      </x:c>
      <x:c r="E121" s="50" t="str">
        <x:v>Slow decade counter</x:v>
      </x:c>
      <x:c r="F121" s="50" t="str">
        <x:v>countslow</x:v>
      </x:c>
      <x:c r="G121" s="49" t="str">
        <x:v>Completed</x:v>
      </x:c>
      <x:c r="H121" s="49" t="str">
        <x:v>Day 04</x:v>
      </x:c>
      <x:c r="I121" s="51" t="n">
        <x:v>46199</x:v>
      </x:c>
      <x:c r="J121" s="49" t="str">
        <x:v>1:31:52 AM</x:v>
      </x:c>
      <x:c r="K121" s="49" t="n">
        <x:v>3</x:v>
      </x:c>
      <x:c r="L121" s="49" t="n">
        <x:v>1</x:v>
      </x:c>
      <x:c r="M121" s="49" t="n">
        <x:v>0</x:v>
      </x:c>
      <x:c r="N121" s="49" t="n">
        <x:v>0</x:v>
      </x:c>
      <x:c r="O121" s="52" t="n">
        <x:v>0.67</x:v>
      </x:c>
      <x:c r="P121" s="53" t="e">
        <x:f>HYPERLINK("https://github.com/kapiltrip/hdlBits/blob/main/problems/Day%2004/100-countslow.md","Note")</x:f>
        <x:v>HYPERLINK is not implemented. linkLocation=https://github.com/kapiltrip/hdlBits/blob/main/problems/Day%2004/100-countslow.md, friendlyName=Note</x:v>
      </x:c>
      <x:c r="Q121" s="53" t="e">
        <x:f>HYPERLINK("https://github.com/kapiltrip/hdlBits/blob/main/images/Day%2004/100-countslow.png","Image")</x:f>
        <x:v>HYPERLINK is not implemented. linkLocation=https://github.com/kapiltrip/hdlBits/blob/main/images/Day%2004/100-countslow.png, friendlyName=Image</x:v>
      </x:c>
      <x:c r="R121" s="53" t="e">
        <x:f>HYPERLINK("https://github.com/kapiltrip/hdlBits/blob/main/solutions/Day%2004/100-countslow.sv","Code")</x:f>
        <x:v>HYPERLINK is not implemented. linkLocation=https://github.com/kapiltrip/hdlBits/blob/main/solutions/Day%2004/100-countslow.sv, friendlyName=Code</x:v>
      </x:c>
      <x:c r="S121" s="53" t="e">
        <x:f>HYPERLINK("https://hdlbits.01xz.net/wiki/countslow","HDLBits")</x:f>
        <x:v>HYPERLINK is not implemented. linkLocation=https://hdlbits.01xz.net/wiki/countslow, friendlyName=HDLBits</x:v>
      </x:c>
      <x:c r="T121" s="50" t="str">
        <x:v>Create a decade counter that advances only when the slow-enable input is asserted.</x:v>
      </x:c>
      <x:c r="U121" s="50"/>
    </x:row>
    <x:row r="122" ht="34" customHeight="1">
      <x:c r="A122" s="26" t="n">
        <x:v>103</x:v>
      </x:c>
      <x:c r="B122" s="26"/>
      <x:c r="C122" s="23" t="str">
        <x:v>Circuits</x:v>
      </x:c>
      <x:c r="D122" s="23" t="str">
        <x:v>Sequential Logic → Counters</x:v>
      </x:c>
      <x:c r="E122" s="23" t="str">
        <x:v>Counter 1-12</x:v>
      </x:c>
      <x:c r="F122" s="23" t="str">
        <x:v>exams/ece241_2014_q7a</x:v>
      </x:c>
      <x:c r="G122" s="26" t="str">
        <x:v>To Do</x:v>
      </x:c>
      <x:c r="H122" s="26"/>
      <x:c r="I122" s="32"/>
      <x:c r="J122" s="26"/>
      <x:c r="K122" s="26" t="n">
        <x:v>0</x:v>
      </x:c>
      <x:c r="L122" s="26" t="n">
        <x:v>0</x:v>
      </x:c>
      <x:c r="M122" s="26" t="n">
        <x:v>0</x:v>
      </x:c>
      <x:c r="N122" s="26" t="n">
        <x:v>0</x:v>
      </x:c>
      <x:c r="O122" s="35" t="n">
        <x:v>0</x:v>
      </x:c>
      <x:c r="P122" s="29"/>
      <x:c r="Q122" s="29"/>
      <x:c r="R122" s="29"/>
      <x:c r="S122" s="29" t="e">
        <x:f>HYPERLINK("https://hdlbits.01xz.net/wiki/exams/ece241_2014_q7a","HDLBits")</x:f>
        <x:v>HYPERLINK is not implemented. linkLocation=https://hdlbits.01xz.net/wiki/exams/ece241_2014_q7a, friendlyName=HDLBits</x:v>
      </x:c>
      <x:c r="T122" s="23" t="str">
        <x:v>Not attempted yet. Read the HDLBits question, design the circuit or testbench, and obtain a successful submission.</x:v>
      </x:c>
      <x:c r="U122" s="23"/>
    </x:row>
    <x:row r="123" ht="34" customHeight="1">
      <x:c r="A123" s="49" t="n">
        <x:v>104</x:v>
      </x:c>
      <x:c r="B123" s="49"/>
      <x:c r="C123" s="50" t="str">
        <x:v>Circuits</x:v>
      </x:c>
      <x:c r="D123" s="50" t="str">
        <x:v>Sequential Logic → Counters</x:v>
      </x:c>
      <x:c r="E123" s="50" t="str">
        <x:v>Counter 1000</x:v>
      </x:c>
      <x:c r="F123" s="50" t="str">
        <x:v>exams/ece241_2014_q7b</x:v>
      </x:c>
      <x:c r="G123" s="49" t="str">
        <x:v>To Do</x:v>
      </x:c>
      <x:c r="H123" s="49"/>
      <x:c r="I123" s="51"/>
      <x:c r="J123" s="49"/>
      <x:c r="K123" s="49" t="n">
        <x:v>0</x:v>
      </x:c>
      <x:c r="L123" s="49" t="n">
        <x:v>0</x:v>
      </x:c>
      <x:c r="M123" s="49" t="n">
        <x:v>0</x:v>
      </x:c>
      <x:c r="N123" s="49" t="n">
        <x:v>0</x:v>
      </x:c>
      <x:c r="O123" s="52" t="n">
        <x:v>0</x:v>
      </x:c>
      <x:c r="P123" s="53"/>
      <x:c r="Q123" s="53"/>
      <x:c r="R123" s="53"/>
      <x:c r="S123" s="53" t="e">
        <x:f>HYPERLINK("https://hdlbits.01xz.net/wiki/exams/ece241_2014_q7b","HDLBits")</x:f>
        <x:v>HYPERLINK is not implemented. linkLocation=https://hdlbits.01xz.net/wiki/exams/ece241_2014_q7b, friendlyName=HDLBits</x:v>
      </x:c>
      <x:c r="T123" s="50" t="str">
        <x:v>Not attempted yet. Read the HDLBits question, design the circuit or testbench, and obtain a successful submission.</x:v>
      </x:c>
      <x:c r="U123" s="50"/>
    </x:row>
    <x:row r="124" ht="34" customHeight="1">
      <x:c r="A124" s="26" t="n">
        <x:v>105</x:v>
      </x:c>
      <x:c r="B124" s="26"/>
      <x:c r="C124" s="23" t="str">
        <x:v>Circuits</x:v>
      </x:c>
      <x:c r="D124" s="23" t="str">
        <x:v>Sequential Logic → Counters</x:v>
      </x:c>
      <x:c r="E124" s="23" t="str">
        <x:v>4-digit decimal counter</x:v>
      </x:c>
      <x:c r="F124" s="23" t="str">
        <x:v>countbcd</x:v>
      </x:c>
      <x:c r="G124" s="26" t="str">
        <x:v>To Do</x:v>
      </x:c>
      <x:c r="H124" s="26"/>
      <x:c r="I124" s="32"/>
      <x:c r="J124" s="26"/>
      <x:c r="K124" s="26" t="n">
        <x:v>0</x:v>
      </x:c>
      <x:c r="L124" s="26" t="n">
        <x:v>0</x:v>
      </x:c>
      <x:c r="M124" s="26" t="n">
        <x:v>0</x:v>
      </x:c>
      <x:c r="N124" s="26" t="n">
        <x:v>0</x:v>
      </x:c>
      <x:c r="O124" s="35" t="n">
        <x:v>0</x:v>
      </x:c>
      <x:c r="P124" s="29"/>
      <x:c r="Q124" s="29"/>
      <x:c r="R124" s="29"/>
      <x:c r="S124" s="29" t="e">
        <x:f>HYPERLINK("https://hdlbits.01xz.net/wiki/countbcd","HDLBits")</x:f>
        <x:v>HYPERLINK is not implemented. linkLocation=https://hdlbits.01xz.net/wiki/countbcd, friendlyName=HDLBits</x:v>
      </x:c>
      <x:c r="T124" s="23" t="str">
        <x:v>Not attempted yet. Read the HDLBits question, design the circuit or testbench, and obtain a successful submission.</x:v>
      </x:c>
      <x:c r="U124" s="23"/>
    </x:row>
    <x:row r="125" ht="34" customHeight="1">
      <x:c r="A125" s="49" t="n">
        <x:v>106</x:v>
      </x:c>
      <x:c r="B125" s="49"/>
      <x:c r="C125" s="50" t="str">
        <x:v>Circuits</x:v>
      </x:c>
      <x:c r="D125" s="50" t="str">
        <x:v>Sequential Logic → Counters</x:v>
      </x:c>
      <x:c r="E125" s="50" t="str">
        <x:v>12-hour clock</x:v>
      </x:c>
      <x:c r="F125" s="50" t="str">
        <x:v>count_clock</x:v>
      </x:c>
      <x:c r="G125" s="49" t="str">
        <x:v>To Do</x:v>
      </x:c>
      <x:c r="H125" s="49"/>
      <x:c r="I125" s="51"/>
      <x:c r="J125" s="49"/>
      <x:c r="K125" s="49" t="n">
        <x:v>0</x:v>
      </x:c>
      <x:c r="L125" s="49" t="n">
        <x:v>0</x:v>
      </x:c>
      <x:c r="M125" s="49" t="n">
        <x:v>0</x:v>
      </x:c>
      <x:c r="N125" s="49" t="n">
        <x:v>0</x:v>
      </x:c>
      <x:c r="O125" s="52" t="n">
        <x:v>0</x:v>
      </x:c>
      <x:c r="P125" s="53"/>
      <x:c r="Q125" s="53"/>
      <x:c r="R125" s="53"/>
      <x:c r="S125" s="53" t="e">
        <x:f>HYPERLINK("https://hdlbits.01xz.net/wiki/count_clock","HDLBits")</x:f>
        <x:v>HYPERLINK is not implemented. linkLocation=https://hdlbits.01xz.net/wiki/count_clock, friendlyName=HDLBits</x:v>
      </x:c>
      <x:c r="T125" s="50" t="str">
        <x:v>Not attempted yet. Read the HDLBits question, design the circuit or testbench, and obtain a successful submission.</x:v>
      </x:c>
      <x:c r="U125" s="50"/>
    </x:row>
    <x:row r="126" ht="22" customHeight="1">
      <x:c r="A126" s="79" t="str">
        <x:v>SUBSECTION · Sequential Logic → Shift Registers</x:v>
      </x:c>
      <x:c r="B126" s="79"/>
      <x:c r="C126" s="79"/>
      <x:c r="D126" s="79"/>
      <x:c r="E126" s="79"/>
      <x:c r="F126" s="79"/>
      <x:c r="G126" s="79"/>
      <x:c r="H126" s="79"/>
      <x:c r="I126" s="80"/>
      <x:c r="J126" s="79"/>
      <x:c r="K126" s="79"/>
      <x:c r="L126" s="79"/>
      <x:c r="M126" s="79"/>
      <x:c r="N126" s="79"/>
      <x:c r="O126" s="81"/>
      <x:c r="P126" s="79"/>
      <x:c r="Q126" s="79"/>
      <x:c r="R126" s="79"/>
      <x:c r="S126" s="79"/>
      <x:c r="T126" s="79"/>
      <x:c r="U126" s="79"/>
    </x:row>
    <x:row r="127" ht="34" customHeight="1">
      <x:c r="A127" s="26" t="n">
        <x:v>107</x:v>
      </x:c>
      <x:c r="B127" s="26" t="n">
        <x:v>101</x:v>
      </x:c>
      <x:c r="C127" s="23" t="str">
        <x:v>Circuits</x:v>
      </x:c>
      <x:c r="D127" s="23" t="str">
        <x:v>Sequential Logic → Shift Registers</x:v>
      </x:c>
      <x:c r="E127" s="23" t="str">
        <x:v>4-bit shift register</x:v>
      </x:c>
      <x:c r="F127" s="23" t="str">
        <x:v>shift4</x:v>
      </x:c>
      <x:c r="G127" s="26" t="str">
        <x:v>Completed</x:v>
      </x:c>
      <x:c r="H127" s="26" t="str">
        <x:v>Day 04</x:v>
      </x:c>
      <x:c r="I127" s="32" t="n">
        <x:v>46199</x:v>
      </x:c>
      <x:c r="J127" s="26" t="str">
        <x:v>4:10:18 PM</x:v>
      </x:c>
      <x:c r="K127" s="26" t="n">
        <x:v>4</x:v>
      </x:c>
      <x:c r="L127" s="26" t="n">
        <x:v>3</x:v>
      </x:c>
      <x:c r="M127" s="26" t="n">
        <x:v>0</x:v>
      </x:c>
      <x:c r="N127" s="26" t="n">
        <x:v>0</x:v>
      </x:c>
      <x:c r="O127" s="35" t="n">
        <x:v>0.25</x:v>
      </x:c>
      <x:c r="P127" s="29" t="e">
        <x:f>HYPERLINK("https://github.com/kapiltrip/hdlBits/blob/main/problems/Day%2004/101-shift4.md","Note")</x:f>
        <x:v>HYPERLINK is not implemented. linkLocation=https://github.com/kapiltrip/hdlBits/blob/main/problems/Day%2004/101-shift4.md, friendlyName=Note</x:v>
      </x:c>
      <x:c r="Q127" s="29" t="e">
        <x:f>HYPERLINK("https://github.com/kapiltrip/hdlBits/blob/main/images/Day%2004/101-shift4.png","Image")</x:f>
        <x:v>HYPERLINK is not implemented. linkLocation=https://github.com/kapiltrip/hdlBits/blob/main/images/Day%2004/101-shift4.png, friendlyName=Image</x:v>
      </x:c>
      <x:c r="R127" s="29" t="e">
        <x:f>HYPERLINK("https://github.com/kapiltrip/hdlBits/blob/main/solutions/Day%2004/101-shift4.sv","Code")</x:f>
        <x:v>HYPERLINK is not implemented. linkLocation=https://github.com/kapiltrip/hdlBits/blob/main/solutions/Day%2004/101-shift4.sv, friendlyName=Code</x:v>
      </x:c>
      <x:c r="S127" s="29" t="e">
        <x:f>HYPERLINK("https://hdlbits.01xz.net/wiki/shift4","HDLBits")</x:f>
        <x:v>HYPERLINK is not implemented. linkLocation=https://hdlbits.01xz.net/wiki/shift4, friendlyName=HDLBits</x:v>
      </x:c>
      <x:c r="T127" s="23" t="str">
        <x:v>Build a 4-bit shift register with the specified load/shift controls and expose the requested stage output.</x:v>
      </x:c>
      <x:c r="U127" s="23"/>
    </x:row>
    <x:row r="128" ht="34" customHeight="1">
      <x:c r="A128" s="49" t="n">
        <x:v>108</x:v>
      </x:c>
      <x:c r="B128" s="49" t="n">
        <x:v>102</x:v>
      </x:c>
      <x:c r="C128" s="50" t="str">
        <x:v>Circuits</x:v>
      </x:c>
      <x:c r="D128" s="50" t="str">
        <x:v>Sequential Logic → Shift Registers</x:v>
      </x:c>
      <x:c r="E128" s="50" t="str">
        <x:v>Left/right rotator</x:v>
      </x:c>
      <x:c r="F128" s="50" t="str">
        <x:v>rotate100</x:v>
      </x:c>
      <x:c r="G128" s="49" t="str">
        <x:v>Completed</x:v>
      </x:c>
      <x:c r="H128" s="49" t="str">
        <x:v>Day 04</x:v>
      </x:c>
      <x:c r="I128" s="51" t="n">
        <x:v>46199</x:v>
      </x:c>
      <x:c r="J128" s="49" t="str">
        <x:v>4:23:55 PM</x:v>
      </x:c>
      <x:c r="K128" s="49" t="n">
        <x:v>2</x:v>
      </x:c>
      <x:c r="L128" s="49" t="n">
        <x:v>0</x:v>
      </x:c>
      <x:c r="M128" s="49" t="n">
        <x:v>1</x:v>
      </x:c>
      <x:c r="N128" s="49" t="n">
        <x:v>0</x:v>
      </x:c>
      <x:c r="O128" s="52" t="n">
        <x:v>0.5</x:v>
      </x:c>
      <x:c r="P128" s="53" t="e">
        <x:f>HYPERLINK("https://github.com/kapiltrip/hdlBits/blob/main/problems/Day%2004/102-rotate100.md","Note")</x:f>
        <x:v>HYPERLINK is not implemented. linkLocation=https://github.com/kapiltrip/hdlBits/blob/main/problems/Day%2004/102-rotate100.md, friendlyName=Note</x:v>
      </x:c>
      <x:c r="Q128" s="53" t="e">
        <x:f>HYPERLINK("https://github.com/kapiltrip/hdlBits/blob/main/images/Day%2004/102-rotate100.png","Image")</x:f>
        <x:v>HYPERLINK is not implemented. linkLocation=https://github.com/kapiltrip/hdlBits/blob/main/images/Day%2004/102-rotate100.png, friendlyName=Image</x:v>
      </x:c>
      <x:c r="R128" s="53" t="e">
        <x:f>HYPERLINK("https://github.com/kapiltrip/hdlBits/blob/main/solutions/Day%2004/102-rotate100.sv","Code")</x:f>
        <x:v>HYPERLINK is not implemented. linkLocation=https://github.com/kapiltrip/hdlBits/blob/main/solutions/Day%2004/102-rotate100.sv, friendlyName=Code</x:v>
      </x:c>
      <x:c r="S128" s="53" t="e">
        <x:f>HYPERLINK("https://hdlbits.01xz.net/wiki/rotate100","HDLBits")</x:f>
        <x:v>HYPERLINK is not implemented. linkLocation=https://hdlbits.01xz.net/wiki/rotate100, friendlyName=HDLBits</x:v>
      </x:c>
      <x:c r="T128" s="50" t="str">
        <x:v>Build a 100-bit register that can hold, load, rotate left, or rotate right according to the controls.</x:v>
      </x:c>
      <x:c r="U128" s="50"/>
    </x:row>
    <x:row r="129" ht="34" customHeight="1">
      <x:c r="A129" s="26" t="n">
        <x:v>109</x:v>
      </x:c>
      <x:c r="B129" s="26" t="n">
        <x:v>103</x:v>
      </x:c>
      <x:c r="C129" s="23" t="str">
        <x:v>Circuits</x:v>
      </x:c>
      <x:c r="D129" s="23" t="str">
        <x:v>Sequential Logic → Shift Registers</x:v>
      </x:c>
      <x:c r="E129" s="23" t="str">
        <x:v>Left/right arithmetic shift by 1 or 8</x:v>
      </x:c>
      <x:c r="F129" s="23" t="str">
        <x:v>shift18</x:v>
      </x:c>
      <x:c r="G129" s="26" t="str">
        <x:v>Completed</x:v>
      </x:c>
      <x:c r="H129" s="26" t="str">
        <x:v>Day 04</x:v>
      </x:c>
      <x:c r="I129" s="32" t="n">
        <x:v>46199</x:v>
      </x:c>
      <x:c r="J129" s="26" t="str">
        <x:v>4:42:03 PM</x:v>
      </x:c>
      <x:c r="K129" s="26" t="n">
        <x:v>6</x:v>
      </x:c>
      <x:c r="L129" s="26" t="n">
        <x:v>0</x:v>
      </x:c>
      <x:c r="M129" s="26" t="n">
        <x:v>5</x:v>
      </x:c>
      <x:c r="N129" s="26" t="n">
        <x:v>0</x:v>
      </x:c>
      <x:c r="O129" s="35" t="n">
        <x:v>0.17</x:v>
      </x:c>
      <x:c r="P129" s="29" t="e">
        <x:f>HYPERLINK("https://github.com/kapiltrip/hdlBits/blob/main/problems/Day%2004/103-shift18.md","Note")</x:f>
        <x:v>HYPERLINK is not implemented. linkLocation=https://github.com/kapiltrip/hdlBits/blob/main/problems/Day%2004/103-shift18.md, friendlyName=Note</x:v>
      </x:c>
      <x:c r="Q129" s="29" t="e">
        <x:f>HYPERLINK("https://github.com/kapiltrip/hdlBits/blob/main/images/Day%2004/103-shift18.png","Image")</x:f>
        <x:v>HYPERLINK is not implemented. linkLocation=https://github.com/kapiltrip/hdlBits/blob/main/images/Day%2004/103-shift18.png, friendlyName=Image</x:v>
      </x:c>
      <x:c r="R129" s="29" t="e">
        <x:f>HYPERLINK("https://github.com/kapiltrip/hdlBits/blob/main/solutions/Day%2004/103-shift18.sv","Code")</x:f>
        <x:v>HYPERLINK is not implemented. linkLocation=https://github.com/kapiltrip/hdlBits/blob/main/solutions/Day%2004/103-shift18.sv, friendlyName=Code</x:v>
      </x:c>
      <x:c r="S129" s="29" t="e">
        <x:f>HYPERLINK("https://hdlbits.01xz.net/wiki/shift18","HDLBits")</x:f>
        <x:v>HYPERLINK is not implemented. linkLocation=https://hdlbits.01xz.net/wiki/shift18, friendlyName=HDLBits</x:v>
      </x:c>
      <x:c r="T129" s="23" t="str">
        <x:v>Build a 64-bit register that can load or perform left/right arithmetic shifts by either 1 or 8 positions.</x:v>
      </x:c>
      <x:c r="U129" s="23"/>
    </x:row>
    <x:row r="130" ht="34" customHeight="1">
      <x:c r="A130" s="49" t="n">
        <x:v>110</x:v>
      </x:c>
      <x:c r="B130" s="49" t="n">
        <x:v>104</x:v>
      </x:c>
      <x:c r="C130" s="50" t="str">
        <x:v>Circuits</x:v>
      </x:c>
      <x:c r="D130" s="50" t="str">
        <x:v>Sequential Logic → Shift Registers</x:v>
      </x:c>
      <x:c r="E130" s="50" t="str">
        <x:v>5-bit LFSR</x:v>
      </x:c>
      <x:c r="F130" s="50" t="str">
        <x:v>lfsr5</x:v>
      </x:c>
      <x:c r="G130" s="49" t="str">
        <x:v>Completed</x:v>
      </x:c>
      <x:c r="H130" s="49" t="str">
        <x:v>Day 04</x:v>
      </x:c>
      <x:c r="I130" s="51" t="n">
        <x:v>46199</x:v>
      </x:c>
      <x:c r="J130" s="49" t="str">
        <x:v>5:21:13 PM</x:v>
      </x:c>
      <x:c r="K130" s="49" t="n">
        <x:v>1</x:v>
      </x:c>
      <x:c r="L130" s="49" t="n">
        <x:v>0</x:v>
      </x:c>
      <x:c r="M130" s="49" t="n">
        <x:v>0</x:v>
      </x:c>
      <x:c r="N130" s="49" t="n">
        <x:v>0</x:v>
      </x:c>
      <x:c r="O130" s="52" t="n">
        <x:v>1</x:v>
      </x:c>
      <x:c r="P130" s="53" t="e">
        <x:f>HYPERLINK("https://github.com/kapiltrip/hdlBits/blob/main/problems/Day%2004/104-lfsr5.md","Note")</x:f>
        <x:v>HYPERLINK is not implemented. linkLocation=https://github.com/kapiltrip/hdlBits/blob/main/problems/Day%2004/104-lfsr5.md, friendlyName=Note</x:v>
      </x:c>
      <x:c r="Q130" s="53" t="e">
        <x:f>HYPERLINK("https://github.com/kapiltrip/hdlBits/blob/main/images/Day%2004/104-lfsr5.png","Image")</x:f>
        <x:v>HYPERLINK is not implemented. linkLocation=https://github.com/kapiltrip/hdlBits/blob/main/images/Day%2004/104-lfsr5.png, friendlyName=Image</x:v>
      </x:c>
      <x:c r="R130" s="53" t="e">
        <x:f>HYPERLINK("https://github.com/kapiltrip/hdlBits/blob/main/solutions/Day%2004/104-lfsr5.sv","Code")</x:f>
        <x:v>HYPERLINK is not implemented. linkLocation=https://github.com/kapiltrip/hdlBits/blob/main/solutions/Day%2004/104-lfsr5.sv, friendlyName=Code</x:v>
      </x:c>
      <x:c r="S130" s="53" t="e">
        <x:f>HYPERLINK("https://hdlbits.01xz.net/wiki/lfsr5","HDLBits")</x:f>
        <x:v>HYPERLINK is not implemented. linkLocation=https://hdlbits.01xz.net/wiki/lfsr5, friendlyName=HDLBits</x:v>
      </x:c>
      <x:c r="T130" s="50" t="str">
        <x:v>Implement the specified 5-bit linear-feedback shift register using the given feedback taps and reset state.</x:v>
      </x:c>
      <x:c r="U130" s="50"/>
    </x:row>
    <x:row r="131" ht="34" customHeight="1">
      <x:c r="A131" s="26" t="n">
        <x:v>111</x:v>
      </x:c>
      <x:c r="B131" s="26" t="n">
        <x:v>105</x:v>
      </x:c>
      <x:c r="C131" s="23" t="str">
        <x:v>Circuits</x:v>
      </x:c>
      <x:c r="D131" s="23" t="str">
        <x:v>Sequential Logic → Shift Registers</x:v>
      </x:c>
      <x:c r="E131" s="23" t="str">
        <x:v>3-bit LFSR</x:v>
      </x:c>
      <x:c r="F131" s="23" t="str">
        <x:v>mt2015_lfsr</x:v>
      </x:c>
      <x:c r="G131" s="26" t="str">
        <x:v>Completed</x:v>
      </x:c>
      <x:c r="H131" s="26" t="str">
        <x:v>Day 04</x:v>
      </x:c>
      <x:c r="I131" s="32" t="n">
        <x:v>46199</x:v>
      </x:c>
      <x:c r="J131" s="26" t="str">
        <x:v>11:37:29 PM</x:v>
      </x:c>
      <x:c r="K131" s="26" t="n">
        <x:v>4</x:v>
      </x:c>
      <x:c r="L131" s="26" t="n">
        <x:v>1</x:v>
      </x:c>
      <x:c r="M131" s="26" t="n">
        <x:v>2</x:v>
      </x:c>
      <x:c r="N131" s="26" t="n">
        <x:v>0</x:v>
      </x:c>
      <x:c r="O131" s="35" t="n">
        <x:v>0.25</x:v>
      </x:c>
      <x:c r="P131" s="29" t="e">
        <x:f>HYPERLINK("https://github.com/kapiltrip/hdlBits/blob/main/problems/Day%2004/105-mt2015_lfsr.md","Note")</x:f>
        <x:v>HYPERLINK is not implemented. linkLocation=https://github.com/kapiltrip/hdlBits/blob/main/problems/Day%2004/105-mt2015_lfsr.md, friendlyName=Note</x:v>
      </x:c>
      <x:c r="Q131" s="29" t="e">
        <x:f>HYPERLINK("https://github.com/kapiltrip/hdlBits/blob/main/images/Day%2004/105-mt2015_lfsr.png","Image")</x:f>
        <x:v>HYPERLINK is not implemented. linkLocation=https://github.com/kapiltrip/hdlBits/blob/main/images/Day%2004/105-mt2015_lfsr.png, friendlyName=Image</x:v>
      </x:c>
      <x:c r="R131" s="29" t="e">
        <x:f>HYPERLINK("https://github.com/kapiltrip/hdlBits/blob/main/solutions/Day%2004/105-mt2015_lfsr.sv","Code")</x:f>
        <x:v>HYPERLINK is not implemented. linkLocation=https://github.com/kapiltrip/hdlBits/blob/main/solutions/Day%2004/105-mt2015_lfsr.sv, friendlyName=Code</x:v>
      </x:c>
      <x:c r="S131" s="29" t="e">
        <x:f>HYPERLINK("https://hdlbits.01xz.net/wiki/mt2015_lfsr","HDLBits")</x:f>
        <x:v>HYPERLINK is not implemented. linkLocation=https://hdlbits.01xz.net/wiki/mt2015_lfsr, friendlyName=HDLBits</x:v>
      </x:c>
      <x:c r="T131" s="23" t="str">
        <x:v>Implement the shown 3-bit LFSR and reproduce its required feedback sequence.</x:v>
      </x:c>
      <x:c r="U131" s="23"/>
    </x:row>
    <x:row r="132" ht="34" customHeight="1">
      <x:c r="A132" s="49" t="n">
        <x:v>112</x:v>
      </x:c>
      <x:c r="B132" s="49" t="n">
        <x:v>106</x:v>
      </x:c>
      <x:c r="C132" s="50" t="str">
        <x:v>Circuits</x:v>
      </x:c>
      <x:c r="D132" s="50" t="str">
        <x:v>Sequential Logic → Shift Registers</x:v>
      </x:c>
      <x:c r="E132" s="50" t="str">
        <x:v>32-bit LFSR</x:v>
      </x:c>
      <x:c r="F132" s="50" t="str">
        <x:v>lfsr32</x:v>
      </x:c>
      <x:c r="G132" s="49" t="str">
        <x:v>Completed</x:v>
      </x:c>
      <x:c r="H132" s="49" t="str">
        <x:v>Day 04</x:v>
      </x:c>
      <x:c r="I132" s="51" t="n">
        <x:v>46199</x:v>
      </x:c>
      <x:c r="J132" s="49" t="str">
        <x:v>11:03:20 PM</x:v>
      </x:c>
      <x:c r="K132" s="49" t="n">
        <x:v>1</x:v>
      </x:c>
      <x:c r="L132" s="49" t="n">
        <x:v>0</x:v>
      </x:c>
      <x:c r="M132" s="49" t="n">
        <x:v>0</x:v>
      </x:c>
      <x:c r="N132" s="49" t="n">
        <x:v>0</x:v>
      </x:c>
      <x:c r="O132" s="52" t="n">
        <x:v>1</x:v>
      </x:c>
      <x:c r="P132" s="53" t="e">
        <x:f>HYPERLINK("https://github.com/kapiltrip/hdlBits/blob/main/problems/Day%2004/106-lfsr32.md","Note")</x:f>
        <x:v>HYPERLINK is not implemented. linkLocation=https://github.com/kapiltrip/hdlBits/blob/main/problems/Day%2004/106-lfsr32.md, friendlyName=Note</x:v>
      </x:c>
      <x:c r="Q132" s="53" t="e">
        <x:f>HYPERLINK("https://github.com/kapiltrip/hdlBits/blob/main/images/Day%2004/106-lfsr32.png","Image")</x:f>
        <x:v>HYPERLINK is not implemented. linkLocation=https://github.com/kapiltrip/hdlBits/blob/main/images/Day%2004/106-lfsr32.png, friendlyName=Image</x:v>
      </x:c>
      <x:c r="R132" s="53" t="e">
        <x:f>HYPERLINK("https://github.com/kapiltrip/hdlBits/blob/main/solutions/Day%2004/106-lfsr32.sv","Code")</x:f>
        <x:v>HYPERLINK is not implemented. linkLocation=https://github.com/kapiltrip/hdlBits/blob/main/solutions/Day%2004/106-lfsr32.sv, friendlyName=Code</x:v>
      </x:c>
      <x:c r="S132" s="53" t="e">
        <x:f>HYPERLINK("https://hdlbits.01xz.net/wiki/lfsr32","HDLBits")</x:f>
        <x:v>HYPERLINK is not implemented. linkLocation=https://hdlbits.01xz.net/wiki/lfsr32, friendlyName=HDLBits</x:v>
      </x:c>
      <x:c r="T132" s="50" t="str">
        <x:v>Implement a 32-bit linear-feedback shift register with the specified tap positions.</x:v>
      </x:c>
      <x:c r="U132" s="50"/>
    </x:row>
    <x:row r="133" ht="34" customHeight="1">
      <x:c r="A133" s="26" t="n">
        <x:v>113</x:v>
      </x:c>
      <x:c r="B133" s="26" t="n">
        <x:v>107</x:v>
      </x:c>
      <x:c r="C133" s="23" t="str">
        <x:v>Circuits</x:v>
      </x:c>
      <x:c r="D133" s="23" t="str">
        <x:v>Sequential Logic → Shift Registers</x:v>
      </x:c>
      <x:c r="E133" s="23" t="str">
        <x:v>Shift register</x:v>
      </x:c>
      <x:c r="F133" s="23" t="str">
        <x:v>exams/m2014_q4k</x:v>
      </x:c>
      <x:c r="G133" s="26" t="str">
        <x:v>Completed</x:v>
      </x:c>
      <x:c r="H133" s="26" t="str">
        <x:v>Day 04</x:v>
      </x:c>
      <x:c r="I133" s="32" t="n">
        <x:v>46199</x:v>
      </x:c>
      <x:c r="J133" s="26" t="str">
        <x:v>11:20:08 PM</x:v>
      </x:c>
      <x:c r="K133" s="26" t="n">
        <x:v>8</x:v>
      </x:c>
      <x:c r="L133" s="26" t="n">
        <x:v>6</x:v>
      </x:c>
      <x:c r="M133" s="26" t="n">
        <x:v>1</x:v>
      </x:c>
      <x:c r="N133" s="26" t="n">
        <x:v>0</x:v>
      </x:c>
      <x:c r="O133" s="35" t="n">
        <x:v>0.13</x:v>
      </x:c>
      <x:c r="P133" s="29" t="e">
        <x:f>HYPERLINK("https://github.com/kapiltrip/hdlBits/blob/main/problems/Day%2004/107-exams__m2014_q4k.md","Note")</x:f>
        <x:v>HYPERLINK is not implemented. linkLocation=https://github.com/kapiltrip/hdlBits/blob/main/problems/Day%2004/107-exams__m2014_q4k.md, friendlyName=Note</x:v>
      </x:c>
      <x:c r="Q133" s="29" t="e">
        <x:f>HYPERLINK("https://github.com/kapiltrip/hdlBits/blob/main/images/Day%2004/107-exams__m2014_q4k.png","Image")</x:f>
        <x:v>HYPERLINK is not implemented. linkLocation=https://github.com/kapiltrip/hdlBits/blob/main/images/Day%2004/107-exams__m2014_q4k.png, friendlyName=Image</x:v>
      </x:c>
      <x:c r="R133" s="29" t="e">
        <x:f>HYPERLINK("https://github.com/kapiltrip/hdlBits/blob/main/solutions/Day%2004/107-exams__m2014_q4k.sv","Code")</x:f>
        <x:v>HYPERLINK is not implemented. linkLocation=https://github.com/kapiltrip/hdlBits/blob/main/solutions/Day%2004/107-exams__m2014_q4k.sv, friendlyName=Code</x:v>
      </x:c>
      <x:c r="S133" s="29" t="e">
        <x:f>HYPERLINK("https://hdlbits.01xz.net/wiki/exams/m2014_q4k","HDLBits")</x:f>
        <x:v>HYPERLINK is not implemented. linkLocation=https://hdlbits.01xz.net/wiki/exams/m2014_q4k, friendlyName=HDLBits</x:v>
      </x:c>
      <x:c r="T133" s="23" t="str">
        <x:v>Translate the exam shift-register schematic into clocked Verilog with the same data movement.</x:v>
      </x:c>
      <x:c r="U133" s="23"/>
    </x:row>
    <x:row r="134" ht="34" customHeight="1">
      <x:c r="A134" s="49" t="n">
        <x:v>114</x:v>
      </x:c>
      <x:c r="B134" s="49" t="n">
        <x:v>108</x:v>
      </x:c>
      <x:c r="C134" s="50" t="str">
        <x:v>Circuits</x:v>
      </x:c>
      <x:c r="D134" s="50" t="str">
        <x:v>Sequential Logic → Shift Registers</x:v>
      </x:c>
      <x:c r="E134" s="50" t="str">
        <x:v>Shift register</x:v>
      </x:c>
      <x:c r="F134" s="50" t="str">
        <x:v>exams/2014_q4b</x:v>
      </x:c>
      <x:c r="G134" s="49" t="str">
        <x:v>Completed</x:v>
      </x:c>
      <x:c r="H134" s="49" t="str">
        <x:v>Day 05</x:v>
      </x:c>
      <x:c r="I134" s="51" t="n">
        <x:v>46200</x:v>
      </x:c>
      <x:c r="J134" s="49" t="str">
        <x:v>12:13:30 AM</x:v>
      </x:c>
      <x:c r="K134" s="49" t="n">
        <x:v>6</x:v>
      </x:c>
      <x:c r="L134" s="49" t="n">
        <x:v>0</x:v>
      </x:c>
      <x:c r="M134" s="49" t="n">
        <x:v>5</x:v>
      </x:c>
      <x:c r="N134" s="49" t="n">
        <x:v>0</x:v>
      </x:c>
      <x:c r="O134" s="52" t="n">
        <x:v>0.17</x:v>
      </x:c>
      <x:c r="P134" s="53" t="e">
        <x:f>HYPERLINK("https://github.com/kapiltrip/hdlBits/blob/main/problems/Day%2005/108-exams__2014_q4b.md","Note")</x:f>
        <x:v>HYPERLINK is not implemented. linkLocation=https://github.com/kapiltrip/hdlBits/blob/main/problems/Day%2005/108-exams__2014_q4b.md, friendlyName=Note</x:v>
      </x:c>
      <x:c r="Q134" s="53" t="e">
        <x:f>HYPERLINK("https://github.com/kapiltrip/hdlBits/blob/main/images/Day%2005/108-exams__2014_q4b.png","Image")</x:f>
        <x:v>HYPERLINK is not implemented. linkLocation=https://github.com/kapiltrip/hdlBits/blob/main/images/Day%2005/108-exams__2014_q4b.png, friendlyName=Image</x:v>
      </x:c>
      <x:c r="R134" s="53" t="e">
        <x:f>HYPERLINK("https://github.com/kapiltrip/hdlBits/blob/main/solutions/Day%2005/108-exams__2014_q4b.sv","Code")</x:f>
        <x:v>HYPERLINK is not implemented. linkLocation=https://github.com/kapiltrip/hdlBits/blob/main/solutions/Day%2005/108-exams__2014_q4b.sv, friendlyName=Code</x:v>
      </x:c>
      <x:c r="S134" s="53" t="e">
        <x:f>HYPERLINK("https://hdlbits.01xz.net/wiki/exams/2014_q4b","HDLBits")</x:f>
        <x:v>HYPERLINK is not implemented. linkLocation=https://hdlbits.01xz.net/wiki/exams/2014_q4b, friendlyName=HDLBits</x:v>
      </x:c>
      <x:c r="T134" s="50" t="str">
        <x:v>Implement the shown shift register and its control logic exactly as specified by the exam circuit.</x:v>
      </x:c>
      <x:c r="U134" s="50"/>
    </x:row>
    <x:row r="135" ht="34" customHeight="1">
      <x:c r="A135" s="26" t="n">
        <x:v>115</x:v>
      </x:c>
      <x:c r="B135" s="26" t="n">
        <x:v>109</x:v>
      </x:c>
      <x:c r="C135" s="23" t="str">
        <x:v>Circuits</x:v>
      </x:c>
      <x:c r="D135" s="23" t="str">
        <x:v>Sequential Logic → Shift Registers</x:v>
      </x:c>
      <x:c r="E135" s="23" t="str">
        <x:v>3-input LUT</x:v>
      </x:c>
      <x:c r="F135" s="23" t="str">
        <x:v>exams/ece241_2013_q12</x:v>
      </x:c>
      <x:c r="G135" s="26" t="str">
        <x:v>Completed</x:v>
      </x:c>
      <x:c r="H135" s="26" t="str">
        <x:v>Day 05</x:v>
      </x:c>
      <x:c r="I135" s="32" t="n">
        <x:v>46200</x:v>
      </x:c>
      <x:c r="J135" s="26" t="str">
        <x:v>12:36:42 AM</x:v>
      </x:c>
      <x:c r="K135" s="26" t="n">
        <x:v>2</x:v>
      </x:c>
      <x:c r="L135" s="26" t="n">
        <x:v>0</x:v>
      </x:c>
      <x:c r="M135" s="26" t="n">
        <x:v>1</x:v>
      </x:c>
      <x:c r="N135" s="26" t="n">
        <x:v>0</x:v>
      </x:c>
      <x:c r="O135" s="35" t="n">
        <x:v>0.5</x:v>
      </x:c>
      <x:c r="P135" s="29" t="e">
        <x:f>HYPERLINK("https://github.com/kapiltrip/hdlBits/blob/main/problems/Day%2005/109-exams__ece241_2013_q12.md","Note")</x:f>
        <x:v>HYPERLINK is not implemented. linkLocation=https://github.com/kapiltrip/hdlBits/blob/main/problems/Day%2005/109-exams__ece241_2013_q12.md, friendlyName=Note</x:v>
      </x:c>
      <x:c r="Q135" s="29" t="e">
        <x:f>HYPERLINK("https://github.com/kapiltrip/hdlBits/blob/main/images/Day%2005/109-exams__ece241_2013_q12.png","Image")</x:f>
        <x:v>HYPERLINK is not implemented. linkLocation=https://github.com/kapiltrip/hdlBits/blob/main/images/Day%2005/109-exams__ece241_2013_q12.png, friendlyName=Image</x:v>
      </x:c>
      <x:c r="R135" s="29" t="e">
        <x:f>HYPERLINK("https://github.com/kapiltrip/hdlBits/blob/main/solutions/Day%2005/109-exams__ece241_2013_q12.sv","Code")</x:f>
        <x:v>HYPERLINK is not implemented. linkLocation=https://github.com/kapiltrip/hdlBits/blob/main/solutions/Day%2005/109-exams__ece241_2013_q12.sv, friendlyName=Code</x:v>
      </x:c>
      <x:c r="S135" s="29" t="e">
        <x:f>HYPERLINK("https://hdlbits.01xz.net/wiki/exams/ece241_2013_q12","HDLBits")</x:f>
        <x:v>HYPERLINK is not implemented. linkLocation=https://hdlbits.01xz.net/wiki/exams/ece241_2013_q12, friendlyName=HDLBits</x:v>
      </x:c>
      <x:c r="T135" s="23" t="str">
        <x:v>Build a 3-input lookup table from a shift register and multiplexer so its truth table can be loaded serially.</x:v>
      </x:c>
      <x:c r="U135" s="23"/>
    </x:row>
    <x:row r="136" ht="22" customHeight="1">
      <x:c r="A136" s="79" t="str">
        <x:v>SUBSECTION · Sequential Logic → More Circuits</x:v>
      </x:c>
      <x:c r="B136" s="79"/>
      <x:c r="C136" s="79"/>
      <x:c r="D136" s="79"/>
      <x:c r="E136" s="79"/>
      <x:c r="F136" s="79"/>
      <x:c r="G136" s="79"/>
      <x:c r="H136" s="79"/>
      <x:c r="I136" s="80"/>
      <x:c r="J136" s="79"/>
      <x:c r="K136" s="79"/>
      <x:c r="L136" s="79"/>
      <x:c r="M136" s="79"/>
      <x:c r="N136" s="79"/>
      <x:c r="O136" s="81"/>
      <x:c r="P136" s="79"/>
      <x:c r="Q136" s="79"/>
      <x:c r="R136" s="79"/>
      <x:c r="S136" s="79"/>
      <x:c r="T136" s="79"/>
      <x:c r="U136" s="79"/>
    </x:row>
    <x:row r="137" ht="34" customHeight="1">
      <x:c r="A137" s="49" t="n">
        <x:v>116</x:v>
      </x:c>
      <x:c r="B137" s="49"/>
      <x:c r="C137" s="50" t="str">
        <x:v>Circuits</x:v>
      </x:c>
      <x:c r="D137" s="50" t="str">
        <x:v>Sequential Logic → More Circuits</x:v>
      </x:c>
      <x:c r="E137" s="50" t="str">
        <x:v>Rule 90</x:v>
      </x:c>
      <x:c r="F137" s="50" t="str">
        <x:v>rule90</x:v>
      </x:c>
      <x:c r="G137" s="49" t="str">
        <x:v>To Do</x:v>
      </x:c>
      <x:c r="H137" s="49"/>
      <x:c r="I137" s="51"/>
      <x:c r="J137" s="49"/>
      <x:c r="K137" s="49" t="n">
        <x:v>0</x:v>
      </x:c>
      <x:c r="L137" s="49" t="n">
        <x:v>0</x:v>
      </x:c>
      <x:c r="M137" s="49" t="n">
        <x:v>0</x:v>
      </x:c>
      <x:c r="N137" s="49" t="n">
        <x:v>0</x:v>
      </x:c>
      <x:c r="O137" s="52"/>
      <x:c r="P137" s="53"/>
      <x:c r="Q137" s="53"/>
      <x:c r="R137" s="53"/>
      <x:c r="S137" s="53" t="e">
        <x:f>HYPERLINK("https://hdlbits.01xz.net/wiki/rule90","HDLBits")</x:f>
        <x:v>HYPERLINK is not implemented. linkLocation=https://hdlbits.01xz.net/wiki/rule90, friendlyName=HDLBits</x:v>
      </x:c>
      <x:c r="T137" s="50" t="str">
        <x:v>Not attempted yet. Read the HDLBits question, design the circuit or testbench, and obtain a successful submission.</x:v>
      </x:c>
      <x:c r="U137" s="50"/>
    </x:row>
    <x:row r="138" ht="34" customHeight="1">
      <x:c r="A138" s="26" t="n">
        <x:v>117</x:v>
      </x:c>
      <x:c r="B138" s="26"/>
      <x:c r="C138" s="23" t="str">
        <x:v>Circuits</x:v>
      </x:c>
      <x:c r="D138" s="23" t="str">
        <x:v>Sequential Logic → More Circuits</x:v>
      </x:c>
      <x:c r="E138" s="23" t="str">
        <x:v>Rule 110</x:v>
      </x:c>
      <x:c r="F138" s="23" t="str">
        <x:v>rule110</x:v>
      </x:c>
      <x:c r="G138" s="26" t="str">
        <x:v>To Do</x:v>
      </x:c>
      <x:c r="H138" s="26"/>
      <x:c r="I138" s="32"/>
      <x:c r="J138" s="26"/>
      <x:c r="K138" s="26" t="n">
        <x:v>0</x:v>
      </x:c>
      <x:c r="L138" s="26" t="n">
        <x:v>0</x:v>
      </x:c>
      <x:c r="M138" s="26" t="n">
        <x:v>0</x:v>
      </x:c>
      <x:c r="N138" s="26" t="n">
        <x:v>0</x:v>
      </x:c>
      <x:c r="O138" s="35"/>
      <x:c r="P138" s="29"/>
      <x:c r="Q138" s="29"/>
      <x:c r="R138" s="29"/>
      <x:c r="S138" s="29" t="e">
        <x:f>HYPERLINK("https://hdlbits.01xz.net/wiki/rule110","HDLBits")</x:f>
        <x:v>HYPERLINK is not implemented. linkLocation=https://hdlbits.01xz.net/wiki/rule110, friendlyName=HDLBits</x:v>
      </x:c>
      <x:c r="T138" s="23" t="str">
        <x:v>Not attempted yet. Read the HDLBits question, design the circuit or testbench, and obtain a successful submission.</x:v>
      </x:c>
      <x:c r="U138" s="23"/>
    </x:row>
    <x:row r="139" ht="34" customHeight="1">
      <x:c r="A139" s="49" t="n">
        <x:v>118</x:v>
      </x:c>
      <x:c r="B139" s="49"/>
      <x:c r="C139" s="50" t="str">
        <x:v>Circuits</x:v>
      </x:c>
      <x:c r="D139" s="50" t="str">
        <x:v>Sequential Logic → More Circuits</x:v>
      </x:c>
      <x:c r="E139" s="50" t="str">
        <x:v>Conway's Game of Life 16x16</x:v>
      </x:c>
      <x:c r="F139" s="50" t="str">
        <x:v>conwaylife</x:v>
      </x:c>
      <x:c r="G139" s="49" t="str">
        <x:v>To Do</x:v>
      </x:c>
      <x:c r="H139" s="49"/>
      <x:c r="I139" s="51"/>
      <x:c r="J139" s="49"/>
      <x:c r="K139" s="49" t="n">
        <x:v>0</x:v>
      </x:c>
      <x:c r="L139" s="49" t="n">
        <x:v>0</x:v>
      </x:c>
      <x:c r="M139" s="49" t="n">
        <x:v>0</x:v>
      </x:c>
      <x:c r="N139" s="49" t="n">
        <x:v>0</x:v>
      </x:c>
      <x:c r="O139" s="52"/>
      <x:c r="P139" s="53"/>
      <x:c r="Q139" s="53"/>
      <x:c r="R139" s="53"/>
      <x:c r="S139" s="53" t="e">
        <x:f>HYPERLINK("https://hdlbits.01xz.net/wiki/conwaylife","HDLBits")</x:f>
        <x:v>HYPERLINK is not implemented. linkLocation=https://hdlbits.01xz.net/wiki/conwaylife, friendlyName=HDLBits</x:v>
      </x:c>
      <x:c r="T139" s="50" t="str">
        <x:v>Not attempted yet. Read the HDLBits question, design the circuit or testbench, and obtain a successful submission.</x:v>
      </x:c>
      <x:c r="U139" s="50"/>
    </x:row>
    <x:row r="140" ht="22" customHeight="1">
      <x:c r="A140" s="79" t="str">
        <x:v>SUBSECTION · Sequential Logic → Finite State Machines</x:v>
      </x:c>
      <x:c r="B140" s="79"/>
      <x:c r="C140" s="79"/>
      <x:c r="D140" s="79"/>
      <x:c r="E140" s="79"/>
      <x:c r="F140" s="79"/>
      <x:c r="G140" s="79"/>
      <x:c r="H140" s="79"/>
      <x:c r="I140" s="80"/>
      <x:c r="J140" s="79"/>
      <x:c r="K140" s="79"/>
      <x:c r="L140" s="79"/>
      <x:c r="M140" s="79"/>
      <x:c r="N140" s="79"/>
      <x:c r="O140" s="81"/>
      <x:c r="P140" s="79"/>
      <x:c r="Q140" s="79"/>
      <x:c r="R140" s="79"/>
      <x:c r="S140" s="79"/>
      <x:c r="T140" s="79"/>
      <x:c r="U140" s="79"/>
    </x:row>
    <x:row r="141" ht="34" customHeight="1">
      <x:c r="A141" s="26" t="n">
        <x:v>119</x:v>
      </x:c>
      <x:c r="B141" s="26" t="n">
        <x:v>110</x:v>
      </x:c>
      <x:c r="C141" s="23" t="str">
        <x:v>Circuits</x:v>
      </x:c>
      <x:c r="D141" s="23" t="str">
        <x:v>Sequential Logic → Finite State Machines</x:v>
      </x:c>
      <x:c r="E141" s="23" t="str">
        <x:v>Simple FSM 1 (asynchronous reset)</x:v>
      </x:c>
      <x:c r="F141" s="23" t="str">
        <x:v>fsm1</x:v>
      </x:c>
      <x:c r="G141" s="26" t="str">
        <x:v>Completed</x:v>
      </x:c>
      <x:c r="H141" s="26" t="str">
        <x:v>Day 05</x:v>
      </x:c>
      <x:c r="I141" s="32" t="n">
        <x:v>46200</x:v>
      </x:c>
      <x:c r="J141" s="26" t="str">
        <x:v>1:04:37 AM</x:v>
      </x:c>
      <x:c r="K141" s="26" t="n">
        <x:v>9</x:v>
      </x:c>
      <x:c r="L141" s="26" t="n">
        <x:v>2</x:v>
      </x:c>
      <x:c r="M141" s="26" t="n">
        <x:v>5</x:v>
      </x:c>
      <x:c r="N141" s="26" t="n">
        <x:v>1</x:v>
      </x:c>
      <x:c r="O141" s="35" t="n">
        <x:v>0.11</x:v>
      </x:c>
      <x:c r="P141" s="29" t="e">
        <x:f>HYPERLINK("https://github.com/kapiltrip/hdlBits/blob/main/problems/Day%2005/110-fsm1.md","Note")</x:f>
        <x:v>HYPERLINK is not implemented. linkLocation=https://github.com/kapiltrip/hdlBits/blob/main/problems/Day%2005/110-fsm1.md, friendlyName=Note</x:v>
      </x:c>
      <x:c r="Q141" s="29" t="e">
        <x:f>HYPERLINK("https://github.com/kapiltrip/hdlBits/blob/main/images/Day%2005/110-fsm1.png","Image")</x:f>
        <x:v>HYPERLINK is not implemented. linkLocation=https://github.com/kapiltrip/hdlBits/blob/main/images/Day%2005/110-fsm1.png, friendlyName=Image</x:v>
      </x:c>
      <x:c r="R141" s="29" t="e">
        <x:f>HYPERLINK("https://github.com/kapiltrip/hdlBits/blob/main/solutions/Day%2005/110-fsm1.sv","Code")</x:f>
        <x:v>HYPERLINK is not implemented. linkLocation=https://github.com/kapiltrip/hdlBits/blob/main/solutions/Day%2005/110-fsm1.sv, friendlyName=Code</x:v>
      </x:c>
      <x:c r="S141" s="29" t="e">
        <x:f>HYPERLINK("https://hdlbits.01xz.net/wiki/fsm1","HDLBits")</x:f>
        <x:v>HYPERLINK is not implemented. linkLocation=https://hdlbits.01xz.net/wiki/fsm1, friendlyName=HDLBits</x:v>
      </x:c>
      <x:c r="T141" s="23" t="str">
        <x:v>Implement the provided two-state FSM, using an asynchronous reset and the diagram's transition and output rules.</x:v>
      </x:c>
      <x:c r="U141" s="23"/>
    </x:row>
    <x:row r="142" ht="34" customHeight="1">
      <x:c r="A142" s="49" t="n">
        <x:v>120</x:v>
      </x:c>
      <x:c r="B142" s="49" t="n">
        <x:v>111</x:v>
      </x:c>
      <x:c r="C142" s="50" t="str">
        <x:v>Circuits</x:v>
      </x:c>
      <x:c r="D142" s="50" t="str">
        <x:v>Sequential Logic → Finite State Machines</x:v>
      </x:c>
      <x:c r="E142" s="50" t="str">
        <x:v>Simple FSM 1 (synchronous reset)</x:v>
      </x:c>
      <x:c r="F142" s="50" t="str">
        <x:v>fsm1s</x:v>
      </x:c>
      <x:c r="G142" s="49" t="str">
        <x:v>Completed</x:v>
      </x:c>
      <x:c r="H142" s="49" t="str">
        <x:v>Day 05</x:v>
      </x:c>
      <x:c r="I142" s="51" t="n">
        <x:v>46200</x:v>
      </x:c>
      <x:c r="J142" s="49" t="str">
        <x:v>1:25:24 AM</x:v>
      </x:c>
      <x:c r="K142" s="49" t="n">
        <x:v>3</x:v>
      </x:c>
      <x:c r="L142" s="49" t="n">
        <x:v>1</x:v>
      </x:c>
      <x:c r="M142" s="49" t="n">
        <x:v>1</x:v>
      </x:c>
      <x:c r="N142" s="49" t="n">
        <x:v>0</x:v>
      </x:c>
      <x:c r="O142" s="52" t="n">
        <x:v>0.33</x:v>
      </x:c>
      <x:c r="P142" s="53" t="e">
        <x:f>HYPERLINK("https://github.com/kapiltrip/hdlBits/blob/main/problems/Day%2005/111-fsm1s.md","Note")</x:f>
        <x:v>HYPERLINK is not implemented. linkLocation=https://github.com/kapiltrip/hdlBits/blob/main/problems/Day%2005/111-fsm1s.md, friendlyName=Note</x:v>
      </x:c>
      <x:c r="Q142" s="53" t="e">
        <x:f>HYPERLINK("https://github.com/kapiltrip/hdlBits/blob/main/images/Day%2005/111-fsm1s.png","Image")</x:f>
        <x:v>HYPERLINK is not implemented. linkLocation=https://github.com/kapiltrip/hdlBits/blob/main/images/Day%2005/111-fsm1s.png, friendlyName=Image</x:v>
      </x:c>
      <x:c r="R142" s="53" t="e">
        <x:f>HYPERLINK("https://github.com/kapiltrip/hdlBits/blob/main/solutions/Day%2005/111-fsm1s.sv","Code")</x:f>
        <x:v>HYPERLINK is not implemented. linkLocation=https://github.com/kapiltrip/hdlBits/blob/main/solutions/Day%2005/111-fsm1s.sv, friendlyName=Code</x:v>
      </x:c>
      <x:c r="S142" s="53" t="e">
        <x:f>HYPERLINK("https://hdlbits.01xz.net/wiki/fsm1s","HDLBits")</x:f>
        <x:v>HYPERLINK is not implemented. linkLocation=https://hdlbits.01xz.net/wiki/fsm1s, friendlyName=HDLBits</x:v>
      </x:c>
      <x:c r="T142" s="50" t="str">
        <x:v>Implement the same two-state FSM with a synchronous reset instead of an asynchronous reset.</x:v>
      </x:c>
      <x:c r="U142" s="50"/>
    </x:row>
    <x:row r="143" ht="34" customHeight="1">
      <x:c r="A143" s="26" t="n">
        <x:v>121</x:v>
      </x:c>
      <x:c r="B143" s="26" t="n">
        <x:v>112</x:v>
      </x:c>
      <x:c r="C143" s="23" t="str">
        <x:v>Circuits</x:v>
      </x:c>
      <x:c r="D143" s="23" t="str">
        <x:v>Sequential Logic → Finite State Machines</x:v>
      </x:c>
      <x:c r="E143" s="23" t="str">
        <x:v>Simple FSM 2 (asynchronous reset)</x:v>
      </x:c>
      <x:c r="F143" s="23" t="str">
        <x:v>fsm2</x:v>
      </x:c>
      <x:c r="G143" s="26" t="str">
        <x:v>Completed</x:v>
      </x:c>
      <x:c r="H143" s="26" t="str">
        <x:v>Day 05</x:v>
      </x:c>
      <x:c r="I143" s="32" t="n">
        <x:v>46200</x:v>
      </x:c>
      <x:c r="J143" s="26" t="str">
        <x:v>1:59:48 AM</x:v>
      </x:c>
      <x:c r="K143" s="26" t="n">
        <x:v>6</x:v>
      </x:c>
      <x:c r="L143" s="26" t="n">
        <x:v>5</x:v>
      </x:c>
      <x:c r="M143" s="26" t="n">
        <x:v>0</x:v>
      </x:c>
      <x:c r="N143" s="26" t="n">
        <x:v>0</x:v>
      </x:c>
      <x:c r="O143" s="35" t="n">
        <x:v>0.17</x:v>
      </x:c>
      <x:c r="P143" s="29" t="e">
        <x:f>HYPERLINK("https://github.com/kapiltrip/hdlBits/blob/main/problems/Day%2005/112-fsm2.md","Note")</x:f>
        <x:v>HYPERLINK is not implemented. linkLocation=https://github.com/kapiltrip/hdlBits/blob/main/problems/Day%2005/112-fsm2.md, friendlyName=Note</x:v>
      </x:c>
      <x:c r="Q143" s="29" t="e">
        <x:f>HYPERLINK("https://github.com/kapiltrip/hdlBits/blob/main/images/Day%2005/112-fsm2.png","Image")</x:f>
        <x:v>HYPERLINK is not implemented. linkLocation=https://github.com/kapiltrip/hdlBits/blob/main/images/Day%2005/112-fsm2.png, friendlyName=Image</x:v>
      </x:c>
      <x:c r="R143" s="29" t="e">
        <x:f>HYPERLINK("https://github.com/kapiltrip/hdlBits/blob/main/solutions/Day%2005/112-fsm2.sv","Code")</x:f>
        <x:v>HYPERLINK is not implemented. linkLocation=https://github.com/kapiltrip/hdlBits/blob/main/solutions/Day%2005/112-fsm2.sv, friendlyName=Code</x:v>
      </x:c>
      <x:c r="S143" s="29" t="e">
        <x:f>HYPERLINK("https://hdlbits.01xz.net/wiki/fsm2","HDLBits")</x:f>
        <x:v>HYPERLINK is not implemented. linkLocation=https://hdlbits.01xz.net/wiki/fsm2, friendlyName=HDLBits</x:v>
      </x:c>
      <x:c r="T143" s="23" t="str">
        <x:v>Implement the second supplied finite-state machine, including its asynchronous reset, transitions, and output decoding.</x:v>
      </x:c>
      <x:c r="U143" s="23"/>
    </x:row>
    <x:row r="144" ht="34" customHeight="1">
      <x:c r="A144" s="49" t="n">
        <x:v>122</x:v>
      </x:c>
      <x:c r="B144" s="49" t="n">
        <x:v>113</x:v>
      </x:c>
      <x:c r="C144" s="50" t="str">
        <x:v>Circuits</x:v>
      </x:c>
      <x:c r="D144" s="50" t="str">
        <x:v>Sequential Logic → Finite State Machines</x:v>
      </x:c>
      <x:c r="E144" s="50" t="str">
        <x:v>Simple FSM 2 (synchronous reset)</x:v>
      </x:c>
      <x:c r="F144" s="50" t="str">
        <x:v>fsm2s</x:v>
      </x:c>
      <x:c r="G144" s="49" t="str">
        <x:v>Completed</x:v>
      </x:c>
      <x:c r="H144" s="49" t="str">
        <x:v>Day 05</x:v>
      </x:c>
      <x:c r="I144" s="51" t="n">
        <x:v>46200</x:v>
      </x:c>
      <x:c r="J144" s="49" t="str">
        <x:v>2:04:20 AM</x:v>
      </x:c>
      <x:c r="K144" s="49" t="n">
        <x:v>2</x:v>
      </x:c>
      <x:c r="L144" s="49" t="n">
        <x:v>0</x:v>
      </x:c>
      <x:c r="M144" s="49" t="n">
        <x:v>1</x:v>
      </x:c>
      <x:c r="N144" s="49" t="n">
        <x:v>0</x:v>
      </x:c>
      <x:c r="O144" s="52" t="n">
        <x:v>0.5</x:v>
      </x:c>
      <x:c r="P144" s="53" t="e">
        <x:f>HYPERLINK("https://github.com/kapiltrip/hdlBits/blob/main/problems/Day%2005/113-fsm2s.md","Note")</x:f>
        <x:v>HYPERLINK is not implemented. linkLocation=https://github.com/kapiltrip/hdlBits/blob/main/problems/Day%2005/113-fsm2s.md, friendlyName=Note</x:v>
      </x:c>
      <x:c r="Q144" s="53" t="e">
        <x:f>HYPERLINK("https://github.com/kapiltrip/hdlBits/blob/main/images/Day%2005/113-fsm2s.png","Image")</x:f>
        <x:v>HYPERLINK is not implemented. linkLocation=https://github.com/kapiltrip/hdlBits/blob/main/images/Day%2005/113-fsm2s.png, friendlyName=Image</x:v>
      </x:c>
      <x:c r="R144" s="53" t="e">
        <x:f>HYPERLINK("https://github.com/kapiltrip/hdlBits/blob/main/solutions/Day%2005/113-fsm2s.sv","Code")</x:f>
        <x:v>HYPERLINK is not implemented. linkLocation=https://github.com/kapiltrip/hdlBits/blob/main/solutions/Day%2005/113-fsm2s.sv, friendlyName=Code</x:v>
      </x:c>
      <x:c r="S144" s="53" t="e">
        <x:f>HYPERLINK("https://hdlbits.01xz.net/wiki/fsm2s","HDLBits")</x:f>
        <x:v>HYPERLINK is not implemented. linkLocation=https://hdlbits.01xz.net/wiki/fsm2s, friendlyName=HDLBits</x:v>
      </x:c>
      <x:c r="T144" s="50" t="str">
        <x:v>Implement the second FSM with a synchronous reset while preserving the transition and output behaviour.</x:v>
      </x:c>
      <x:c r="U144" s="50"/>
    </x:row>
    <x:row r="145" ht="34" customHeight="1">
      <x:c r="A145" s="26" t="n">
        <x:v>123</x:v>
      </x:c>
      <x:c r="B145" s="26" t="n">
        <x:v>114</x:v>
      </x:c>
      <x:c r="C145" s="23" t="str">
        <x:v>Circuits</x:v>
      </x:c>
      <x:c r="D145" s="23" t="str">
        <x:v>Sequential Logic → Finite State Machines</x:v>
      </x:c>
      <x:c r="E145" s="23" t="str">
        <x:v>Simple state transitions 3</x:v>
      </x:c>
      <x:c r="F145" s="23" t="str">
        <x:v>fsm3comb</x:v>
      </x:c>
      <x:c r="G145" s="26" t="str">
        <x:v>Completed</x:v>
      </x:c>
      <x:c r="H145" s="26" t="str">
        <x:v>Day 05</x:v>
      </x:c>
      <x:c r="I145" s="32" t="n">
        <x:v>46200</x:v>
      </x:c>
      <x:c r="J145" s="26" t="str">
        <x:v>2:15:08 AM</x:v>
      </x:c>
      <x:c r="K145" s="26" t="n">
        <x:v>7</x:v>
      </x:c>
      <x:c r="L145" s="26" t="n">
        <x:v>1</x:v>
      </x:c>
      <x:c r="M145" s="26" t="n">
        <x:v>5</x:v>
      </x:c>
      <x:c r="N145" s="26" t="n">
        <x:v>0</x:v>
      </x:c>
      <x:c r="O145" s="35" t="n">
        <x:v>0.14</x:v>
      </x:c>
      <x:c r="P145" s="29" t="e">
        <x:f>HYPERLINK("https://github.com/kapiltrip/hdlBits/blob/main/problems/Day%2005/114-fsm3comb.md","Note")</x:f>
        <x:v>HYPERLINK is not implemented. linkLocation=https://github.com/kapiltrip/hdlBits/blob/main/problems/Day%2005/114-fsm3comb.md, friendlyName=Note</x:v>
      </x:c>
      <x:c r="Q145" s="29" t="e">
        <x:f>HYPERLINK("https://github.com/kapiltrip/hdlBits/blob/main/images/Day%2005/114-fsm3comb.png","Image")</x:f>
        <x:v>HYPERLINK is not implemented. linkLocation=https://github.com/kapiltrip/hdlBits/blob/main/images/Day%2005/114-fsm3comb.png, friendlyName=Image</x:v>
      </x:c>
      <x:c r="R145" s="29" t="e">
        <x:f>HYPERLINK("https://github.com/kapiltrip/hdlBits/blob/main/solutions/Day%2005/114-fsm3comb.sv","Code")</x:f>
        <x:v>HYPERLINK is not implemented. linkLocation=https://github.com/kapiltrip/hdlBits/blob/main/solutions/Day%2005/114-fsm3comb.sv, friendlyName=Code</x:v>
      </x:c>
      <x:c r="S145" s="29" t="e">
        <x:f>HYPERLINK("https://hdlbits.01xz.net/wiki/fsm3comb","HDLBits")</x:f>
        <x:v>HYPERLINK is not implemented. linkLocation=https://hdlbits.01xz.net/wiki/fsm3comb, friendlyName=HDLBits</x:v>
      </x:c>
      <x:c r="T145" s="23" t="str">
        <x:v>Write only the combinational next-state logic for the supplied state-transition diagram.</x:v>
      </x:c>
      <x:c r="U145" s="23"/>
    </x:row>
    <x:row r="146" ht="34" customHeight="1">
      <x:c r="A146" s="49" t="n">
        <x:v>124</x:v>
      </x:c>
      <x:c r="B146" s="49" t="n">
        <x:v>115</x:v>
      </x:c>
      <x:c r="C146" s="50" t="str">
        <x:v>Circuits</x:v>
      </x:c>
      <x:c r="D146" s="50" t="str">
        <x:v>Sequential Logic → Finite State Machines</x:v>
      </x:c>
      <x:c r="E146" s="50" t="str">
        <x:v>Simple one-hot state transitions 3</x:v>
      </x:c>
      <x:c r="F146" s="50" t="str">
        <x:v>fsm3onehot</x:v>
      </x:c>
      <x:c r="G146" s="49" t="str">
        <x:v>Completed</x:v>
      </x:c>
      <x:c r="H146" s="49" t="str">
        <x:v>Day 05</x:v>
      </x:c>
      <x:c r="I146" s="51" t="n">
        <x:v>46200</x:v>
      </x:c>
      <x:c r="J146" s="49" t="str">
        <x:v>4:45:28 PM</x:v>
      </x:c>
      <x:c r="K146" s="49" t="n">
        <x:v>6</x:v>
      </x:c>
      <x:c r="L146" s="49" t="n">
        <x:v>4</x:v>
      </x:c>
      <x:c r="M146" s="49" t="n">
        <x:v>1</x:v>
      </x:c>
      <x:c r="N146" s="49" t="n">
        <x:v>0</x:v>
      </x:c>
      <x:c r="O146" s="52" t="n">
        <x:v>0.17</x:v>
      </x:c>
      <x:c r="P146" s="53" t="e">
        <x:f>HYPERLINK("https://github.com/kapiltrip/hdlBits/blob/main/problems/Day%2005/115-fsm3onehot.md","Note")</x:f>
        <x:v>HYPERLINK is not implemented. linkLocation=https://github.com/kapiltrip/hdlBits/blob/main/problems/Day%2005/115-fsm3onehot.md, friendlyName=Note</x:v>
      </x:c>
      <x:c r="Q146" s="53" t="e">
        <x:f>HYPERLINK("https://github.com/kapiltrip/hdlBits/blob/main/images/Day%2005/115-fsm3onehot.png","Image")</x:f>
        <x:v>HYPERLINK is not implemented. linkLocation=https://github.com/kapiltrip/hdlBits/blob/main/images/Day%2005/115-fsm3onehot.png, friendlyName=Image</x:v>
      </x:c>
      <x:c r="R146" s="53" t="e">
        <x:f>HYPERLINK("https://github.com/kapiltrip/hdlBits/blob/main/solutions/Day%2005/115-fsm3onehot.sv","Code")</x:f>
        <x:v>HYPERLINK is not implemented. linkLocation=https://github.com/kapiltrip/hdlBits/blob/main/solutions/Day%2005/115-fsm3onehot.sv, friendlyName=Code</x:v>
      </x:c>
      <x:c r="S146" s="53" t="e">
        <x:f>HYPERLINK("https://hdlbits.01xz.net/wiki/fsm3onehot","HDLBits")</x:f>
        <x:v>HYPERLINK is not implemented. linkLocation=https://hdlbits.01xz.net/wiki/fsm3onehot, friendlyName=HDLBits</x:v>
      </x:c>
      <x:c r="T146" s="50" t="str">
        <x:v>This problem gives the four-state Moore machine as a transition table, but supplies the current state as a one-hot vector instead of asking for a state register. The implementation therefore derives each bit of `next_state` from the incoming transitions to that state.</x:v>
      </x:c>
      <x:c r="U146" s="50"/>
    </x:row>
    <x:row r="147" ht="34" customHeight="1">
      <x:c r="A147" s="26" t="n">
        <x:v>125</x:v>
      </x:c>
      <x:c r="B147" s="26" t="n">
        <x:v>116</x:v>
      </x:c>
      <x:c r="C147" s="23" t="str">
        <x:v>Circuits</x:v>
      </x:c>
      <x:c r="D147" s="23" t="str">
        <x:v>Sequential Logic → Finite State Machines</x:v>
      </x:c>
      <x:c r="E147" s="23" t="str">
        <x:v>Simple FSM 3 (asynchronous reset)</x:v>
      </x:c>
      <x:c r="F147" s="23" t="str">
        <x:v>fsm3</x:v>
      </x:c>
      <x:c r="G147" s="26" t="str">
        <x:v>Completed</x:v>
      </x:c>
      <x:c r="H147" s="26" t="str">
        <x:v>Day 05</x:v>
      </x:c>
      <x:c r="I147" s="32" t="n">
        <x:v>46200</x:v>
      </x:c>
      <x:c r="J147" s="26" t="str">
        <x:v>5:05:31 PM</x:v>
      </x:c>
      <x:c r="K147" s="26" t="n">
        <x:v>1</x:v>
      </x:c>
      <x:c r="L147" s="26" t="n">
        <x:v>0</x:v>
      </x:c>
      <x:c r="M147" s="26" t="n">
        <x:v>0</x:v>
      </x:c>
      <x:c r="N147" s="26" t="n">
        <x:v>0</x:v>
      </x:c>
      <x:c r="O147" s="35" t="n">
        <x:v>1</x:v>
      </x:c>
      <x:c r="P147" s="29" t="e">
        <x:f>HYPERLINK("https://github.com/kapiltrip/hdlBits/blob/main/problems/Day%2005/116-fsm3.md","Note")</x:f>
        <x:v>HYPERLINK is not implemented. linkLocation=https://github.com/kapiltrip/hdlBits/blob/main/problems/Day%2005/116-fsm3.md, friendlyName=Note</x:v>
      </x:c>
      <x:c r="Q147" s="29" t="e">
        <x:f>HYPERLINK("https://github.com/kapiltrip/hdlBits/blob/main/images/Day%2005/116-fsm3.png","Image")</x:f>
        <x:v>HYPERLINK is not implemented. linkLocation=https://github.com/kapiltrip/hdlBits/blob/main/images/Day%2005/116-fsm3.png, friendlyName=Image</x:v>
      </x:c>
      <x:c r="R147" s="29" t="e">
        <x:f>HYPERLINK("https://github.com/kapiltrip/hdlBits/blob/main/solutions/Day%2005/116-fsm3.sv","Code")</x:f>
        <x:v>HYPERLINK is not implemented. linkLocation=https://github.com/kapiltrip/hdlBits/blob/main/solutions/Day%2005/116-fsm3.sv, friendlyName=Code</x:v>
      </x:c>
      <x:c r="S147" s="29" t="e">
        <x:f>HYPERLINK("https://hdlbits.01xz.net/wiki/fsm3","HDLBits")</x:f>
        <x:v>HYPERLINK is not implemented. linkLocation=https://hdlbits.01xz.net/wiki/fsm3, friendlyName=HDLBits</x:v>
      </x:c>
      <x:c r="T147" s="23" t="str">
        <x:v>This is the complete four-state Moore FSM whose combinational transition table was implemented in the preceding exercises. The design separates three concerns: combinational next-state decoding, the clocked state register, and Moore output decoding.</x:v>
      </x:c>
      <x:c r="U147" s="23"/>
    </x:row>
    <x:row r="148" ht="34" customHeight="1">
      <x:c r="A148" s="49" t="n">
        <x:v>126</x:v>
      </x:c>
      <x:c r="B148" s="49" t="n">
        <x:v>117</x:v>
      </x:c>
      <x:c r="C148" s="50" t="str">
        <x:v>Circuits</x:v>
      </x:c>
      <x:c r="D148" s="50" t="str">
        <x:v>Sequential Logic → Finite State Machines</x:v>
      </x:c>
      <x:c r="E148" s="50" t="str">
        <x:v>Simple FSM 3 (synchronous reset)</x:v>
      </x:c>
      <x:c r="F148" s="50" t="str">
        <x:v>fsm3s</x:v>
      </x:c>
      <x:c r="G148" s="49" t="str">
        <x:v>Completed</x:v>
      </x:c>
      <x:c r="H148" s="49" t="str">
        <x:v>Day 05</x:v>
      </x:c>
      <x:c r="I148" s="51" t="n">
        <x:v>46200</x:v>
      </x:c>
      <x:c r="J148" s="49" t="str">
        <x:v>5:07:35 PM</x:v>
      </x:c>
      <x:c r="K148" s="49" t="n">
        <x:v>2</x:v>
      </x:c>
      <x:c r="L148" s="49" t="n">
        <x:v>0</x:v>
      </x:c>
      <x:c r="M148" s="49" t="n">
        <x:v>1</x:v>
      </x:c>
      <x:c r="N148" s="49" t="n">
        <x:v>0</x:v>
      </x:c>
      <x:c r="O148" s="52" t="n">
        <x:v>0.5</x:v>
      </x:c>
      <x:c r="P148" s="53" t="e">
        <x:f>HYPERLINK("https://github.com/kapiltrip/hdlBits/blob/main/problems/Day%2005/117-fsm3s.md","Note")</x:f>
        <x:v>HYPERLINK is not implemented. linkLocation=https://github.com/kapiltrip/hdlBits/blob/main/problems/Day%2005/117-fsm3s.md, friendlyName=Note</x:v>
      </x:c>
      <x:c r="Q148" s="53" t="e">
        <x:f>HYPERLINK("https://github.com/kapiltrip/hdlBits/blob/main/images/Day%2005/117-fsm3s.png","Image")</x:f>
        <x:v>HYPERLINK is not implemented. linkLocation=https://github.com/kapiltrip/hdlBits/blob/main/images/Day%2005/117-fsm3s.png, friendlyName=Image</x:v>
      </x:c>
      <x:c r="R148" s="53" t="e">
        <x:f>HYPERLINK("https://github.com/kapiltrip/hdlBits/blob/main/solutions/Day%2005/117-fsm3s.sv","Code")</x:f>
        <x:v>HYPERLINK is not implemented. linkLocation=https://github.com/kapiltrip/hdlBits/blob/main/solutions/Day%2005/117-fsm3s.sv, friendlyName=Code</x:v>
      </x:c>
      <x:c r="S148" s="53" t="e">
        <x:f>HYPERLINK("https://hdlbits.01xz.net/wiki/fsm3s","HDLBits")</x:f>
        <x:v>HYPERLINK is not implemented. linkLocation=https://hdlbits.01xz.net/wiki/fsm3s, friendlyName=HDLBits</x:v>
      </x:c>
      <x:c r="T148" s="50" t="str">
        <x:v>This exercise uses the same A/B/C/D transition graph and Moore output as `fsm3`, but changes the reset timing. The transition decoder still computes A: 0→A/1→B, B: 0→C/1→B, C: 0→A/1→D, and D: 0→C/1→B, while `out` is high only when the registered state is D.</x:v>
      </x:c>
      <x:c r="U148" s="50"/>
    </x:row>
    <x:row r="149" ht="34" customHeight="1">
      <x:c r="A149" s="26" t="n">
        <x:v>127</x:v>
      </x:c>
      <x:c r="B149" s="26" t="n">
        <x:v>118</x:v>
      </x:c>
      <x:c r="C149" s="23" t="str">
        <x:v>Circuits</x:v>
      </x:c>
      <x:c r="D149" s="23" t="str">
        <x:v>Sequential Logic → Finite State Machines</x:v>
      </x:c>
      <x:c r="E149" s="23" t="str">
        <x:v>Design a Moore FSM</x:v>
      </x:c>
      <x:c r="F149" s="23" t="str">
        <x:v>exams/ece241_2013_q4</x:v>
      </x:c>
      <x:c r="G149" s="26" t="str">
        <x:v>Completed</x:v>
      </x:c>
      <x:c r="H149" s="26" t="str">
        <x:v>Day 05</x:v>
      </x:c>
      <x:c r="I149" s="32" t="n">
        <x:v>46200</x:v>
      </x:c>
      <x:c r="J149" s="26" t="str">
        <x:v>11:58:25 PM</x:v>
      </x:c>
      <x:c r="K149" s="26" t="n">
        <x:v>4</x:v>
      </x:c>
      <x:c r="L149" s="26" t="n">
        <x:v>1</x:v>
      </x:c>
      <x:c r="M149" s="26" t="n">
        <x:v>2</x:v>
      </x:c>
      <x:c r="N149" s="26" t="n">
        <x:v>0</x:v>
      </x:c>
      <x:c r="O149" s="35" t="n">
        <x:v>0.25</x:v>
      </x:c>
      <x:c r="P149" s="29" t="e">
        <x:f>HYPERLINK("https://github.com/kapiltrip/hdlBits/blob/main/problems/Day%2005/118-exams__ece241_2013_q4.md","Note")</x:f>
        <x:v>HYPERLINK is not implemented. linkLocation=https://github.com/kapiltrip/hdlBits/blob/main/problems/Day%2005/118-exams__ece241_2013_q4.md, friendlyName=Note</x:v>
      </x:c>
      <x:c r="Q149" s="29" t="e">
        <x:f>HYPERLINK("https://github.com/kapiltrip/hdlBits/blob/main/images/Day%2005/118-exams__ece241_2013_q4.png","Image")</x:f>
        <x:v>HYPERLINK is not implemented. linkLocation=https://github.com/kapiltrip/hdlBits/blob/main/images/Day%2005/118-exams__ece241_2013_q4.png, friendlyName=Image</x:v>
      </x:c>
      <x:c r="R149" s="29" t="e">
        <x:f>HYPERLINK("https://github.com/kapiltrip/hdlBits/blob/main/solutions/Day%2005/118-exams__ece241_2013_q4.sv","Code")</x:f>
        <x:v>HYPERLINK is not implemented. linkLocation=https://github.com/kapiltrip/hdlBits/blob/main/solutions/Day%2005/118-exams__ece241_2013_q4.sv, friendlyName=Code</x:v>
      </x:c>
      <x:c r="S149" s="29" t="e">
        <x:f>HYPERLINK("https://hdlbits.01xz.net/wiki/exams/ece241_2013_q4","HDLBits")</x:f>
        <x:v>HYPERLINK is not implemented. linkLocation=https://hdlbits.01xz.net/wiki/exams/ece241_2013_q4, friendlyName=HDLBits</x:v>
      </x:c>
      <x:c r="T149" s="23" t="str">
        <x:v>This problem is more than a water-level decoder: the outputs depend on both the current sensor pattern and whether the water level was rising or falling. That history requirement makes it a Moore FSM rather than pure combinational logic.</x:v>
      </x:c>
      <x:c r="U149" s="23"/>
    </x:row>
    <x:row r="150" ht="34" customHeight="1">
      <x:c r="A150" s="49" t="n">
        <x:v>128</x:v>
      </x:c>
      <x:c r="B150" s="49" t="n">
        <x:v>119</x:v>
      </x:c>
      <x:c r="C150" s="50" t="str">
        <x:v>Circuits</x:v>
      </x:c>
      <x:c r="D150" s="50" t="str">
        <x:v>Sequential Logic → Finite State Machines</x:v>
      </x:c>
      <x:c r="E150" s="50" t="str">
        <x:v>Lemmings 1</x:v>
      </x:c>
      <x:c r="F150" s="50" t="str">
        <x:v>lemmings1</x:v>
      </x:c>
      <x:c r="G150" s="49" t="str">
        <x:v>Completed</x:v>
      </x:c>
      <x:c r="H150" s="49" t="str">
        <x:v>Day 05</x:v>
      </x:c>
      <x:c r="I150" s="51" t="n">
        <x:v>46200</x:v>
      </x:c>
      <x:c r="J150" s="49" t="str">
        <x:v>6:32:59 PM</x:v>
      </x:c>
      <x:c r="K150" s="49" t="n">
        <x:v>2</x:v>
      </x:c>
      <x:c r="L150" s="49" t="n">
        <x:v>0</x:v>
      </x:c>
      <x:c r="M150" s="49" t="n">
        <x:v>1</x:v>
      </x:c>
      <x:c r="N150" s="49" t="n">
        <x:v>0</x:v>
      </x:c>
      <x:c r="O150" s="52" t="n">
        <x:v>0.5</x:v>
      </x:c>
      <x:c r="P150" s="53" t="e">
        <x:f>HYPERLINK("https://github.com/kapiltrip/hdlBits/blob/main/problems/Day%2005/119-lemmings1.md","Note")</x:f>
        <x:v>HYPERLINK is not implemented. linkLocation=https://github.com/kapiltrip/hdlBits/blob/main/problems/Day%2005/119-lemmings1.md, friendlyName=Note</x:v>
      </x:c>
      <x:c r="Q150" s="53" t="e">
        <x:f>HYPERLINK("https://github.com/kapiltrip/hdlBits/blob/main/images/Day%2005/119-lemmings1.png","Image")</x:f>
        <x:v>HYPERLINK is not implemented. linkLocation=https://github.com/kapiltrip/hdlBits/blob/main/images/Day%2005/119-lemmings1.png, friendlyName=Image</x:v>
      </x:c>
      <x:c r="R150" s="53" t="e">
        <x:f>HYPERLINK("https://github.com/kapiltrip/hdlBits/blob/main/solutions/Day%2005/119-lemmings1.sv","Code")</x:f>
        <x:v>HYPERLINK is not implemented. linkLocation=https://github.com/kapiltrip/hdlBits/blob/main/solutions/Day%2005/119-lemmings1.sv, friendlyName=Code</x:v>
      </x:c>
      <x:c r="S150" s="53" t="e">
        <x:f>HYPERLINK("https://hdlbits.01xz.net/wiki/lemmings1","HDLBits")</x:f>
        <x:v>HYPERLINK is not implemented. linkLocation=https://hdlbits.01xz.net/wiki/lemmings1, friendlyName=HDLBits</x:v>
      </x:c>
      <x:c r="T150" s="50" t="str">
        <x:v>The Lemming has only two Moore states: walking left and walking right. Direction changes occur only when an obstacle is encountered on the side toward which it is currently walking.</x:v>
      </x:c>
      <x:c r="U150" s="50"/>
    </x:row>
    <x:row r="151" ht="34" customHeight="1">
      <x:c r="A151" s="26" t="n">
        <x:v>129</x:v>
      </x:c>
      <x:c r="B151" s="26" t="n">
        <x:v>120</x:v>
      </x:c>
      <x:c r="C151" s="23" t="str">
        <x:v>Circuits</x:v>
      </x:c>
      <x:c r="D151" s="23" t="str">
        <x:v>Sequential Logic → Finite State Machines</x:v>
      </x:c>
      <x:c r="E151" s="23" t="str">
        <x:v>Lemmings 2</x:v>
      </x:c>
      <x:c r="F151" s="23" t="str">
        <x:v>lemmings2</x:v>
      </x:c>
      <x:c r="G151" s="26" t="str">
        <x:v>Review</x:v>
      </x:c>
      <x:c r="H151" s="26"/>
      <x:c r="I151" s="32"/>
      <x:c r="J151" s="26"/>
      <x:c r="K151" s="26" t="n">
        <x:v>7</x:v>
      </x:c>
      <x:c r="L151" s="26" t="n">
        <x:v>5</x:v>
      </x:c>
      <x:c r="M151" s="26" t="n">
        <x:v>2</x:v>
      </x:c>
      <x:c r="N151" s="26" t="n">
        <x:v>0</x:v>
      </x:c>
      <x:c r="O151" s="35" t="n">
        <x:v>0</x:v>
      </x:c>
      <x:c r="P151" s="29" t="e">
        <x:f>HYPERLINK("https://github.com/kapiltrip/hdlBits/blob/main/Review.md","Review")</x:f>
        <x:v>HYPERLINK is not implemented. linkLocation=https://github.com/kapiltrip/hdlBits/blob/main/Review.md, friendlyName=Review</x:v>
      </x:c>
      <x:c r="Q151" s="29" t="e">
        <x:f>HYPERLINK("https://github.com/kapiltrip/hdlBits/blob/main/images/Review/120-lemmings2.png","Image")</x:f>
        <x:v>HYPERLINK is not implemented. linkLocation=https://github.com/kapiltrip/hdlBits/blob/main/images/Review/120-lemmings2.png, friendlyName=Image</x:v>
      </x:c>
      <x:c r="R151" s="29"/>
      <x:c r="S151" s="29" t="e">
        <x:f>HYPERLINK("https://hdlbits.01xz.net/wiki/lemmings2","HDLBits")</x:f>
        <x:v>HYPERLINK is not implemented. linkLocation=https://hdlbits.01xz.net/wiki/lemmings2, friendlyName=HDLBits</x:v>
      </x:c>
      <x:c r="T151" s="23" t="str">
        <x:v>Attempted but not yet solved. Review the latest captured draft, trace state transitions, and resubmit after correcting the falling-state logic.</x:v>
      </x:c>
      <x:c r="U151" s="23"/>
    </x:row>
    <x:row r="152" ht="34" customHeight="1">
      <x:c r="A152" s="49" t="n">
        <x:v>130</x:v>
      </x:c>
      <x:c r="B152" s="49"/>
      <x:c r="C152" s="50" t="str">
        <x:v>Circuits</x:v>
      </x:c>
      <x:c r="D152" s="50" t="str">
        <x:v>Sequential Logic → Finite State Machines</x:v>
      </x:c>
      <x:c r="E152" s="50" t="str">
        <x:v>Lemmings 3</x:v>
      </x:c>
      <x:c r="F152" s="50" t="str">
        <x:v>lemmings3</x:v>
      </x:c>
      <x:c r="G152" s="49" t="str">
        <x:v>To Do</x:v>
      </x:c>
      <x:c r="H152" s="49"/>
      <x:c r="I152" s="51"/>
      <x:c r="J152" s="49"/>
      <x:c r="K152" s="49" t="n">
        <x:v>0</x:v>
      </x:c>
      <x:c r="L152" s="49" t="n">
        <x:v>0</x:v>
      </x:c>
      <x:c r="M152" s="49" t="n">
        <x:v>0</x:v>
      </x:c>
      <x:c r="N152" s="49" t="n">
        <x:v>0</x:v>
      </x:c>
      <x:c r="O152" s="52"/>
      <x:c r="P152" s="53"/>
      <x:c r="Q152" s="53"/>
      <x:c r="R152" s="53"/>
      <x:c r="S152" s="53" t="e">
        <x:f>HYPERLINK("https://hdlbits.01xz.net/wiki/lemmings3","HDLBits")</x:f>
        <x:v>HYPERLINK is not implemented. linkLocation=https://hdlbits.01xz.net/wiki/lemmings3, friendlyName=HDLBits</x:v>
      </x:c>
      <x:c r="T152" s="50" t="str">
        <x:v>Not attempted yet. Read the HDLBits question, design the circuit or testbench, and obtain a successful submission.</x:v>
      </x:c>
      <x:c r="U152" s="50"/>
    </x:row>
    <x:row r="153" ht="34" customHeight="1">
      <x:c r="A153" s="26" t="n">
        <x:v>131</x:v>
      </x:c>
      <x:c r="B153" s="26"/>
      <x:c r="C153" s="23" t="str">
        <x:v>Circuits</x:v>
      </x:c>
      <x:c r="D153" s="23" t="str">
        <x:v>Sequential Logic → Finite State Machines</x:v>
      </x:c>
      <x:c r="E153" s="23" t="str">
        <x:v>Lemmings 4</x:v>
      </x:c>
      <x:c r="F153" s="23" t="str">
        <x:v>lemmings4</x:v>
      </x:c>
      <x:c r="G153" s="26" t="str">
        <x:v>To Do</x:v>
      </x:c>
      <x:c r="H153" s="26"/>
      <x:c r="I153" s="32"/>
      <x:c r="J153" s="26"/>
      <x:c r="K153" s="26" t="n">
        <x:v>0</x:v>
      </x:c>
      <x:c r="L153" s="26" t="n">
        <x:v>0</x:v>
      </x:c>
      <x:c r="M153" s="26" t="n">
        <x:v>0</x:v>
      </x:c>
      <x:c r="N153" s="26" t="n">
        <x:v>0</x:v>
      </x:c>
      <x:c r="O153" s="35"/>
      <x:c r="P153" s="29"/>
      <x:c r="Q153" s="29"/>
      <x:c r="R153" s="29"/>
      <x:c r="S153" s="29" t="e">
        <x:f>HYPERLINK("https://hdlbits.01xz.net/wiki/lemmings4","HDLBits")</x:f>
        <x:v>HYPERLINK is not implemented. linkLocation=https://hdlbits.01xz.net/wiki/lemmings4, friendlyName=HDLBits</x:v>
      </x:c>
      <x:c r="T153" s="23" t="str">
        <x:v>Not attempted yet. Read the HDLBits question, design the circuit or testbench, and obtain a successful submission.</x:v>
      </x:c>
      <x:c r="U153" s="23"/>
    </x:row>
    <x:row r="154" ht="34" customHeight="1">
      <x:c r="A154" s="49" t="n">
        <x:v>132</x:v>
      </x:c>
      <x:c r="B154" s="49"/>
      <x:c r="C154" s="50" t="str">
        <x:v>Circuits</x:v>
      </x:c>
      <x:c r="D154" s="50" t="str">
        <x:v>Sequential Logic → Finite State Machines</x:v>
      </x:c>
      <x:c r="E154" s="50" t="str">
        <x:v>One-hot FSM</x:v>
      </x:c>
      <x:c r="F154" s="50" t="str">
        <x:v>fsm_onehot</x:v>
      </x:c>
      <x:c r="G154" s="49" t="str">
        <x:v>To Do</x:v>
      </x:c>
      <x:c r="H154" s="49"/>
      <x:c r="I154" s="51"/>
      <x:c r="J154" s="49"/>
      <x:c r="K154" s="49" t="n">
        <x:v>0</x:v>
      </x:c>
      <x:c r="L154" s="49" t="n">
        <x:v>0</x:v>
      </x:c>
      <x:c r="M154" s="49" t="n">
        <x:v>0</x:v>
      </x:c>
      <x:c r="N154" s="49" t="n">
        <x:v>0</x:v>
      </x:c>
      <x:c r="O154" s="52"/>
      <x:c r="P154" s="53"/>
      <x:c r="Q154" s="53"/>
      <x:c r="R154" s="53"/>
      <x:c r="S154" s="53" t="e">
        <x:f>HYPERLINK("https://hdlbits.01xz.net/wiki/fsm_onehot","HDLBits")</x:f>
        <x:v>HYPERLINK is not implemented. linkLocation=https://hdlbits.01xz.net/wiki/fsm_onehot, friendlyName=HDLBits</x:v>
      </x:c>
      <x:c r="T154" s="50" t="str">
        <x:v>Not attempted yet. Read the HDLBits question, design the circuit or testbench, and obtain a successful submission.</x:v>
      </x:c>
      <x:c r="U154" s="50"/>
    </x:row>
    <x:row r="155" ht="34" customHeight="1">
      <x:c r="A155" s="26" t="n">
        <x:v>133</x:v>
      </x:c>
      <x:c r="B155" s="26"/>
      <x:c r="C155" s="23" t="str">
        <x:v>Circuits</x:v>
      </x:c>
      <x:c r="D155" s="23" t="str">
        <x:v>Sequential Logic → Finite State Machines</x:v>
      </x:c>
      <x:c r="E155" s="23" t="str">
        <x:v>PS/2 packet parser</x:v>
      </x:c>
      <x:c r="F155" s="23" t="str">
        <x:v>fsm_ps2</x:v>
      </x:c>
      <x:c r="G155" s="26" t="str">
        <x:v>To Do</x:v>
      </x:c>
      <x:c r="H155" s="26"/>
      <x:c r="I155" s="32"/>
      <x:c r="J155" s="26"/>
      <x:c r="K155" s="26" t="n">
        <x:v>0</x:v>
      </x:c>
      <x:c r="L155" s="26" t="n">
        <x:v>0</x:v>
      </x:c>
      <x:c r="M155" s="26" t="n">
        <x:v>0</x:v>
      </x:c>
      <x:c r="N155" s="26" t="n">
        <x:v>0</x:v>
      </x:c>
      <x:c r="O155" s="35"/>
      <x:c r="P155" s="29"/>
      <x:c r="Q155" s="29"/>
      <x:c r="R155" s="29"/>
      <x:c r="S155" s="29" t="e">
        <x:f>HYPERLINK("https://hdlbits.01xz.net/wiki/fsm_ps2","HDLBits")</x:f>
        <x:v>HYPERLINK is not implemented. linkLocation=https://hdlbits.01xz.net/wiki/fsm_ps2, friendlyName=HDLBits</x:v>
      </x:c>
      <x:c r="T155" s="23" t="str">
        <x:v>Not attempted yet. Read the HDLBits question, design the circuit or testbench, and obtain a successful submission.</x:v>
      </x:c>
      <x:c r="U155" s="23"/>
    </x:row>
    <x:row r="156" ht="34" customHeight="1">
      <x:c r="A156" s="49" t="n">
        <x:v>134</x:v>
      </x:c>
      <x:c r="B156" s="49"/>
      <x:c r="C156" s="50" t="str">
        <x:v>Circuits</x:v>
      </x:c>
      <x:c r="D156" s="50" t="str">
        <x:v>Sequential Logic → Finite State Machines</x:v>
      </x:c>
      <x:c r="E156" s="50" t="str">
        <x:v>PS/2 packet parser and datapath</x:v>
      </x:c>
      <x:c r="F156" s="50" t="str">
        <x:v>fsm_ps2data</x:v>
      </x:c>
      <x:c r="G156" s="49" t="str">
        <x:v>To Do</x:v>
      </x:c>
      <x:c r="H156" s="49"/>
      <x:c r="I156" s="51"/>
      <x:c r="J156" s="49"/>
      <x:c r="K156" s="49" t="n">
        <x:v>0</x:v>
      </x:c>
      <x:c r="L156" s="49" t="n">
        <x:v>0</x:v>
      </x:c>
      <x:c r="M156" s="49" t="n">
        <x:v>0</x:v>
      </x:c>
      <x:c r="N156" s="49" t="n">
        <x:v>0</x:v>
      </x:c>
      <x:c r="O156" s="52"/>
      <x:c r="P156" s="53"/>
      <x:c r="Q156" s="53"/>
      <x:c r="R156" s="53"/>
      <x:c r="S156" s="53" t="e">
        <x:f>HYPERLINK("https://hdlbits.01xz.net/wiki/fsm_ps2data","HDLBits")</x:f>
        <x:v>HYPERLINK is not implemented. linkLocation=https://hdlbits.01xz.net/wiki/fsm_ps2data, friendlyName=HDLBits</x:v>
      </x:c>
      <x:c r="T156" s="50" t="str">
        <x:v>Not attempted yet. Read the HDLBits question, design the circuit or testbench, and obtain a successful submission.</x:v>
      </x:c>
      <x:c r="U156" s="50"/>
    </x:row>
    <x:row r="157" ht="34" customHeight="1">
      <x:c r="A157" s="26" t="n">
        <x:v>135</x:v>
      </x:c>
      <x:c r="B157" s="26"/>
      <x:c r="C157" s="23" t="str">
        <x:v>Circuits</x:v>
      </x:c>
      <x:c r="D157" s="23" t="str">
        <x:v>Sequential Logic → Finite State Machines</x:v>
      </x:c>
      <x:c r="E157" s="23" t="str">
        <x:v>Serial receiver</x:v>
      </x:c>
      <x:c r="F157" s="23" t="str">
        <x:v>fsm_serial</x:v>
      </x:c>
      <x:c r="G157" s="26" t="str">
        <x:v>To Do</x:v>
      </x:c>
      <x:c r="H157" s="26"/>
      <x:c r="I157" s="32"/>
      <x:c r="J157" s="26"/>
      <x:c r="K157" s="26" t="n">
        <x:v>0</x:v>
      </x:c>
      <x:c r="L157" s="26" t="n">
        <x:v>0</x:v>
      </x:c>
      <x:c r="M157" s="26" t="n">
        <x:v>0</x:v>
      </x:c>
      <x:c r="N157" s="26" t="n">
        <x:v>0</x:v>
      </x:c>
      <x:c r="O157" s="35"/>
      <x:c r="P157" s="29"/>
      <x:c r="Q157" s="29"/>
      <x:c r="R157" s="29"/>
      <x:c r="S157" s="29" t="e">
        <x:f>HYPERLINK("https://hdlbits.01xz.net/wiki/fsm_serial","HDLBits")</x:f>
        <x:v>HYPERLINK is not implemented. linkLocation=https://hdlbits.01xz.net/wiki/fsm_serial, friendlyName=HDLBits</x:v>
      </x:c>
      <x:c r="T157" s="23" t="str">
        <x:v>Not attempted yet. Read the HDLBits question, design the circuit or testbench, and obtain a successful submission.</x:v>
      </x:c>
      <x:c r="U157" s="23"/>
    </x:row>
    <x:row r="158" ht="34" customHeight="1">
      <x:c r="A158" s="49" t="n">
        <x:v>136</x:v>
      </x:c>
      <x:c r="B158" s="49"/>
      <x:c r="C158" s="50" t="str">
        <x:v>Circuits</x:v>
      </x:c>
      <x:c r="D158" s="50" t="str">
        <x:v>Sequential Logic → Finite State Machines</x:v>
      </x:c>
      <x:c r="E158" s="50" t="str">
        <x:v>Serial receiver and datapath</x:v>
      </x:c>
      <x:c r="F158" s="50" t="str">
        <x:v>fsm_serialdata</x:v>
      </x:c>
      <x:c r="G158" s="49" t="str">
        <x:v>To Do</x:v>
      </x:c>
      <x:c r="H158" s="49"/>
      <x:c r="I158" s="51"/>
      <x:c r="J158" s="49"/>
      <x:c r="K158" s="49" t="n">
        <x:v>0</x:v>
      </x:c>
      <x:c r="L158" s="49" t="n">
        <x:v>0</x:v>
      </x:c>
      <x:c r="M158" s="49" t="n">
        <x:v>0</x:v>
      </x:c>
      <x:c r="N158" s="49" t="n">
        <x:v>0</x:v>
      </x:c>
      <x:c r="O158" s="52"/>
      <x:c r="P158" s="53"/>
      <x:c r="Q158" s="53"/>
      <x:c r="R158" s="53"/>
      <x:c r="S158" s="53" t="e">
        <x:f>HYPERLINK("https://hdlbits.01xz.net/wiki/fsm_serialdata","HDLBits")</x:f>
        <x:v>HYPERLINK is not implemented. linkLocation=https://hdlbits.01xz.net/wiki/fsm_serialdata, friendlyName=HDLBits</x:v>
      </x:c>
      <x:c r="T158" s="50" t="str">
        <x:v>Not attempted yet. Read the HDLBits question, design the circuit or testbench, and obtain a successful submission.</x:v>
      </x:c>
      <x:c r="U158" s="50"/>
    </x:row>
    <x:row r="159" ht="34" customHeight="1">
      <x:c r="A159" s="26" t="n">
        <x:v>137</x:v>
      </x:c>
      <x:c r="B159" s="26"/>
      <x:c r="C159" s="23" t="str">
        <x:v>Circuits</x:v>
      </x:c>
      <x:c r="D159" s="23" t="str">
        <x:v>Sequential Logic → Finite State Machines</x:v>
      </x:c>
      <x:c r="E159" s="23" t="str">
        <x:v>Serial receiver with parity checking</x:v>
      </x:c>
      <x:c r="F159" s="23" t="str">
        <x:v>fsm_serialdp</x:v>
      </x:c>
      <x:c r="G159" s="26" t="str">
        <x:v>To Do</x:v>
      </x:c>
      <x:c r="H159" s="26"/>
      <x:c r="I159" s="32"/>
      <x:c r="J159" s="26"/>
      <x:c r="K159" s="26" t="n">
        <x:v>0</x:v>
      </x:c>
      <x:c r="L159" s="26" t="n">
        <x:v>0</x:v>
      </x:c>
      <x:c r="M159" s="26" t="n">
        <x:v>0</x:v>
      </x:c>
      <x:c r="N159" s="26" t="n">
        <x:v>0</x:v>
      </x:c>
      <x:c r="O159" s="35"/>
      <x:c r="P159" s="29"/>
      <x:c r="Q159" s="29"/>
      <x:c r="R159" s="29"/>
      <x:c r="S159" s="29" t="e">
        <x:f>HYPERLINK("https://hdlbits.01xz.net/wiki/fsm_serialdp","HDLBits")</x:f>
        <x:v>HYPERLINK is not implemented. linkLocation=https://hdlbits.01xz.net/wiki/fsm_serialdp, friendlyName=HDLBits</x:v>
      </x:c>
      <x:c r="T159" s="23" t="str">
        <x:v>Not attempted yet. Read the HDLBits question, design the circuit or testbench, and obtain a successful submission.</x:v>
      </x:c>
      <x:c r="U159" s="23"/>
    </x:row>
    <x:row r="160" ht="34" customHeight="1">
      <x:c r="A160" s="49" t="n">
        <x:v>138</x:v>
      </x:c>
      <x:c r="B160" s="49"/>
      <x:c r="C160" s="50" t="str">
        <x:v>Circuits</x:v>
      </x:c>
      <x:c r="D160" s="50" t="str">
        <x:v>Sequential Logic → Finite State Machines</x:v>
      </x:c>
      <x:c r="E160" s="50" t="str">
        <x:v>Sequence recognition</x:v>
      </x:c>
      <x:c r="F160" s="50" t="str">
        <x:v>fsm_hdlc</x:v>
      </x:c>
      <x:c r="G160" s="49" t="str">
        <x:v>To Do</x:v>
      </x:c>
      <x:c r="H160" s="49"/>
      <x:c r="I160" s="51"/>
      <x:c r="J160" s="49"/>
      <x:c r="K160" s="49" t="n">
        <x:v>0</x:v>
      </x:c>
      <x:c r="L160" s="49" t="n">
        <x:v>0</x:v>
      </x:c>
      <x:c r="M160" s="49" t="n">
        <x:v>0</x:v>
      </x:c>
      <x:c r="N160" s="49" t="n">
        <x:v>0</x:v>
      </x:c>
      <x:c r="O160" s="52"/>
      <x:c r="P160" s="53"/>
      <x:c r="Q160" s="53"/>
      <x:c r="R160" s="53"/>
      <x:c r="S160" s="53" t="e">
        <x:f>HYPERLINK("https://hdlbits.01xz.net/wiki/fsm_hdlc","HDLBits")</x:f>
        <x:v>HYPERLINK is not implemented. linkLocation=https://hdlbits.01xz.net/wiki/fsm_hdlc, friendlyName=HDLBits</x:v>
      </x:c>
      <x:c r="T160" s="50" t="str">
        <x:v>Not attempted yet. Read the HDLBits question, design the circuit or testbench, and obtain a successful submission.</x:v>
      </x:c>
      <x:c r="U160" s="50"/>
    </x:row>
    <x:row r="161" ht="34" customHeight="1">
      <x:c r="A161" s="26" t="n">
        <x:v>139</x:v>
      </x:c>
      <x:c r="B161" s="26" t="n">
        <x:v>142</x:v>
      </x:c>
      <x:c r="C161" s="23" t="str">
        <x:v>Circuits</x:v>
      </x:c>
      <x:c r="D161" s="23" t="str">
        <x:v>Sequential Logic → Finite State Machines</x:v>
      </x:c>
      <x:c r="E161" s="23" t="str">
        <x:v>Q8: Design a Mealy FSM</x:v>
      </x:c>
      <x:c r="F161" s="23" t="str">
        <x:v>exams/ece241_2013_q8</x:v>
      </x:c>
      <x:c r="G161" s="26" t="str">
        <x:v>Completed</x:v>
      </x:c>
      <x:c r="H161" s="26" t="str">
        <x:v>Day 07</x:v>
      </x:c>
      <x:c r="I161" s="32" t="n">
        <x:v>46202</x:v>
      </x:c>
      <x:c r="J161" s="26" t="str">
        <x:v>12:02:40 AM</x:v>
      </x:c>
      <x:c r="K161" s="26" t="n">
        <x:v>12</x:v>
      </x:c>
      <x:c r="L161" s="26" t="n">
        <x:v>6</x:v>
      </x:c>
      <x:c r="M161" s="26" t="n">
        <x:v>5</x:v>
      </x:c>
      <x:c r="N161" s="26" t="n">
        <x:v>0</x:v>
      </x:c>
      <x:c r="O161" s="35" t="n">
        <x:v>0.08</x:v>
      </x:c>
      <x:c r="P161" s="29" t="e">
        <x:f>HYPERLINK("https://github.com/kapiltrip/hdlBits/blob/main/problems/Day%2007/142-exams__ece241_2013_q8.md","Note")</x:f>
        <x:v>HYPERLINK is not implemented. linkLocation=https://github.com/kapiltrip/hdlBits/blob/main/problems/Day%2007/142-exams__ece241_2013_q8.md, friendlyName=Note</x:v>
      </x:c>
      <x:c r="Q161" s="29" t="e">
        <x:f>HYPERLINK("https://github.com/kapiltrip/hdlBits/blob/main/images/Day%2007/142-exams__ece241_2013_q8.png","Image")</x:f>
        <x:v>HYPERLINK is not implemented. linkLocation=https://github.com/kapiltrip/hdlBits/blob/main/images/Day%2007/142-exams__ece241_2013_q8.png, friendlyName=Image</x:v>
      </x:c>
      <x:c r="R161" s="29" t="e">
        <x:f>HYPERLINK("https://github.com/kapiltrip/hdlBits/blob/main/solutions/Day%2007/142-exams__ece241_2013_q8.sv","Code")</x:f>
        <x:v>HYPERLINK is not implemented. linkLocation=https://github.com/kapiltrip/hdlBits/blob/main/solutions/Day%2007/142-exams__ece241_2013_q8.sv, friendlyName=Code</x:v>
      </x:c>
      <x:c r="S161" s="29" t="e">
        <x:f>HYPERLINK("https://hdlbits.01xz.net/wiki/exams/ece241_2013_q8","HDLBits")</x:f>
        <x:v>HYPERLINK is not implemented. linkLocation=https://hdlbits.01xz.net/wiki/exams/ece241_2013_q8, friendlyName=HDLBits</x:v>
      </x:c>
      <x:c r="T161" s="23" t="str">
        <x:v>Three-state Mealy detector for overlapping 101 with active-low asynchronous reset. State S10 plus input 1 asserts z in the detection cycle.</x:v>
      </x:c>
      <x:c r="U161" s="23"/>
    </x:row>
    <x:row r="162" ht="34" customHeight="1">
      <x:c r="A162" s="49" t="n">
        <x:v>140</x:v>
      </x:c>
      <x:c r="B162" s="49"/>
      <x:c r="C162" s="50" t="str">
        <x:v>Circuits</x:v>
      </x:c>
      <x:c r="D162" s="50" t="str">
        <x:v>Sequential Logic → Finite State Machines</x:v>
      </x:c>
      <x:c r="E162" s="50" t="str">
        <x:v>Q5a: Serial two's complementer (Moore FSM)</x:v>
      </x:c>
      <x:c r="F162" s="50" t="str">
        <x:v>exams/ece241_2014_q5a</x:v>
      </x:c>
      <x:c r="G162" s="49" t="str">
        <x:v>To Do</x:v>
      </x:c>
      <x:c r="H162" s="49"/>
      <x:c r="I162" s="51"/>
      <x:c r="J162" s="49"/>
      <x:c r="K162" s="49" t="n">
        <x:v>0</x:v>
      </x:c>
      <x:c r="L162" s="49" t="n">
        <x:v>0</x:v>
      </x:c>
      <x:c r="M162" s="49" t="n">
        <x:v>0</x:v>
      </x:c>
      <x:c r="N162" s="49" t="n">
        <x:v>0</x:v>
      </x:c>
      <x:c r="O162" s="52"/>
      <x:c r="P162" s="53"/>
      <x:c r="Q162" s="53"/>
      <x:c r="R162" s="53"/>
      <x:c r="S162" s="53" t="e">
        <x:f>HYPERLINK("https://hdlbits.01xz.net/wiki/exams/ece241_2014_q5a","HDLBits")</x:f>
        <x:v>HYPERLINK is not implemented. linkLocation=https://hdlbits.01xz.net/wiki/exams/ece241_2014_q5a, friendlyName=HDLBits</x:v>
      </x:c>
      <x:c r="T162" s="50" t="str">
        <x:v>Not attempted yet. Read the HDLBits question, design the circuit or testbench, and obtain a successful submission.</x:v>
      </x:c>
      <x:c r="U162" s="50"/>
    </x:row>
    <x:row r="163" ht="34" customHeight="1">
      <x:c r="A163" s="26" t="n">
        <x:v>141</x:v>
      </x:c>
      <x:c r="B163" s="26"/>
      <x:c r="C163" s="23" t="str">
        <x:v>Circuits</x:v>
      </x:c>
      <x:c r="D163" s="23" t="str">
        <x:v>Sequential Logic → Finite State Machines</x:v>
      </x:c>
      <x:c r="E163" s="23" t="str">
        <x:v>Q5b: Serial two's complementer (Mealy FSM)</x:v>
      </x:c>
      <x:c r="F163" s="23" t="str">
        <x:v>exams/ece241_2014_q5b</x:v>
      </x:c>
      <x:c r="G163" s="26" t="str">
        <x:v>To Do</x:v>
      </x:c>
      <x:c r="H163" s="26"/>
      <x:c r="I163" s="32"/>
      <x:c r="J163" s="26"/>
      <x:c r="K163" s="26" t="n">
        <x:v>0</x:v>
      </x:c>
      <x:c r="L163" s="26" t="n">
        <x:v>0</x:v>
      </x:c>
      <x:c r="M163" s="26" t="n">
        <x:v>0</x:v>
      </x:c>
      <x:c r="N163" s="26" t="n">
        <x:v>0</x:v>
      </x:c>
      <x:c r="O163" s="35"/>
      <x:c r="P163" s="29"/>
      <x:c r="Q163" s="29"/>
      <x:c r="R163" s="29"/>
      <x:c r="S163" s="29" t="e">
        <x:f>HYPERLINK("https://hdlbits.01xz.net/wiki/exams/ece241_2014_q5b","HDLBits")</x:f>
        <x:v>HYPERLINK is not implemented. linkLocation=https://hdlbits.01xz.net/wiki/exams/ece241_2014_q5b, friendlyName=HDLBits</x:v>
      </x:c>
      <x:c r="T163" s="23" t="str">
        <x:v>Not attempted yet. Read the HDLBits question, design the circuit or testbench, and obtain a successful submission.</x:v>
      </x:c>
      <x:c r="U163" s="23"/>
    </x:row>
    <x:row r="164" ht="34" customHeight="1">
      <x:c r="A164" s="49" t="n">
        <x:v>142</x:v>
      </x:c>
      <x:c r="B164" s="49"/>
      <x:c r="C164" s="50" t="str">
        <x:v>Circuits</x:v>
      </x:c>
      <x:c r="D164" s="50" t="str">
        <x:v>Sequential Logic → Finite State Machines</x:v>
      </x:c>
      <x:c r="E164" s="50" t="str">
        <x:v>Q3a: FSM</x:v>
      </x:c>
      <x:c r="F164" s="50" t="str">
        <x:v>exams/2014_q3fsm</x:v>
      </x:c>
      <x:c r="G164" s="49" t="str">
        <x:v>To Do</x:v>
      </x:c>
      <x:c r="H164" s="49"/>
      <x:c r="I164" s="51"/>
      <x:c r="J164" s="49"/>
      <x:c r="K164" s="49" t="n">
        <x:v>0</x:v>
      </x:c>
      <x:c r="L164" s="49" t="n">
        <x:v>0</x:v>
      </x:c>
      <x:c r="M164" s="49" t="n">
        <x:v>0</x:v>
      </x:c>
      <x:c r="N164" s="49" t="n">
        <x:v>0</x:v>
      </x:c>
      <x:c r="O164" s="52"/>
      <x:c r="P164" s="53"/>
      <x:c r="Q164" s="53"/>
      <x:c r="R164" s="53"/>
      <x:c r="S164" s="53" t="e">
        <x:f>HYPERLINK("https://hdlbits.01xz.net/wiki/exams/2014_q3fsm","HDLBits")</x:f>
        <x:v>HYPERLINK is not implemented. linkLocation=https://hdlbits.01xz.net/wiki/exams/2014_q3fsm, friendlyName=HDLBits</x:v>
      </x:c>
      <x:c r="T164" s="50" t="str">
        <x:v>Not attempted yet. Read the HDLBits question, design the circuit or testbench, and obtain a successful submission.</x:v>
      </x:c>
      <x:c r="U164" s="50"/>
    </x:row>
    <x:row r="165" ht="34" customHeight="1">
      <x:c r="A165" s="26" t="n">
        <x:v>143</x:v>
      </x:c>
      <x:c r="B165" s="26"/>
      <x:c r="C165" s="23" t="str">
        <x:v>Circuits</x:v>
      </x:c>
      <x:c r="D165" s="23" t="str">
        <x:v>Sequential Logic → Finite State Machines</x:v>
      </x:c>
      <x:c r="E165" s="23" t="str">
        <x:v>Q3b: FSM</x:v>
      </x:c>
      <x:c r="F165" s="23" t="str">
        <x:v>exams/2014_q3bfsm</x:v>
      </x:c>
      <x:c r="G165" s="26" t="str">
        <x:v>To Do</x:v>
      </x:c>
      <x:c r="H165" s="26"/>
      <x:c r="I165" s="32"/>
      <x:c r="J165" s="26"/>
      <x:c r="K165" s="26" t="n">
        <x:v>0</x:v>
      </x:c>
      <x:c r="L165" s="26" t="n">
        <x:v>0</x:v>
      </x:c>
      <x:c r="M165" s="26" t="n">
        <x:v>0</x:v>
      </x:c>
      <x:c r="N165" s="26" t="n">
        <x:v>0</x:v>
      </x:c>
      <x:c r="O165" s="35"/>
      <x:c r="P165" s="29"/>
      <x:c r="Q165" s="29"/>
      <x:c r="R165" s="29"/>
      <x:c r="S165" s="29" t="e">
        <x:f>HYPERLINK("https://hdlbits.01xz.net/wiki/exams/2014_q3bfsm","HDLBits")</x:f>
        <x:v>HYPERLINK is not implemented. linkLocation=https://hdlbits.01xz.net/wiki/exams/2014_q3bfsm, friendlyName=HDLBits</x:v>
      </x:c>
      <x:c r="T165" s="23" t="str">
        <x:v>Not attempted yet. Read the HDLBits question, design the circuit or testbench, and obtain a successful submission.</x:v>
      </x:c>
      <x:c r="U165" s="23"/>
    </x:row>
    <x:row r="166" ht="34" customHeight="1">
      <x:c r="A166" s="49" t="n">
        <x:v>144</x:v>
      </x:c>
      <x:c r="B166" s="49"/>
      <x:c r="C166" s="50" t="str">
        <x:v>Circuits</x:v>
      </x:c>
      <x:c r="D166" s="50" t="str">
        <x:v>Sequential Logic → Finite State Machines</x:v>
      </x:c>
      <x:c r="E166" s="50" t="str">
        <x:v>Q3c: FSM logic</x:v>
      </x:c>
      <x:c r="F166" s="50" t="str">
        <x:v>exams/2014_q3c</x:v>
      </x:c>
      <x:c r="G166" s="49" t="str">
        <x:v>To Do</x:v>
      </x:c>
      <x:c r="H166" s="49"/>
      <x:c r="I166" s="51"/>
      <x:c r="J166" s="49"/>
      <x:c r="K166" s="49" t="n">
        <x:v>0</x:v>
      </x:c>
      <x:c r="L166" s="49" t="n">
        <x:v>0</x:v>
      </x:c>
      <x:c r="M166" s="49" t="n">
        <x:v>0</x:v>
      </x:c>
      <x:c r="N166" s="49" t="n">
        <x:v>0</x:v>
      </x:c>
      <x:c r="O166" s="52"/>
      <x:c r="P166" s="53"/>
      <x:c r="Q166" s="53"/>
      <x:c r="R166" s="53"/>
      <x:c r="S166" s="53" t="e">
        <x:f>HYPERLINK("https://hdlbits.01xz.net/wiki/exams/2014_q3c","HDLBits")</x:f>
        <x:v>HYPERLINK is not implemented. linkLocation=https://hdlbits.01xz.net/wiki/exams/2014_q3c, friendlyName=HDLBits</x:v>
      </x:c>
      <x:c r="T166" s="50" t="str">
        <x:v>Not attempted yet. Read the HDLBits question, design the circuit or testbench, and obtain a successful submission.</x:v>
      </x:c>
      <x:c r="U166" s="50"/>
    </x:row>
    <x:row r="167" ht="34" customHeight="1">
      <x:c r="A167" s="26" t="n">
        <x:v>145</x:v>
      </x:c>
      <x:c r="B167" s="26"/>
      <x:c r="C167" s="23" t="str">
        <x:v>Circuits</x:v>
      </x:c>
      <x:c r="D167" s="23" t="str">
        <x:v>Sequential Logic → Finite State Machines</x:v>
      </x:c>
      <x:c r="E167" s="23" t="str">
        <x:v>Q6b: FSM next-state logic</x:v>
      </x:c>
      <x:c r="F167" s="23" t="str">
        <x:v>exams/m2014_q6b</x:v>
      </x:c>
      <x:c r="G167" s="26" t="str">
        <x:v>To Do</x:v>
      </x:c>
      <x:c r="H167" s="26"/>
      <x:c r="I167" s="32"/>
      <x:c r="J167" s="26"/>
      <x:c r="K167" s="26" t="n">
        <x:v>0</x:v>
      </x:c>
      <x:c r="L167" s="26" t="n">
        <x:v>0</x:v>
      </x:c>
      <x:c r="M167" s="26" t="n">
        <x:v>0</x:v>
      </x:c>
      <x:c r="N167" s="26" t="n">
        <x:v>0</x:v>
      </x:c>
      <x:c r="O167" s="35"/>
      <x:c r="P167" s="29"/>
      <x:c r="Q167" s="29"/>
      <x:c r="R167" s="29"/>
      <x:c r="S167" s="29" t="e">
        <x:f>HYPERLINK("https://hdlbits.01xz.net/wiki/exams/m2014_q6b","HDLBits")</x:f>
        <x:v>HYPERLINK is not implemented. linkLocation=https://hdlbits.01xz.net/wiki/exams/m2014_q6b, friendlyName=HDLBits</x:v>
      </x:c>
      <x:c r="T167" s="23" t="str">
        <x:v>Not attempted yet. Read the HDLBits question, design the circuit or testbench, and obtain a successful submission.</x:v>
      </x:c>
      <x:c r="U167" s="23"/>
    </x:row>
    <x:row r="168" ht="34" customHeight="1">
      <x:c r="A168" s="49" t="n">
        <x:v>146</x:v>
      </x:c>
      <x:c r="B168" s="49"/>
      <x:c r="C168" s="50" t="str">
        <x:v>Circuits</x:v>
      </x:c>
      <x:c r="D168" s="50" t="str">
        <x:v>Sequential Logic → Finite State Machines</x:v>
      </x:c>
      <x:c r="E168" s="50" t="str">
        <x:v>Q6c: FSM one-hot next-state logic</x:v>
      </x:c>
      <x:c r="F168" s="50" t="str">
        <x:v>exams/m2014_q6c</x:v>
      </x:c>
      <x:c r="G168" s="49" t="str">
        <x:v>To Do</x:v>
      </x:c>
      <x:c r="H168" s="49"/>
      <x:c r="I168" s="51"/>
      <x:c r="J168" s="49"/>
      <x:c r="K168" s="49" t="n">
        <x:v>0</x:v>
      </x:c>
      <x:c r="L168" s="49" t="n">
        <x:v>0</x:v>
      </x:c>
      <x:c r="M168" s="49" t="n">
        <x:v>0</x:v>
      </x:c>
      <x:c r="N168" s="49" t="n">
        <x:v>0</x:v>
      </x:c>
      <x:c r="O168" s="52"/>
      <x:c r="P168" s="53"/>
      <x:c r="Q168" s="53"/>
      <x:c r="R168" s="53"/>
      <x:c r="S168" s="53" t="e">
        <x:f>HYPERLINK("https://hdlbits.01xz.net/wiki/exams/m2014_q6c","HDLBits")</x:f>
        <x:v>HYPERLINK is not implemented. linkLocation=https://hdlbits.01xz.net/wiki/exams/m2014_q6c, friendlyName=HDLBits</x:v>
      </x:c>
      <x:c r="T168" s="50" t="str">
        <x:v>Not attempted yet. Read the HDLBits question, design the circuit or testbench, and obtain a successful submission.</x:v>
      </x:c>
      <x:c r="U168" s="50"/>
    </x:row>
    <x:row r="169" ht="34" customHeight="1">
      <x:c r="A169" s="26" t="n">
        <x:v>147</x:v>
      </x:c>
      <x:c r="B169" s="26"/>
      <x:c r="C169" s="23" t="str">
        <x:v>Circuits</x:v>
      </x:c>
      <x:c r="D169" s="23" t="str">
        <x:v>Sequential Logic → Finite State Machines</x:v>
      </x:c>
      <x:c r="E169" s="23" t="str">
        <x:v>Q6: FSM</x:v>
      </x:c>
      <x:c r="F169" s="23" t="str">
        <x:v>exams/m2014_q6</x:v>
      </x:c>
      <x:c r="G169" s="26" t="str">
        <x:v>To Do</x:v>
      </x:c>
      <x:c r="H169" s="26"/>
      <x:c r="I169" s="32"/>
      <x:c r="J169" s="26"/>
      <x:c r="K169" s="26" t="n">
        <x:v>0</x:v>
      </x:c>
      <x:c r="L169" s="26" t="n">
        <x:v>0</x:v>
      </x:c>
      <x:c r="M169" s="26" t="n">
        <x:v>0</x:v>
      </x:c>
      <x:c r="N169" s="26" t="n">
        <x:v>0</x:v>
      </x:c>
      <x:c r="O169" s="35"/>
      <x:c r="P169" s="29"/>
      <x:c r="Q169" s="29"/>
      <x:c r="R169" s="29"/>
      <x:c r="S169" s="29" t="e">
        <x:f>HYPERLINK("https://hdlbits.01xz.net/wiki/exams/m2014_q6","HDLBits")</x:f>
        <x:v>HYPERLINK is not implemented. linkLocation=https://hdlbits.01xz.net/wiki/exams/m2014_q6, friendlyName=HDLBits</x:v>
      </x:c>
      <x:c r="T169" s="23" t="str">
        <x:v>Not attempted yet. Read the HDLBits question, design the circuit or testbench, and obtain a successful submission.</x:v>
      </x:c>
      <x:c r="U169" s="23"/>
    </x:row>
    <x:row r="170" ht="34" customHeight="1">
      <x:c r="A170" s="49" t="n">
        <x:v>148</x:v>
      </x:c>
      <x:c r="B170" s="49"/>
      <x:c r="C170" s="50" t="str">
        <x:v>Circuits</x:v>
      </x:c>
      <x:c r="D170" s="50" t="str">
        <x:v>Sequential Logic → Finite State Machines</x:v>
      </x:c>
      <x:c r="E170" s="50" t="str">
        <x:v>Q2a: FSM</x:v>
      </x:c>
      <x:c r="F170" s="50" t="str">
        <x:v>exams/2012_q2fsm</x:v>
      </x:c>
      <x:c r="G170" s="49" t="str">
        <x:v>To Do</x:v>
      </x:c>
      <x:c r="H170" s="49"/>
      <x:c r="I170" s="51"/>
      <x:c r="J170" s="49"/>
      <x:c r="K170" s="49" t="n">
        <x:v>0</x:v>
      </x:c>
      <x:c r="L170" s="49" t="n">
        <x:v>0</x:v>
      </x:c>
      <x:c r="M170" s="49" t="n">
        <x:v>0</x:v>
      </x:c>
      <x:c r="N170" s="49" t="n">
        <x:v>0</x:v>
      </x:c>
      <x:c r="O170" s="52"/>
      <x:c r="P170" s="53"/>
      <x:c r="Q170" s="53"/>
      <x:c r="R170" s="53"/>
      <x:c r="S170" s="53" t="e">
        <x:f>HYPERLINK("https://hdlbits.01xz.net/wiki/exams/2012_q2fsm","HDLBits")</x:f>
        <x:v>HYPERLINK is not implemented. linkLocation=https://hdlbits.01xz.net/wiki/exams/2012_q2fsm, friendlyName=HDLBits</x:v>
      </x:c>
      <x:c r="T170" s="50" t="str">
        <x:v>Not attempted yet. Read the HDLBits question, design the circuit or testbench, and obtain a successful submission.</x:v>
      </x:c>
      <x:c r="U170" s="50"/>
    </x:row>
    <x:row r="171" ht="34" customHeight="1">
      <x:c r="A171" s="26" t="n">
        <x:v>149</x:v>
      </x:c>
      <x:c r="B171" s="26"/>
      <x:c r="C171" s="23" t="str">
        <x:v>Circuits</x:v>
      </x:c>
      <x:c r="D171" s="23" t="str">
        <x:v>Sequential Logic → Finite State Machines</x:v>
      </x:c>
      <x:c r="E171" s="23" t="str">
        <x:v>Q2b: One-hot FSM equations</x:v>
      </x:c>
      <x:c r="F171" s="23" t="str">
        <x:v>exams/2012_q2b</x:v>
      </x:c>
      <x:c r="G171" s="26" t="str">
        <x:v>To Do</x:v>
      </x:c>
      <x:c r="H171" s="26"/>
      <x:c r="I171" s="32"/>
      <x:c r="J171" s="26"/>
      <x:c r="K171" s="26" t="n">
        <x:v>0</x:v>
      </x:c>
      <x:c r="L171" s="26" t="n">
        <x:v>0</x:v>
      </x:c>
      <x:c r="M171" s="26" t="n">
        <x:v>0</x:v>
      </x:c>
      <x:c r="N171" s="26" t="n">
        <x:v>0</x:v>
      </x:c>
      <x:c r="O171" s="35"/>
      <x:c r="P171" s="29"/>
      <x:c r="Q171" s="29"/>
      <x:c r="R171" s="29"/>
      <x:c r="S171" s="29" t="e">
        <x:f>HYPERLINK("https://hdlbits.01xz.net/wiki/exams/2012_q2b","HDLBits")</x:f>
        <x:v>HYPERLINK is not implemented. linkLocation=https://hdlbits.01xz.net/wiki/exams/2012_q2b, friendlyName=HDLBits</x:v>
      </x:c>
      <x:c r="T171" s="23" t="str">
        <x:v>Not attempted yet. Read the HDLBits question, design the circuit or testbench, and obtain a successful submission.</x:v>
      </x:c>
      <x:c r="U171" s="23"/>
    </x:row>
    <x:row r="172" ht="34" customHeight="1">
      <x:c r="A172" s="49" t="n">
        <x:v>150</x:v>
      </x:c>
      <x:c r="B172" s="49"/>
      <x:c r="C172" s="50" t="str">
        <x:v>Circuits</x:v>
      </x:c>
      <x:c r="D172" s="50" t="str">
        <x:v>Sequential Logic → Finite State Machines</x:v>
      </x:c>
      <x:c r="E172" s="50" t="str">
        <x:v>Q2a: FSM</x:v>
      </x:c>
      <x:c r="F172" s="50" t="str">
        <x:v>exams/2013_q2afsm</x:v>
      </x:c>
      <x:c r="G172" s="49" t="str">
        <x:v>Review</x:v>
      </x:c>
      <x:c r="H172" s="49"/>
      <x:c r="I172" s="51"/>
      <x:c r="J172" s="49"/>
      <x:c r="K172" s="49" t="n">
        <x:v>3</x:v>
      </x:c>
      <x:c r="L172" s="49" t="n">
        <x:v>1</x:v>
      </x:c>
      <x:c r="M172" s="49" t="n">
        <x:v>2</x:v>
      </x:c>
      <x:c r="N172" s="49" t="n">
        <x:v>0</x:v>
      </x:c>
      <x:c r="O172" s="52" t="n">
        <x:v>0</x:v>
      </x:c>
      <x:c r="P172" s="53" t="e">
        <x:f>HYPERLINK("https://github.com/kapiltrip/hdlBits/blob/main/Review.md","Review")</x:f>
        <x:v>HYPERLINK is not implemented. linkLocation=https://github.com/kapiltrip/hdlBits/blob/main/Review.md, friendlyName=Review</x:v>
      </x:c>
      <x:c r="Q172" s="53" t="e">
        <x:f>HYPERLINK("https://github.com/kapiltrip/hdlBits/blob/main/images/Review/review-exams__2013_q2afsm.png","Image")</x:f>
        <x:v>HYPERLINK is not implemented. linkLocation=https://github.com/kapiltrip/hdlBits/blob/main/images/Review/review-exams__2013_q2afsm.png, friendlyName=Image</x:v>
      </x:c>
      <x:c r="R172" s="53"/>
      <x:c r="S172" s="53" t="e">
        <x:f>HYPERLINK("https://hdlbits.01xz.net/wiki/exams/2013_q2afsm","HDLBits")</x:f>
        <x:v>HYPERLINK is not implemented. linkLocation=https://hdlbits.01xz.net/wiki/exams/2013_q2afsm, friendlyName=HDLBits</x:v>
      </x:c>
      <x:c r="T172" s="50" t="str">
        <x:v>Attempted but not yet solved. Review the arbiter state diagram, request priority rules, and grant-hold behavior before resubmitting.</x:v>
      </x:c>
      <x:c r="U172" s="50"/>
    </x:row>
    <x:row r="173" ht="34" customHeight="1">
      <x:c r="A173" s="26" t="n">
        <x:v>151</x:v>
      </x:c>
      <x:c r="B173" s="26" t="n">
        <x:v>121</x:v>
      </x:c>
      <x:c r="C173" s="23" t="str">
        <x:v>Circuits</x:v>
      </x:c>
      <x:c r="D173" s="23" t="str">
        <x:v>Sequential Logic → Finite State Machines</x:v>
      </x:c>
      <x:c r="E173" s="23" t="str">
        <x:v>Q2b: Another FSM</x:v>
      </x:c>
      <x:c r="F173" s="23" t="str">
        <x:v>exams/2013_q2bfsm</x:v>
      </x:c>
      <x:c r="G173" s="26" t="str">
        <x:v>Completed</x:v>
      </x:c>
      <x:c r="H173" s="26" t="str">
        <x:v>Day 06</x:v>
      </x:c>
      <x:c r="I173" s="32" t="n">
        <x:v>46201</x:v>
      </x:c>
      <x:c r="J173" s="26" t="str">
        <x:v>12:22:36 AM</x:v>
      </x:c>
      <x:c r="K173" s="26" t="n">
        <x:v>2</x:v>
      </x:c>
      <x:c r="L173" s="26" t="n">
        <x:v>0</x:v>
      </x:c>
      <x:c r="M173" s="26" t="n">
        <x:v>0</x:v>
      </x:c>
      <x:c r="N173" s="26" t="n">
        <x:v>0</x:v>
      </x:c>
      <x:c r="O173" s="35" t="n">
        <x:v>1</x:v>
      </x:c>
      <x:c r="P173" s="29" t="e">
        <x:f>HYPERLINK("https://github.com/kapiltrip/hdlBits/blob/main/problems/Day%2006/121-exams__2013_q2bfsm.md","Note")</x:f>
        <x:v>HYPERLINK is not implemented. linkLocation=https://github.com/kapiltrip/hdlBits/blob/main/problems/Day%2006/121-exams__2013_q2bfsm.md, friendlyName=Note</x:v>
      </x:c>
      <x:c r="Q173" s="29" t="e">
        <x:f>HYPERLINK("https://github.com/kapiltrip/hdlBits/blob/main/images/Day%2006/121-exams__2013_q2bfsm.png","Image")</x:f>
        <x:v>HYPERLINK is not implemented. linkLocation=https://github.com/kapiltrip/hdlBits/blob/main/images/Day%2006/121-exams__2013_q2bfsm.png, friendlyName=Image</x:v>
      </x:c>
      <x:c r="R173" s="29" t="e">
        <x:f>HYPERLINK("https://github.com/kapiltrip/hdlBits/blob/main/solutions/Day%2006/121-exams__2013_q2bfsm.sv","Code")</x:f>
        <x:v>HYPERLINK is not implemented. linkLocation=https://github.com/kapiltrip/hdlBits/blob/main/solutions/Day%2006/121-exams__2013_q2bfsm.sv, friendlyName=Code</x:v>
      </x:c>
      <x:c r="S173" s="29" t="e">
        <x:f>HYPERLINK("https://hdlbits.01xz.net/wiki/exams/2013_q2bfsm","HDLBits")</x:f>
        <x:v>HYPERLINK is not implemented. linkLocation=https://hdlbits.01xz.net/wiki/exams/2013_q2bfsm, friendlyName=HDLBits</x:v>
      </x:c>
      <x:c r="T173" s="23" t="str">
        <x:v>This controller combines a one-cycle start pulse, a serial sequence detector, a two-cycle deadline, and two absorbing terminal outcomes.</x:v>
      </x:c>
      <x:c r="U173" s="23"/>
    </x:row>
    <x:row r="174" ht="22" customHeight="1">
      <x:c r="A174" s="79" t="str">
        <x:v>SUBSECTION · Building Larger Circuits</x:v>
      </x:c>
      <x:c r="B174" s="79"/>
      <x:c r="C174" s="79"/>
      <x:c r="D174" s="79"/>
      <x:c r="E174" s="79"/>
      <x:c r="F174" s="79"/>
      <x:c r="G174" s="79"/>
      <x:c r="H174" s="79"/>
      <x:c r="I174" s="80"/>
      <x:c r="J174" s="79"/>
      <x:c r="K174" s="79"/>
      <x:c r="L174" s="79"/>
      <x:c r="M174" s="79"/>
      <x:c r="N174" s="79"/>
      <x:c r="O174" s="81"/>
      <x:c r="P174" s="79"/>
      <x:c r="Q174" s="79"/>
      <x:c r="R174" s="79"/>
      <x:c r="S174" s="79"/>
      <x:c r="T174" s="79"/>
      <x:c r="U174" s="79"/>
    </x:row>
    <x:row r="175" ht="34" customHeight="1">
      <x:c r="A175" s="49" t="n">
        <x:v>152</x:v>
      </x:c>
      <x:c r="B175" s="49"/>
      <x:c r="C175" s="50" t="str">
        <x:v>Circuits</x:v>
      </x:c>
      <x:c r="D175" s="50" t="str">
        <x:v>Building Larger Circuits</x:v>
      </x:c>
      <x:c r="E175" s="50" t="str">
        <x:v>Counter with period 1000</x:v>
      </x:c>
      <x:c r="F175" s="50" t="str">
        <x:v>exams/review2015_count1k</x:v>
      </x:c>
      <x:c r="G175" s="49" t="str">
        <x:v>To Do</x:v>
      </x:c>
      <x:c r="H175" s="49"/>
      <x:c r="I175" s="51"/>
      <x:c r="J175" s="49"/>
      <x:c r="K175" s="49" t="n">
        <x:v>0</x:v>
      </x:c>
      <x:c r="L175" s="49" t="n">
        <x:v>0</x:v>
      </x:c>
      <x:c r="M175" s="49" t="n">
        <x:v>0</x:v>
      </x:c>
      <x:c r="N175" s="49" t="n">
        <x:v>0</x:v>
      </x:c>
      <x:c r="O175" s="52"/>
      <x:c r="P175" s="53"/>
      <x:c r="Q175" s="53"/>
      <x:c r="R175" s="53"/>
      <x:c r="S175" s="53" t="e">
        <x:f>HYPERLINK("https://hdlbits.01xz.net/wiki/exams/review2015_count1k","HDLBits")</x:f>
        <x:v>HYPERLINK is not implemented. linkLocation=https://hdlbits.01xz.net/wiki/exams/review2015_count1k, friendlyName=HDLBits</x:v>
      </x:c>
      <x:c r="T175" s="50" t="str">
        <x:v>Not attempted yet. Read the HDLBits question, design the circuit or testbench, and obtain a successful submission.</x:v>
      </x:c>
      <x:c r="U175" s="50"/>
    </x:row>
    <x:row r="176" ht="34" customHeight="1">
      <x:c r="A176" s="26" t="n">
        <x:v>153</x:v>
      </x:c>
      <x:c r="B176" s="26"/>
      <x:c r="C176" s="23" t="str">
        <x:v>Circuits</x:v>
      </x:c>
      <x:c r="D176" s="23" t="str">
        <x:v>Building Larger Circuits</x:v>
      </x:c>
      <x:c r="E176" s="23" t="str">
        <x:v>4-bit shift register and down counter</x:v>
      </x:c>
      <x:c r="F176" s="23" t="str">
        <x:v>exams/review2015_shiftcount</x:v>
      </x:c>
      <x:c r="G176" s="26" t="str">
        <x:v>To Do</x:v>
      </x:c>
      <x:c r="H176" s="26"/>
      <x:c r="I176" s="32"/>
      <x:c r="J176" s="26"/>
      <x:c r="K176" s="26" t="n">
        <x:v>0</x:v>
      </x:c>
      <x:c r="L176" s="26" t="n">
        <x:v>0</x:v>
      </x:c>
      <x:c r="M176" s="26" t="n">
        <x:v>0</x:v>
      </x:c>
      <x:c r="N176" s="26" t="n">
        <x:v>0</x:v>
      </x:c>
      <x:c r="O176" s="35"/>
      <x:c r="P176" s="29"/>
      <x:c r="Q176" s="29"/>
      <x:c r="R176" s="29"/>
      <x:c r="S176" s="29" t="e">
        <x:f>HYPERLINK("https://hdlbits.01xz.net/wiki/exams/review2015_shiftcount","HDLBits")</x:f>
        <x:v>HYPERLINK is not implemented. linkLocation=https://hdlbits.01xz.net/wiki/exams/review2015_shiftcount, friendlyName=HDLBits</x:v>
      </x:c>
      <x:c r="T176" s="23" t="str">
        <x:v>Not attempted yet. Read the HDLBits question, design the circuit or testbench, and obtain a successful submission.</x:v>
      </x:c>
      <x:c r="U176" s="23"/>
    </x:row>
    <x:row r="177" ht="34" customHeight="1">
      <x:c r="A177" s="49" t="n">
        <x:v>154</x:v>
      </x:c>
      <x:c r="B177" s="49"/>
      <x:c r="C177" s="50" t="str">
        <x:v>Circuits</x:v>
      </x:c>
      <x:c r="D177" s="50" t="str">
        <x:v>Building Larger Circuits</x:v>
      </x:c>
      <x:c r="E177" s="50" t="str">
        <x:v>FSM: Sequence 1101 recognizer</x:v>
      </x:c>
      <x:c r="F177" s="50" t="str">
        <x:v>exams/review2015_fsmseq</x:v>
      </x:c>
      <x:c r="G177" s="49" t="str">
        <x:v>To Do</x:v>
      </x:c>
      <x:c r="H177" s="49"/>
      <x:c r="I177" s="51"/>
      <x:c r="J177" s="49"/>
      <x:c r="K177" s="49" t="n">
        <x:v>0</x:v>
      </x:c>
      <x:c r="L177" s="49" t="n">
        <x:v>0</x:v>
      </x:c>
      <x:c r="M177" s="49" t="n">
        <x:v>0</x:v>
      </x:c>
      <x:c r="N177" s="49" t="n">
        <x:v>0</x:v>
      </x:c>
      <x:c r="O177" s="52"/>
      <x:c r="P177" s="53"/>
      <x:c r="Q177" s="53"/>
      <x:c r="R177" s="53"/>
      <x:c r="S177" s="53" t="e">
        <x:f>HYPERLINK("https://hdlbits.01xz.net/wiki/exams/review2015_fsmseq","HDLBits")</x:f>
        <x:v>HYPERLINK is not implemented. linkLocation=https://hdlbits.01xz.net/wiki/exams/review2015_fsmseq, friendlyName=HDLBits</x:v>
      </x:c>
      <x:c r="T177" s="50" t="str">
        <x:v>Not attempted yet. Read the HDLBits question, design the circuit or testbench, and obtain a successful submission.</x:v>
      </x:c>
      <x:c r="U177" s="50"/>
    </x:row>
    <x:row r="178" ht="34" customHeight="1">
      <x:c r="A178" s="26" t="n">
        <x:v>155</x:v>
      </x:c>
      <x:c r="B178" s="26"/>
      <x:c r="C178" s="23" t="str">
        <x:v>Circuits</x:v>
      </x:c>
      <x:c r="D178" s="23" t="str">
        <x:v>Building Larger Circuits</x:v>
      </x:c>
      <x:c r="E178" s="23" t="str">
        <x:v>FSM: Enable shift register</x:v>
      </x:c>
      <x:c r="F178" s="23" t="str">
        <x:v>exams/review2015_fsmshift</x:v>
      </x:c>
      <x:c r="G178" s="26" t="str">
        <x:v>To Do</x:v>
      </x:c>
      <x:c r="H178" s="26"/>
      <x:c r="I178" s="32"/>
      <x:c r="J178" s="26"/>
      <x:c r="K178" s="26" t="n">
        <x:v>0</x:v>
      </x:c>
      <x:c r="L178" s="26" t="n">
        <x:v>0</x:v>
      </x:c>
      <x:c r="M178" s="26" t="n">
        <x:v>0</x:v>
      </x:c>
      <x:c r="N178" s="26" t="n">
        <x:v>0</x:v>
      </x:c>
      <x:c r="O178" s="35"/>
      <x:c r="P178" s="29"/>
      <x:c r="Q178" s="29"/>
      <x:c r="R178" s="29"/>
      <x:c r="S178" s="29" t="e">
        <x:f>HYPERLINK("https://hdlbits.01xz.net/wiki/exams/review2015_fsmshift","HDLBits")</x:f>
        <x:v>HYPERLINK is not implemented. linkLocation=https://hdlbits.01xz.net/wiki/exams/review2015_fsmshift, friendlyName=HDLBits</x:v>
      </x:c>
      <x:c r="T178" s="23" t="str">
        <x:v>Not attempted yet. Read the HDLBits question, design the circuit or testbench, and obtain a successful submission.</x:v>
      </x:c>
      <x:c r="U178" s="23"/>
    </x:row>
    <x:row r="179" ht="34" customHeight="1">
      <x:c r="A179" s="49" t="n">
        <x:v>156</x:v>
      </x:c>
      <x:c r="B179" s="49"/>
      <x:c r="C179" s="50" t="str">
        <x:v>Circuits</x:v>
      </x:c>
      <x:c r="D179" s="50" t="str">
        <x:v>Building Larger Circuits</x:v>
      </x:c>
      <x:c r="E179" s="50" t="str">
        <x:v>FSM: The complete FSM</x:v>
      </x:c>
      <x:c r="F179" s="50" t="str">
        <x:v>exams/review2015_fsm</x:v>
      </x:c>
      <x:c r="G179" s="49" t="str">
        <x:v>To Do</x:v>
      </x:c>
      <x:c r="H179" s="49"/>
      <x:c r="I179" s="51"/>
      <x:c r="J179" s="49"/>
      <x:c r="K179" s="49" t="n">
        <x:v>0</x:v>
      </x:c>
      <x:c r="L179" s="49" t="n">
        <x:v>0</x:v>
      </x:c>
      <x:c r="M179" s="49" t="n">
        <x:v>0</x:v>
      </x:c>
      <x:c r="N179" s="49" t="n">
        <x:v>0</x:v>
      </x:c>
      <x:c r="O179" s="52"/>
      <x:c r="P179" s="53"/>
      <x:c r="Q179" s="53"/>
      <x:c r="R179" s="53"/>
      <x:c r="S179" s="53" t="e">
        <x:f>HYPERLINK("https://hdlbits.01xz.net/wiki/exams/review2015_fsm","HDLBits")</x:f>
        <x:v>HYPERLINK is not implemented. linkLocation=https://hdlbits.01xz.net/wiki/exams/review2015_fsm, friendlyName=HDLBits</x:v>
      </x:c>
      <x:c r="T179" s="50" t="str">
        <x:v>Not attempted yet. Read the HDLBits question, design the circuit or testbench, and obtain a successful submission.</x:v>
      </x:c>
      <x:c r="U179" s="50"/>
    </x:row>
    <x:row r="180" ht="34" customHeight="1">
      <x:c r="A180" s="26" t="n">
        <x:v>157</x:v>
      </x:c>
      <x:c r="B180" s="26"/>
      <x:c r="C180" s="23" t="str">
        <x:v>Circuits</x:v>
      </x:c>
      <x:c r="D180" s="23" t="str">
        <x:v>Building Larger Circuits</x:v>
      </x:c>
      <x:c r="E180" s="23" t="str">
        <x:v>The complete timer</x:v>
      </x:c>
      <x:c r="F180" s="23" t="str">
        <x:v>exams/review2015_fancytimer</x:v>
      </x:c>
      <x:c r="G180" s="26" t="str">
        <x:v>To Do</x:v>
      </x:c>
      <x:c r="H180" s="26"/>
      <x:c r="I180" s="32"/>
      <x:c r="J180" s="26"/>
      <x:c r="K180" s="26" t="n">
        <x:v>0</x:v>
      </x:c>
      <x:c r="L180" s="26" t="n">
        <x:v>0</x:v>
      </x:c>
      <x:c r="M180" s="26" t="n">
        <x:v>0</x:v>
      </x:c>
      <x:c r="N180" s="26" t="n">
        <x:v>0</x:v>
      </x:c>
      <x:c r="O180" s="35"/>
      <x:c r="P180" s="29"/>
      <x:c r="Q180" s="29"/>
      <x:c r="R180" s="29"/>
      <x:c r="S180" s="29" t="e">
        <x:f>HYPERLINK("https://hdlbits.01xz.net/wiki/exams/review2015_fancytimer","HDLBits")</x:f>
        <x:v>HYPERLINK is not implemented. linkLocation=https://hdlbits.01xz.net/wiki/exams/review2015_fancytimer, friendlyName=HDLBits</x:v>
      </x:c>
      <x:c r="T180" s="23" t="str">
        <x:v>Not attempted yet. Read the HDLBits question, design the circuit or testbench, and obtain a successful submission.</x:v>
      </x:c>
      <x:c r="U180" s="23"/>
    </x:row>
    <x:row r="181" ht="34" customHeight="1">
      <x:c r="A181" s="49" t="n">
        <x:v>158</x:v>
      </x:c>
      <x:c r="B181" s="49"/>
      <x:c r="C181" s="50" t="str">
        <x:v>Circuits</x:v>
      </x:c>
      <x:c r="D181" s="50" t="str">
        <x:v>Building Larger Circuits</x:v>
      </x:c>
      <x:c r="E181" s="50" t="str">
        <x:v>FSM: One-hot logic equations</x:v>
      </x:c>
      <x:c r="F181" s="50" t="str">
        <x:v>exams/review2015_fsmonehot</x:v>
      </x:c>
      <x:c r="G181" s="49" t="str">
        <x:v>To Do</x:v>
      </x:c>
      <x:c r="H181" s="49"/>
      <x:c r="I181" s="51"/>
      <x:c r="J181" s="49"/>
      <x:c r="K181" s="49" t="n">
        <x:v>0</x:v>
      </x:c>
      <x:c r="L181" s="49" t="n">
        <x:v>0</x:v>
      </x:c>
      <x:c r="M181" s="49" t="n">
        <x:v>0</x:v>
      </x:c>
      <x:c r="N181" s="49" t="n">
        <x:v>0</x:v>
      </x:c>
      <x:c r="O181" s="52"/>
      <x:c r="P181" s="53"/>
      <x:c r="Q181" s="53"/>
      <x:c r="R181" s="53"/>
      <x:c r="S181" s="53" t="e">
        <x:f>HYPERLINK("https://hdlbits.01xz.net/wiki/exams/review2015_fsmonehot","HDLBits")</x:f>
        <x:v>HYPERLINK is not implemented. linkLocation=https://hdlbits.01xz.net/wiki/exams/review2015_fsmonehot, friendlyName=HDLBits</x:v>
      </x:c>
      <x:c r="T181" s="50" t="str">
        <x:v>Not attempted yet. Read the HDLBits question, design the circuit or testbench, and obtain a successful submission.</x:v>
      </x:c>
      <x:c r="U181" s="50"/>
    </x:row>
    <x:row r="182" ht="25" customHeight="1">
      <x:c r="A182" s="63" t="str">
        <x:v>SECTION · Verification: Reading Simulations</x:v>
      </x:c>
      <x:c r="B182" s="63"/>
      <x:c r="C182" s="63"/>
      <x:c r="D182" s="63"/>
      <x:c r="E182" s="63"/>
      <x:c r="F182" s="63"/>
      <x:c r="G182" s="63"/>
      <x:c r="H182" s="63"/>
      <x:c r="I182" s="64"/>
      <x:c r="J182" s="63"/>
      <x:c r="K182" s="63"/>
      <x:c r="L182" s="63"/>
      <x:c r="M182" s="63"/>
      <x:c r="N182" s="63"/>
      <x:c r="O182" s="65"/>
      <x:c r="P182" s="63"/>
      <x:c r="Q182" s="63"/>
      <x:c r="R182" s="63"/>
      <x:c r="S182" s="63"/>
      <x:c r="T182" s="63"/>
      <x:c r="U182" s="63"/>
    </x:row>
    <x:row r="183" ht="22" customHeight="1">
      <x:c r="A183" s="79" t="str">
        <x:v>SUBSECTION · Finding bugs in code</x:v>
      </x:c>
      <x:c r="B183" s="79"/>
      <x:c r="C183" s="79"/>
      <x:c r="D183" s="79"/>
      <x:c r="E183" s="79"/>
      <x:c r="F183" s="79"/>
      <x:c r="G183" s="79"/>
      <x:c r="H183" s="79"/>
      <x:c r="I183" s="80"/>
      <x:c r="J183" s="79"/>
      <x:c r="K183" s="79"/>
      <x:c r="L183" s="79"/>
      <x:c r="M183" s="79"/>
      <x:c r="N183" s="79"/>
      <x:c r="O183" s="81"/>
      <x:c r="P183" s="79"/>
      <x:c r="Q183" s="79"/>
      <x:c r="R183" s="79"/>
      <x:c r="S183" s="79"/>
      <x:c r="T183" s="79"/>
      <x:c r="U183" s="79"/>
    </x:row>
    <x:row r="184" ht="34" customHeight="1">
      <x:c r="A184" s="26" t="n">
        <x:v>159</x:v>
      </x:c>
      <x:c r="B184" s="26" t="n">
        <x:v>122</x:v>
      </x:c>
      <x:c r="C184" s="23" t="str">
        <x:v>Verification: Reading Simulations</x:v>
      </x:c>
      <x:c r="D184" s="23" t="str">
        <x:v>Finding bugs in code</x:v>
      </x:c>
      <x:c r="E184" s="23" t="str">
        <x:v>Mux</x:v>
      </x:c>
      <x:c r="F184" s="23" t="str">
        <x:v>bugs_mux2</x:v>
      </x:c>
      <x:c r="G184" s="26" t="str">
        <x:v>Completed</x:v>
      </x:c>
      <x:c r="H184" s="26" t="str">
        <x:v>Day 06</x:v>
      </x:c>
      <x:c r="I184" s="32" t="n">
        <x:v>46201</x:v>
      </x:c>
      <x:c r="J184" s="26" t="str">
        <x:v>12:54:12 AM</x:v>
      </x:c>
      <x:c r="K184" s="26" t="n">
        <x:v>4</x:v>
      </x:c>
      <x:c r="L184" s="26" t="n">
        <x:v>2</x:v>
      </x:c>
      <x:c r="M184" s="26" t="n">
        <x:v>0</x:v>
      </x:c>
      <x:c r="N184" s="26" t="n">
        <x:v>1</x:v>
      </x:c>
      <x:c r="O184" s="35" t="n">
        <x:v>0.25</x:v>
      </x:c>
      <x:c r="P184" s="29" t="e">
        <x:f>HYPERLINK("https://github.com/kapiltrip/hdlBits/blob/main/problems/Day%2006/122-bugs_mux2.md","Note")</x:f>
        <x:v>HYPERLINK is not implemented. linkLocation=https://github.com/kapiltrip/hdlBits/blob/main/problems/Day%2006/122-bugs_mux2.md, friendlyName=Note</x:v>
      </x:c>
      <x:c r="Q184" s="29" t="e">
        <x:f>HYPERLINK("https://github.com/kapiltrip/hdlBits/blob/main/images/Day%2006/122-bugs_mux2.png","Image")</x:f>
        <x:v>HYPERLINK is not implemented. linkLocation=https://github.com/kapiltrip/hdlBits/blob/main/images/Day%2006/122-bugs_mux2.png, friendlyName=Image</x:v>
      </x:c>
      <x:c r="R184" s="29" t="e">
        <x:f>HYPERLINK("https://github.com/kapiltrip/hdlBits/blob/main/solutions/Day%2006/122-bugs_mux2.sv","Code")</x:f>
        <x:v>HYPERLINK is not implemented. linkLocation=https://github.com/kapiltrip/hdlBits/blob/main/solutions/Day%2006/122-bugs_mux2.sv, friendlyName=Code</x:v>
      </x:c>
      <x:c r="S184" s="29" t="e">
        <x:f>HYPERLINK("https://hdlbits.01xz.net/wiki/bugs_mux2","HDLBits")</x:f>
        <x:v>HYPERLINK is not implemented. linkLocation=https://hdlbits.01xz.net/wiki/bugs_mux2, friendlyName=HDLBits</x:v>
      </x:c>
      <x:c r="T184" s="23" t="str">
        <x:v>The broken circuit mixed two independent mistakes: the output was declared as a scalar even though both data inputs are 8-bit buses, and the selection expression did not implement the required bus mux correctly.</x:v>
      </x:c>
      <x:c r="U184" s="23"/>
    </x:row>
    <x:row r="185" ht="34" customHeight="1">
      <x:c r="A185" s="49" t="n">
        <x:v>160</x:v>
      </x:c>
      <x:c r="B185" s="49" t="n">
        <x:v>123</x:v>
      </x:c>
      <x:c r="C185" s="50" t="str">
        <x:v>Verification: Reading Simulations</x:v>
      </x:c>
      <x:c r="D185" s="50" t="str">
        <x:v>Finding bugs in code</x:v>
      </x:c>
      <x:c r="E185" s="50" t="str">
        <x:v>NAND</x:v>
      </x:c>
      <x:c r="F185" s="50" t="str">
        <x:v>bugs_nand3</x:v>
      </x:c>
      <x:c r="G185" s="49" t="str">
        <x:v>Completed</x:v>
      </x:c>
      <x:c r="H185" s="49" t="str">
        <x:v>Day 06</x:v>
      </x:c>
      <x:c r="I185" s="51" t="n">
        <x:v>46201</x:v>
      </x:c>
      <x:c r="J185" s="49" t="str">
        <x:v>1:04:51 AM</x:v>
      </x:c>
      <x:c r="K185" s="49" t="n">
        <x:v>2</x:v>
      </x:c>
      <x:c r="L185" s="49" t="n">
        <x:v>1</x:v>
      </x:c>
      <x:c r="M185" s="49" t="n">
        <x:v>0</x:v>
      </x:c>
      <x:c r="N185" s="49" t="n">
        <x:v>0</x:v>
      </x:c>
      <x:c r="O185" s="52" t="n">
        <x:v>0.5</x:v>
      </x:c>
      <x:c r="P185" s="53" t="e">
        <x:f>HYPERLINK("https://github.com/kapiltrip/hdlBits/blob/main/problems/Day%2006/123-bugs_nand3.md","Note")</x:f>
        <x:v>HYPERLINK is not implemented. linkLocation=https://github.com/kapiltrip/hdlBits/blob/main/problems/Day%2006/123-bugs_nand3.md, friendlyName=Note</x:v>
      </x:c>
      <x:c r="Q185" s="53" t="e">
        <x:f>HYPERLINK("https://github.com/kapiltrip/hdlBits/blob/main/images/Day%2006/123-bugs_nand3.png","Image")</x:f>
        <x:v>HYPERLINK is not implemented. linkLocation=https://github.com/kapiltrip/hdlBits/blob/main/images/Day%2006/123-bugs_nand3.png, friendlyName=Image</x:v>
      </x:c>
      <x:c r="R185" s="53" t="e">
        <x:f>HYPERLINK("https://github.com/kapiltrip/hdlBits/blob/main/solutions/Day%2006/123-bugs_nand3.sv","Code")</x:f>
        <x:v>HYPERLINK is not implemented. linkLocation=https://github.com/kapiltrip/hdlBits/blob/main/solutions/Day%2006/123-bugs_nand3.sv, friendlyName=Code</x:v>
      </x:c>
      <x:c r="S185" s="53" t="e">
        <x:f>HYPERLINK("https://hdlbits.01xz.net/wiki/bugs_nand3","HDLBits")</x:f>
        <x:v>HYPERLINK is not implemented. linkLocation=https://hdlbits.01xz.net/wiki/bugs_nand3, friendlyName=HDLBits</x:v>
      </x:c>
      <x:c r="T185" s="50" t="str">
        <x:v>The required primitive is a five-input AND gate with positional port order `(out, a, b, c, d, e)`. To create a three-input AND, the unused inputs must be tied to the AND identity value 1, not 0. The intermediate `ando` is therefore `a &amp; b &amp; c &amp; 1 &amp; 1`.</x:v>
      </x:c>
      <x:c r="U185" s="50"/>
    </x:row>
    <x:row r="186" ht="34" customHeight="1">
      <x:c r="A186" s="26" t="n">
        <x:v>161</x:v>
      </x:c>
      <x:c r="B186" s="26" t="n">
        <x:v>124</x:v>
      </x:c>
      <x:c r="C186" s="23" t="str">
        <x:v>Verification: Reading Simulations</x:v>
      </x:c>
      <x:c r="D186" s="23" t="str">
        <x:v>Finding bugs in code</x:v>
      </x:c>
      <x:c r="E186" s="23" t="str">
        <x:v>Mux</x:v>
      </x:c>
      <x:c r="F186" s="23" t="str">
        <x:v>bugs_mux4</x:v>
      </x:c>
      <x:c r="G186" s="26" t="str">
        <x:v>Completed</x:v>
      </x:c>
      <x:c r="H186" s="26" t="str">
        <x:v>Day 06</x:v>
      </x:c>
      <x:c r="I186" s="32" t="n">
        <x:v>46201</x:v>
      </x:c>
      <x:c r="J186" s="26" t="str">
        <x:v>1:01:34 AM</x:v>
      </x:c>
      <x:c r="K186" s="26" t="n">
        <x:v>7</x:v>
      </x:c>
      <x:c r="L186" s="26" t="n">
        <x:v>6</x:v>
      </x:c>
      <x:c r="M186" s="26" t="n">
        <x:v>0</x:v>
      </x:c>
      <x:c r="N186" s="26" t="n">
        <x:v>0</x:v>
      </x:c>
      <x:c r="O186" s="35" t="n">
        <x:v>0.14</x:v>
      </x:c>
      <x:c r="P186" s="29" t="e">
        <x:f>HYPERLINK("https://github.com/kapiltrip/hdlBits/blob/main/problems/Day%2006/124-bugs_mux4.md","Note")</x:f>
        <x:v>HYPERLINK is not implemented. linkLocation=https://github.com/kapiltrip/hdlBits/blob/main/problems/Day%2006/124-bugs_mux4.md, friendlyName=Note</x:v>
      </x:c>
      <x:c r="Q186" s="29" t="e">
        <x:f>HYPERLINK("https://github.com/kapiltrip/hdlBits/blob/main/images/Day%2006/124-bugs_mux4.png","Image")</x:f>
        <x:v>HYPERLINK is not implemented. linkLocation=https://github.com/kapiltrip/hdlBits/blob/main/images/Day%2006/124-bugs_mux4.png, friendlyName=Image</x:v>
      </x:c>
      <x:c r="R186" s="29" t="e">
        <x:f>HYPERLINK("https://github.com/kapiltrip/hdlBits/blob/main/solutions/Day%2006/124-bugs_mux4.sv","Code")</x:f>
        <x:v>HYPERLINK is not implemented. linkLocation=https://github.com/kapiltrip/hdlBits/blob/main/solutions/Day%2006/124-bugs_mux4.sv, friendlyName=Code</x:v>
      </x:c>
      <x:c r="S186" s="29" t="e">
        <x:f>HYPERLINK("https://hdlbits.01xz.net/wiki/bugs_mux4","HDLBits")</x:f>
        <x:v>HYPERLINK is not implemented. linkLocation=https://hdlbits.01xz.net/wiki/bugs_mux4, friendlyName=HDLBits</x:v>
      </x:c>
      <x:c r="T186" s="23" t="str">
        <x:v>A 4-to-1 bus multiplexer can be built as a two-level tree of the supplied 2-to-1 muxes. The first level uses `sel[0]` to choose A/B and C/D independently. The second level uses `sel[1]` to choose between those two intermediate buses.</x:v>
      </x:c>
      <x:c r="U186" s="23"/>
    </x:row>
    <x:row r="187" ht="34" customHeight="1">
      <x:c r="A187" s="49" t="n">
        <x:v>162</x:v>
      </x:c>
      <x:c r="B187" s="49" t="n">
        <x:v>125</x:v>
      </x:c>
      <x:c r="C187" s="50" t="str">
        <x:v>Verification: Reading Simulations</x:v>
      </x:c>
      <x:c r="D187" s="50" t="str">
        <x:v>Finding bugs in code</x:v>
      </x:c>
      <x:c r="E187" s="50" t="str">
        <x:v>Add/sub</x:v>
      </x:c>
      <x:c r="F187" s="50" t="str">
        <x:v>bugs_addsubz</x:v>
      </x:c>
      <x:c r="G187" s="49" t="str">
        <x:v>Completed</x:v>
      </x:c>
      <x:c r="H187" s="49" t="str">
        <x:v>Day 06</x:v>
      </x:c>
      <x:c r="I187" s="51" t="n">
        <x:v>46201</x:v>
      </x:c>
      <x:c r="J187" s="49" t="str">
        <x:v>1:31:18 AM</x:v>
      </x:c>
      <x:c r="K187" s="49" t="n">
        <x:v>12</x:v>
      </x:c>
      <x:c r="L187" s="49" t="n">
        <x:v>6</x:v>
      </x:c>
      <x:c r="M187" s="49" t="n">
        <x:v>4</x:v>
      </x:c>
      <x:c r="N187" s="49" t="n">
        <x:v>0</x:v>
      </x:c>
      <x:c r="O187" s="52" t="n">
        <x:v>0.17</x:v>
      </x:c>
      <x:c r="P187" s="53" t="e">
        <x:f>HYPERLINK("https://github.com/kapiltrip/hdlBits/blob/main/problems/Day%2006/125-bugs_addsubz.md","Note")</x:f>
        <x:v>HYPERLINK is not implemented. linkLocation=https://github.com/kapiltrip/hdlBits/blob/main/problems/Day%2006/125-bugs_addsubz.md, friendlyName=Note</x:v>
      </x:c>
      <x:c r="Q187" s="53" t="e">
        <x:f>HYPERLINK("https://github.com/kapiltrip/hdlBits/blob/main/images/Day%2006/125-bugs_addsubz.png","Image")</x:f>
        <x:v>HYPERLINK is not implemented. linkLocation=https://github.com/kapiltrip/hdlBits/blob/main/images/Day%2006/125-bugs_addsubz.png, friendlyName=Image</x:v>
      </x:c>
      <x:c r="R187" s="53" t="e">
        <x:f>HYPERLINK("https://github.com/kapiltrip/hdlBits/blob/main/solutions/Day%2006/125-bugs_addsubz.sv","Code")</x:f>
        <x:v>HYPERLINK is not implemented. linkLocation=https://github.com/kapiltrip/hdlBits/blob/main/solutions/Day%2006/125-bugs_addsubz.sv, friendlyName=Code</x:v>
      </x:c>
      <x:c r="S187" s="53" t="e">
        <x:f>HYPERLINK("https://hdlbits.01xz.net/wiki/bugs_addsubz","HDLBits")</x:f>
        <x:v>HYPERLINK is not implemented. linkLocation=https://hdlbits.01xz.net/wiki/bugs_addsubz, friendlyName=HDLBits</x:v>
      </x:c>
      <x:c r="T187" s="50" t="str">
        <x:v>The combinational block first computes either `a+b` or `a-b` according to `do_sub`, then derives `result_is_zero` from the newly computed `out`.</x:v>
      </x:c>
      <x:c r="U187" s="50"/>
    </x:row>
    <x:row r="188" ht="34" customHeight="1">
      <x:c r="A188" s="26" t="n">
        <x:v>163</x:v>
      </x:c>
      <x:c r="B188" s="26" t="n">
        <x:v>126</x:v>
      </x:c>
      <x:c r="C188" s="23" t="str">
        <x:v>Verification: Reading Simulations</x:v>
      </x:c>
      <x:c r="D188" s="23" t="str">
        <x:v>Finding bugs in code</x:v>
      </x:c>
      <x:c r="E188" s="23" t="str">
        <x:v>Case statement</x:v>
      </x:c>
      <x:c r="F188" s="23" t="str">
        <x:v>bugs_case</x:v>
      </x:c>
      <x:c r="G188" s="26" t="str">
        <x:v>Completed</x:v>
      </x:c>
      <x:c r="H188" s="26" t="str">
        <x:v>Day 06</x:v>
      </x:c>
      <x:c r="I188" s="32" t="n">
        <x:v>46201</x:v>
      </x:c>
      <x:c r="J188" s="26" t="str">
        <x:v>1:28:42 AM</x:v>
      </x:c>
      <x:c r="K188" s="26" t="n">
        <x:v>5</x:v>
      </x:c>
      <x:c r="L188" s="26" t="n">
        <x:v>2</x:v>
      </x:c>
      <x:c r="M188" s="26" t="n">
        <x:v>2</x:v>
      </x:c>
      <x:c r="N188" s="26" t="n">
        <x:v>0</x:v>
      </x:c>
      <x:c r="O188" s="35" t="n">
        <x:v>0.2</x:v>
      </x:c>
      <x:c r="P188" s="29" t="e">
        <x:f>HYPERLINK("https://github.com/kapiltrip/hdlBits/blob/main/problems/Day%2006/126-bugs_case.md","Note")</x:f>
        <x:v>HYPERLINK is not implemented. linkLocation=https://github.com/kapiltrip/hdlBits/blob/main/problems/Day%2006/126-bugs_case.md, friendlyName=Note</x:v>
      </x:c>
      <x:c r="Q188" s="29" t="e">
        <x:f>HYPERLINK("https://github.com/kapiltrip/hdlBits/blob/main/images/Day%2006/126-bugs_case.png","Image")</x:f>
        <x:v>HYPERLINK is not implemented. linkLocation=https://github.com/kapiltrip/hdlBits/blob/main/images/Day%2006/126-bugs_case.png, friendlyName=Image</x:v>
      </x:c>
      <x:c r="R188" s="29" t="e">
        <x:f>HYPERLINK("https://github.com/kapiltrip/hdlBits/blob/main/solutions/Day%2006/126-bugs_case.sv","Code")</x:f>
        <x:v>HYPERLINK is not implemented. linkLocation=https://github.com/kapiltrip/hdlBits/blob/main/solutions/Day%2006/126-bugs_case.sv, friendlyName=Code</x:v>
      </x:c>
      <x:c r="S188" s="29" t="e">
        <x:f>HYPERLINK("https://hdlbits.01xz.net/wiki/bugs_case","HDLBits")</x:f>
        <x:v>HYPERLINK is not implemented. linkLocation=https://hdlbits.01xz.net/wiki/bugs_case, friendlyName=HDLBits</x:v>
      </x:c>
      <x:c r="T188" s="23" t="str">
        <x:v>This decoder recognizes the PS/2 scan codes for decimal keys 0 through 9. Each recognized hexadecimal code assigns the corresponding 4-bit digit and asserts `valid`.</x:v>
      </x:c>
      <x:c r="U188" s="23"/>
    </x:row>
    <x:row r="189" ht="22" customHeight="1">
      <x:c r="A189" s="79" t="str">
        <x:v>SUBSECTION · Build a circuit from a simulation waveform</x:v>
      </x:c>
      <x:c r="B189" s="79"/>
      <x:c r="C189" s="79"/>
      <x:c r="D189" s="79"/>
      <x:c r="E189" s="79"/>
      <x:c r="F189" s="79"/>
      <x:c r="G189" s="79"/>
      <x:c r="H189" s="79"/>
      <x:c r="I189" s="80"/>
      <x:c r="J189" s="79"/>
      <x:c r="K189" s="79"/>
      <x:c r="L189" s="79"/>
      <x:c r="M189" s="79"/>
      <x:c r="N189" s="79"/>
      <x:c r="O189" s="81"/>
      <x:c r="P189" s="79"/>
      <x:c r="Q189" s="79"/>
      <x:c r="R189" s="79"/>
      <x:c r="S189" s="79"/>
      <x:c r="T189" s="79"/>
      <x:c r="U189" s="79"/>
    </x:row>
    <x:row r="190" ht="34" customHeight="1">
      <x:c r="A190" s="49" t="n">
        <x:v>164</x:v>
      </x:c>
      <x:c r="B190" s="49" t="n">
        <x:v>127</x:v>
      </x:c>
      <x:c r="C190" s="50" t="str">
        <x:v>Verification: Reading Simulations</x:v>
      </x:c>
      <x:c r="D190" s="50" t="str">
        <x:v>Build a circuit from a simulation waveform</x:v>
      </x:c>
      <x:c r="E190" s="50" t="str">
        <x:v>Combinational circuit 1</x:v>
      </x:c>
      <x:c r="F190" s="50" t="str">
        <x:v>sim/circuit1</x:v>
      </x:c>
      <x:c r="G190" s="49" t="str">
        <x:v>Completed</x:v>
      </x:c>
      <x:c r="H190" s="49" t="str">
        <x:v>Day 06</x:v>
      </x:c>
      <x:c r="I190" s="51" t="n">
        <x:v>46201</x:v>
      </x:c>
      <x:c r="J190" s="49" t="str">
        <x:v>1:33:25 AM</x:v>
      </x:c>
      <x:c r="K190" s="49" t="n">
        <x:v>2</x:v>
      </x:c>
      <x:c r="L190" s="49" t="n">
        <x:v>1</x:v>
      </x:c>
      <x:c r="M190" s="49" t="n">
        <x:v>0</x:v>
      </x:c>
      <x:c r="N190" s="49" t="n">
        <x:v>0</x:v>
      </x:c>
      <x:c r="O190" s="52" t="n">
        <x:v>0.5</x:v>
      </x:c>
      <x:c r="P190" s="53" t="e">
        <x:f>HYPERLINK("https://github.com/kapiltrip/hdlBits/blob/main/problems/Day%2006/127-sim__circuit1.md","Note")</x:f>
        <x:v>HYPERLINK is not implemented. linkLocation=https://github.com/kapiltrip/hdlBits/blob/main/problems/Day%2006/127-sim__circuit1.md, friendlyName=Note</x:v>
      </x:c>
      <x:c r="Q190" s="53" t="e">
        <x:f>HYPERLINK("https://github.com/kapiltrip/hdlBits/blob/main/images/Day%2006/127-sim__circuit1.png","Image")</x:f>
        <x:v>HYPERLINK is not implemented. linkLocation=https://github.com/kapiltrip/hdlBits/blob/main/images/Day%2006/127-sim__circuit1.png, friendlyName=Image</x:v>
      </x:c>
      <x:c r="R190" s="53" t="e">
        <x:f>HYPERLINK("https://github.com/kapiltrip/hdlBits/blob/main/solutions/Day%2006/127-sim__circuit1.sv","Code")</x:f>
        <x:v>HYPERLINK is not implemented. linkLocation=https://github.com/kapiltrip/hdlBits/blob/main/solutions/Day%2006/127-sim__circuit1.sv, friendlyName=Code</x:v>
      </x:c>
      <x:c r="S190" s="53" t="e">
        <x:f>HYPERLINK("https://hdlbits.01xz.net/wiki/sim/circuit1","HDLBits")</x:f>
        <x:v>HYPERLINK is not implemented. linkLocation=https://hdlbits.01xz.net/wiki/sim/circuit1, friendlyName=HDLBits</x:v>
      </x:c>
      <x:c r="T190" s="50" t="str">
        <x:v>The waveform shows a combinational AND function. Output `q` is high only during intervals in which both `a` and `b` are high, so the implementation is `q = a &amp; b`.</x:v>
      </x:c>
      <x:c r="U190" s="50"/>
    </x:row>
    <x:row r="191" ht="34" customHeight="1">
      <x:c r="A191" s="26" t="n">
        <x:v>165</x:v>
      </x:c>
      <x:c r="B191" s="26" t="n">
        <x:v>128</x:v>
      </x:c>
      <x:c r="C191" s="23" t="str">
        <x:v>Verification: Reading Simulations</x:v>
      </x:c>
      <x:c r="D191" s="23" t="str">
        <x:v>Build a circuit from a simulation waveform</x:v>
      </x:c>
      <x:c r="E191" s="23" t="str">
        <x:v>Combinational circuit 2</x:v>
      </x:c>
      <x:c r="F191" s="23" t="str">
        <x:v>sim/circuit2</x:v>
      </x:c>
      <x:c r="G191" s="26" t="str">
        <x:v>Completed</x:v>
      </x:c>
      <x:c r="H191" s="26" t="str">
        <x:v>Day 06</x:v>
      </x:c>
      <x:c r="I191" s="32" t="n">
        <x:v>46201</x:v>
      </x:c>
      <x:c r="J191" s="26" t="str">
        <x:v>3:19:03 PM</x:v>
      </x:c>
      <x:c r="K191" s="26" t="n">
        <x:v>2</x:v>
      </x:c>
      <x:c r="L191" s="26" t="n">
        <x:v>1</x:v>
      </x:c>
      <x:c r="M191" s="26" t="n">
        <x:v>0</x:v>
      </x:c>
      <x:c r="N191" s="26" t="n">
        <x:v>0</x:v>
      </x:c>
      <x:c r="O191" s="35" t="n">
        <x:v>0.5</x:v>
      </x:c>
      <x:c r="P191" s="29" t="e">
        <x:f>HYPERLINK("https://github.com/kapiltrip/hdlBits/blob/main/problems/Day%2006/128-sim__circuit2.md","Note")</x:f>
        <x:v>HYPERLINK is not implemented. linkLocation=https://github.com/kapiltrip/hdlBits/blob/main/problems/Day%2006/128-sim__circuit2.md, friendlyName=Note</x:v>
      </x:c>
      <x:c r="Q191" s="29" t="e">
        <x:f>HYPERLINK("https://github.com/kapiltrip/hdlBits/blob/main/images/Day%2006/128-sim__circuit2.png","Image")</x:f>
        <x:v>HYPERLINK is not implemented. linkLocation=https://github.com/kapiltrip/hdlBits/blob/main/images/Day%2006/128-sim__circuit2.png, friendlyName=Image</x:v>
      </x:c>
      <x:c r="R191" s="29" t="e">
        <x:f>HYPERLINK("https://github.com/kapiltrip/hdlBits/blob/main/solutions/Day%2006/128-sim__circuit2.sv","Code")</x:f>
        <x:v>HYPERLINK is not implemented. linkLocation=https://github.com/kapiltrip/hdlBits/blob/main/solutions/Day%2006/128-sim__circuit2.sv, friendlyName=Code</x:v>
      </x:c>
      <x:c r="S191" s="29" t="e">
        <x:f>HYPERLINK("https://hdlbits.01xz.net/wiki/sim/circuit2","HDLBits")</x:f>
        <x:v>HYPERLINK is not implemented. linkLocation=https://hdlbits.01xz.net/wiki/sim/circuit2, friendlyName=HDLBits</x:v>
      </x:c>
      <x:c r="T191" s="23" t="str">
        <x:v>The waveform corresponds to four-input even parity, implemented as the inverse of a four-way XOR: `q = ~(a ^ b ^ c ^ d)`.</x:v>
      </x:c>
      <x:c r="U191" s="23"/>
    </x:row>
    <x:row r="192" ht="34" customHeight="1">
      <x:c r="A192" s="49" t="n">
        <x:v>166</x:v>
      </x:c>
      <x:c r="B192" s="49" t="n">
        <x:v>129</x:v>
      </x:c>
      <x:c r="C192" s="50" t="str">
        <x:v>Verification: Reading Simulations</x:v>
      </x:c>
      <x:c r="D192" s="50" t="str">
        <x:v>Build a circuit from a simulation waveform</x:v>
      </x:c>
      <x:c r="E192" s="50" t="str">
        <x:v>Combinational circuit 3</x:v>
      </x:c>
      <x:c r="F192" s="50" t="str">
        <x:v>sim/circuit3</x:v>
      </x:c>
      <x:c r="G192" s="49" t="str">
        <x:v>Completed</x:v>
      </x:c>
      <x:c r="H192" s="49" t="str">
        <x:v>Day 06</x:v>
      </x:c>
      <x:c r="I192" s="51" t="n">
        <x:v>46201</x:v>
      </x:c>
      <x:c r="J192" s="49" t="str">
        <x:v>3:26:19 PM</x:v>
      </x:c>
      <x:c r="K192" s="49" t="n">
        <x:v>1</x:v>
      </x:c>
      <x:c r="L192" s="49" t="n">
        <x:v>0</x:v>
      </x:c>
      <x:c r="M192" s="49" t="n">
        <x:v>0</x:v>
      </x:c>
      <x:c r="N192" s="49" t="n">
        <x:v>0</x:v>
      </x:c>
      <x:c r="O192" s="52" t="n">
        <x:v>1</x:v>
      </x:c>
      <x:c r="P192" s="53" t="e">
        <x:f>HYPERLINK("https://github.com/kapiltrip/hdlBits/blob/main/problems/Day%2006/129-sim__circuit3.md","Note")</x:f>
        <x:v>HYPERLINK is not implemented. linkLocation=https://github.com/kapiltrip/hdlBits/blob/main/problems/Day%2006/129-sim__circuit3.md, friendlyName=Note</x:v>
      </x:c>
      <x:c r="Q192" s="53" t="e">
        <x:f>HYPERLINK("https://github.com/kapiltrip/hdlBits/blob/main/images/Day%2006/129-sim__circuit3.png","Image")</x:f>
        <x:v>HYPERLINK is not implemented. linkLocation=https://github.com/kapiltrip/hdlBits/blob/main/images/Day%2006/129-sim__circuit3.png, friendlyName=Image</x:v>
      </x:c>
      <x:c r="R192" s="53" t="e">
        <x:f>HYPERLINK("https://github.com/kapiltrip/hdlBits/blob/main/solutions/Day%2006/129-sim__circuit3.sv","Code")</x:f>
        <x:v>HYPERLINK is not implemented. linkLocation=https://github.com/kapiltrip/hdlBits/blob/main/solutions/Day%2006/129-sim__circuit3.sv, friendlyName=Code</x:v>
      </x:c>
      <x:c r="S192" s="53" t="e">
        <x:f>HYPERLINK("https://hdlbits.01xz.net/wiki/sim/circuit3","HDLBits")</x:f>
        <x:v>HYPERLINK is not implemented. linkLocation=https://hdlbits.01xz.net/wiki/sim/circuit3, friendlyName=HDLBits</x:v>
      </x:c>
      <x:c r="T192" s="50" t="str">
        <x:v>The submitted expression factors to `q = (a | b) &amp; (c | d)`. Thus at least one signal from the A/B pair and at least one signal from the C/D pair must be high.</x:v>
      </x:c>
      <x:c r="U192" s="50"/>
    </x:row>
    <x:row r="193" ht="34" customHeight="1">
      <x:c r="A193" s="26" t="n">
        <x:v>167</x:v>
      </x:c>
      <x:c r="B193" s="26" t="n">
        <x:v>130</x:v>
      </x:c>
      <x:c r="C193" s="23" t="str">
        <x:v>Verification: Reading Simulations</x:v>
      </x:c>
      <x:c r="D193" s="23" t="str">
        <x:v>Build a circuit from a simulation waveform</x:v>
      </x:c>
      <x:c r="E193" s="23" t="str">
        <x:v>Combinational circuit 4</x:v>
      </x:c>
      <x:c r="F193" s="23" t="str">
        <x:v>sim/circuit4</x:v>
      </x:c>
      <x:c r="G193" s="26" t="str">
        <x:v>Completed</x:v>
      </x:c>
      <x:c r="H193" s="26" t="str">
        <x:v>Day 06</x:v>
      </x:c>
      <x:c r="I193" s="32" t="n">
        <x:v>46201</x:v>
      </x:c>
      <x:c r="J193" s="26" t="str">
        <x:v>3:35:24 PM</x:v>
      </x:c>
      <x:c r="K193" s="26" t="n">
        <x:v>4</x:v>
      </x:c>
      <x:c r="L193" s="26" t="n">
        <x:v>2</x:v>
      </x:c>
      <x:c r="M193" s="26" t="n">
        <x:v>1</x:v>
      </x:c>
      <x:c r="N193" s="26" t="n">
        <x:v>0</x:v>
      </x:c>
      <x:c r="O193" s="35" t="n">
        <x:v>0.25</x:v>
      </x:c>
      <x:c r="P193" s="29" t="e">
        <x:f>HYPERLINK("https://github.com/kapiltrip/hdlBits/blob/main/problems/Day%2006/130-sim__circuit4.md","Note")</x:f>
        <x:v>HYPERLINK is not implemented. linkLocation=https://github.com/kapiltrip/hdlBits/blob/main/problems/Day%2006/130-sim__circuit4.md, friendlyName=Note</x:v>
      </x:c>
      <x:c r="Q193" s="29" t="e">
        <x:f>HYPERLINK("https://github.com/kapiltrip/hdlBits/blob/main/images/Day%2006/130-sim__circuit4.png","Image")</x:f>
        <x:v>HYPERLINK is not implemented. linkLocation=https://github.com/kapiltrip/hdlBits/blob/main/images/Day%2006/130-sim__circuit4.png, friendlyName=Image</x:v>
      </x:c>
      <x:c r="R193" s="29" t="e">
        <x:f>HYPERLINK("https://github.com/kapiltrip/hdlBits/blob/main/solutions/Day%2006/130-sim__circuit4.sv","Code")</x:f>
        <x:v>HYPERLINK is not implemented. linkLocation=https://github.com/kapiltrip/hdlBits/blob/main/solutions/Day%2006/130-sim__circuit4.sv, friendlyName=Code</x:v>
      </x:c>
      <x:c r="S193" s="29" t="e">
        <x:f>HYPERLINK("https://hdlbits.01xz.net/wiki/sim/circuit4","HDLBits")</x:f>
        <x:v>HYPERLINK is not implemented. linkLocation=https://hdlbits.01xz.net/wiki/sim/circuit4, friendlyName=HDLBits</x:v>
      </x:c>
      <x:c r="T193" s="23" t="str">
        <x:v>The waveform shows that only `b` and `c` affect the output. Q is high whenever either is high, giving `q = b | c`; inputs A and D are observable distractors with no functional influence.</x:v>
      </x:c>
      <x:c r="U193" s="23"/>
    </x:row>
    <x:row r="194" ht="34" customHeight="1">
      <x:c r="A194" s="49" t="n">
        <x:v>168</x:v>
      </x:c>
      <x:c r="B194" s="49" t="n">
        <x:v>131</x:v>
      </x:c>
      <x:c r="C194" s="50" t="str">
        <x:v>Verification: Reading Simulations</x:v>
      </x:c>
      <x:c r="D194" s="50" t="str">
        <x:v>Build a circuit from a simulation waveform</x:v>
      </x:c>
      <x:c r="E194" s="50" t="str">
        <x:v>Combinational circuit 5</x:v>
      </x:c>
      <x:c r="F194" s="50" t="str">
        <x:v>sim/circuit5</x:v>
      </x:c>
      <x:c r="G194" s="49" t="str">
        <x:v>Completed</x:v>
      </x:c>
      <x:c r="H194" s="49" t="str">
        <x:v>Day 06</x:v>
      </x:c>
      <x:c r="I194" s="51" t="n">
        <x:v>46201</x:v>
      </x:c>
      <x:c r="J194" s="49" t="str">
        <x:v>3:57:19 PM</x:v>
      </x:c>
      <x:c r="K194" s="49" t="n">
        <x:v>4</x:v>
      </x:c>
      <x:c r="L194" s="49" t="n">
        <x:v>0</x:v>
      </x:c>
      <x:c r="M194" s="49" t="n">
        <x:v>2</x:v>
      </x:c>
      <x:c r="N194" s="49" t="n">
        <x:v>0</x:v>
      </x:c>
      <x:c r="O194" s="52" t="n">
        <x:v>0.5</x:v>
      </x:c>
      <x:c r="P194" s="53" t="e">
        <x:f>HYPERLINK("https://github.com/kapiltrip/hdlBits/blob/main/problems/Day%2006/131-sim__circuit5.md","Note")</x:f>
        <x:v>HYPERLINK is not implemented. linkLocation=https://github.com/kapiltrip/hdlBits/blob/main/problems/Day%2006/131-sim__circuit5.md, friendlyName=Note</x:v>
      </x:c>
      <x:c r="Q194" s="53" t="e">
        <x:f>HYPERLINK("https://github.com/kapiltrip/hdlBits/blob/main/images/Day%2006/131-sim__circuit5.png","Image")</x:f>
        <x:v>HYPERLINK is not implemented. linkLocation=https://github.com/kapiltrip/hdlBits/blob/main/images/Day%2006/131-sim__circuit5.png, friendlyName=Image</x:v>
      </x:c>
      <x:c r="R194" s="53" t="e">
        <x:f>HYPERLINK("https://github.com/kapiltrip/hdlBits/blob/main/solutions/Day%2006/131-sim__circuit5.sv","Code")</x:f>
        <x:v>HYPERLINK is not implemented. linkLocation=https://github.com/kapiltrip/hdlBits/blob/main/solutions/Day%2006/131-sim__circuit5.sv, friendlyName=Code</x:v>
      </x:c>
      <x:c r="S194" s="53" t="e">
        <x:f>HYPERLINK("https://hdlbits.01xz.net/wiki/sim/circuit5","HDLBits")</x:f>
        <x:v>HYPERLINK is not implemented. linkLocation=https://hdlbits.01xz.net/wiki/sim/circuit5, friendlyName=HDLBits</x:v>
      </x:c>
      <x:c r="T194" s="50" t="str">
        <x:v>This circuit is a 4-bit lookup/multiplexer controlled by `c`. For selector values 0 through 3, Q chooses different input buses: 0→B, 1→E, 2→A, and 3→D. All other selector values produce `4'hf`.</x:v>
      </x:c>
      <x:c r="U194" s="50"/>
    </x:row>
    <x:row r="195" ht="34" customHeight="1">
      <x:c r="A195" s="26" t="n">
        <x:v>169</x:v>
      </x:c>
      <x:c r="B195" s="26" t="n">
        <x:v>132</x:v>
      </x:c>
      <x:c r="C195" s="23" t="str">
        <x:v>Verification: Reading Simulations</x:v>
      </x:c>
      <x:c r="D195" s="23" t="str">
        <x:v>Build a circuit from a simulation waveform</x:v>
      </x:c>
      <x:c r="E195" s="23" t="str">
        <x:v>Combinational circuit 6</x:v>
      </x:c>
      <x:c r="F195" s="23" t="str">
        <x:v>sim/circuit6</x:v>
      </x:c>
      <x:c r="G195" s="26" t="str">
        <x:v>Completed</x:v>
      </x:c>
      <x:c r="H195" s="26" t="str">
        <x:v>Day 06</x:v>
      </x:c>
      <x:c r="I195" s="32" t="n">
        <x:v>46201</x:v>
      </x:c>
      <x:c r="J195" s="26" t="str">
        <x:v>4:07:13 PM</x:v>
      </x:c>
      <x:c r="K195" s="26" t="n">
        <x:v>2</x:v>
      </x:c>
      <x:c r="L195" s="26" t="n">
        <x:v>1</x:v>
      </x:c>
      <x:c r="M195" s="26" t="n">
        <x:v>0</x:v>
      </x:c>
      <x:c r="N195" s="26" t="n">
        <x:v>0</x:v>
      </x:c>
      <x:c r="O195" s="35" t="n">
        <x:v>0.5</x:v>
      </x:c>
      <x:c r="P195" s="29" t="e">
        <x:f>HYPERLINK("https://github.com/kapiltrip/hdlBits/blob/main/problems/Day%2006/132-sim__circuit6.md","Note")</x:f>
        <x:v>HYPERLINK is not implemented. linkLocation=https://github.com/kapiltrip/hdlBits/blob/main/problems/Day%2006/132-sim__circuit6.md, friendlyName=Note</x:v>
      </x:c>
      <x:c r="Q195" s="29" t="e">
        <x:f>HYPERLINK("https://github.com/kapiltrip/hdlBits/blob/main/images/Day%2006/132-sim__circuit6.png","Image")</x:f>
        <x:v>HYPERLINK is not implemented. linkLocation=https://github.com/kapiltrip/hdlBits/blob/main/images/Day%2006/132-sim__circuit6.png, friendlyName=Image</x:v>
      </x:c>
      <x:c r="R195" s="29" t="e">
        <x:f>HYPERLINK("https://github.com/kapiltrip/hdlBits/blob/main/solutions/Day%2006/132-sim__circuit6.sv","Code")</x:f>
        <x:v>HYPERLINK is not implemented. linkLocation=https://github.com/kapiltrip/hdlBits/blob/main/solutions/Day%2006/132-sim__circuit6.sv, friendlyName=Code</x:v>
      </x:c>
      <x:c r="S195" s="29" t="e">
        <x:f>HYPERLINK("https://hdlbits.01xz.net/wiki/sim/circuit6","HDLBits")</x:f>
        <x:v>HYPERLINK is not implemented. linkLocation=https://hdlbits.01xz.net/wiki/sim/circuit6, friendlyName=HDLBits</x:v>
      </x:c>
      <x:c r="T195" s="23" t="str">
        <x:v>The waveform describes a small combinational ROM. The 3-bit address `a` selects one of eight fixed 16-bit words.</x:v>
      </x:c>
      <x:c r="U195" s="23"/>
    </x:row>
    <x:row r="196" ht="34" customHeight="1">
      <x:c r="A196" s="49" t="n">
        <x:v>170</x:v>
      </x:c>
      <x:c r="B196" s="49" t="n">
        <x:v>133</x:v>
      </x:c>
      <x:c r="C196" s="50" t="str">
        <x:v>Verification: Reading Simulations</x:v>
      </x:c>
      <x:c r="D196" s="50" t="str">
        <x:v>Build a circuit from a simulation waveform</x:v>
      </x:c>
      <x:c r="E196" s="50" t="str">
        <x:v>Sequential circuit 7</x:v>
      </x:c>
      <x:c r="F196" s="50" t="str">
        <x:v>sim/circuit7</x:v>
      </x:c>
      <x:c r="G196" s="49" t="str">
        <x:v>Completed</x:v>
      </x:c>
      <x:c r="H196" s="49" t="str">
        <x:v>Day 06</x:v>
      </x:c>
      <x:c r="I196" s="51" t="n">
        <x:v>46201</x:v>
      </x:c>
      <x:c r="J196" s="49" t="str">
        <x:v>2:20:37 PM</x:v>
      </x:c>
      <x:c r="K196" s="49" t="n">
        <x:v>5</x:v>
      </x:c>
      <x:c r="L196" s="49" t="n">
        <x:v>4</x:v>
      </x:c>
      <x:c r="M196" s="49" t="n">
        <x:v>0</x:v>
      </x:c>
      <x:c r="N196" s="49" t="n">
        <x:v>0</x:v>
      </x:c>
      <x:c r="O196" s="52" t="n">
        <x:v>0.2</x:v>
      </x:c>
      <x:c r="P196" s="53" t="e">
        <x:f>HYPERLINK("https://github.com/kapiltrip/hdlBits/blob/main/problems/Day%2006/133-sim__circuit7.md","Note")</x:f>
        <x:v>HYPERLINK is not implemented. linkLocation=https://github.com/kapiltrip/hdlBits/blob/main/problems/Day%2006/133-sim__circuit7.md, friendlyName=Note</x:v>
      </x:c>
      <x:c r="Q196" s="53" t="e">
        <x:f>HYPERLINK("https://github.com/kapiltrip/hdlBits/blob/main/images/Day%2006/133-sim__circuit7.png","Image")</x:f>
        <x:v>HYPERLINK is not implemented. linkLocation=https://github.com/kapiltrip/hdlBits/blob/main/images/Day%2006/133-sim__circuit7.png, friendlyName=Image</x:v>
      </x:c>
      <x:c r="R196" s="53" t="e">
        <x:f>HYPERLINK("https://github.com/kapiltrip/hdlBits/blob/main/solutions/Day%2006/133-sim__circuit7.sv","Code")</x:f>
        <x:v>HYPERLINK is not implemented. linkLocation=https://github.com/kapiltrip/hdlBits/blob/main/solutions/Day%2006/133-sim__circuit7.sv, friendlyName=Code</x:v>
      </x:c>
      <x:c r="S196" s="53" t="e">
        <x:f>HYPERLINK("https://hdlbits.01xz.net/wiki/sim/circuit7","HDLBits")</x:f>
        <x:v>HYPERLINK is not implemented. linkLocation=https://hdlbits.01xz.net/wiki/sim/circuit7, friendlyName=HDLBits</x:v>
      </x:c>
      <x:c r="T196" s="50" t="str">
        <x:v>This is a positive-edge-triggered register whose D input is the inverse of `a`. On each rising edge, `q &lt;= ~a`; between rising edges Q holds its previous value even if A changes.</x:v>
      </x:c>
      <x:c r="U196" s="50"/>
    </x:row>
    <x:row r="197" ht="34" customHeight="1">
      <x:c r="A197" s="26" t="n">
        <x:v>171</x:v>
      </x:c>
      <x:c r="B197" s="26" t="n">
        <x:v>134</x:v>
      </x:c>
      <x:c r="C197" s="23" t="str">
        <x:v>Verification: Reading Simulations</x:v>
      </x:c>
      <x:c r="D197" s="23" t="str">
        <x:v>Build a circuit from a simulation waveform</x:v>
      </x:c>
      <x:c r="E197" s="23" t="str">
        <x:v>Sequential circuit 8</x:v>
      </x:c>
      <x:c r="F197" s="23" t="str">
        <x:v>sim/circuit8</x:v>
      </x:c>
      <x:c r="G197" s="26" t="str">
        <x:v>Completed</x:v>
      </x:c>
      <x:c r="H197" s="26" t="str">
        <x:v>Day 06</x:v>
      </x:c>
      <x:c r="I197" s="32" t="n">
        <x:v>46201</x:v>
      </x:c>
      <x:c r="J197" s="26" t="str">
        <x:v>2:46:53 PM</x:v>
      </x:c>
      <x:c r="K197" s="26" t="n">
        <x:v>18</x:v>
      </x:c>
      <x:c r="L197" s="26" t="n">
        <x:v>14</x:v>
      </x:c>
      <x:c r="M197" s="26" t="n">
        <x:v>3</x:v>
      </x:c>
      <x:c r="N197" s="26" t="n">
        <x:v>0</x:v>
      </x:c>
      <x:c r="O197" s="35" t="n">
        <x:v>0.06</x:v>
      </x:c>
      <x:c r="P197" s="29" t="e">
        <x:f>HYPERLINK("https://github.com/kapiltrip/hdlBits/blob/main/problems/Day%2006/134-sim__circuit8.md","Note")</x:f>
        <x:v>HYPERLINK is not implemented. linkLocation=https://github.com/kapiltrip/hdlBits/blob/main/problems/Day%2006/134-sim__circuit8.md, friendlyName=Note</x:v>
      </x:c>
      <x:c r="Q197" s="29" t="e">
        <x:f>HYPERLINK("https://github.com/kapiltrip/hdlBits/blob/main/images/Day%2006/134-sim__circuit8.png","Image")</x:f>
        <x:v>HYPERLINK is not implemented. linkLocation=https://github.com/kapiltrip/hdlBits/blob/main/images/Day%2006/134-sim__circuit8.png, friendlyName=Image</x:v>
      </x:c>
      <x:c r="R197" s="29" t="e">
        <x:f>HYPERLINK("https://github.com/kapiltrip/hdlBits/blob/main/solutions/Day%2006/134-sim__circuit8.sv","Code")</x:f>
        <x:v>HYPERLINK is not implemented. linkLocation=https://github.com/kapiltrip/hdlBits/blob/main/solutions/Day%2006/134-sim__circuit8.sv, friendlyName=Code</x:v>
      </x:c>
      <x:c r="S197" s="29" t="e">
        <x:f>HYPERLINK("https://hdlbits.01xz.net/wiki/sim/circuit8","HDLBits")</x:f>
        <x:v>HYPERLINK is not implemented. linkLocation=https://hdlbits.01xz.net/wiki/sim/circuit8, friendlyName=HDLBits</x:v>
      </x:c>
      <x:c r="T197" s="23" t="str">
        <x:v>The waveform is reproduced by two level/edge-sensitive storage stages. P is a transparent-high latch: while `clock=1`, P follows A; while the clock is low, P holds the last value seen during the high phase. The incomplete assignment inside the combinational block intentionally infers that latch.</x:v>
      </x:c>
      <x:c r="U197" s="23"/>
    </x:row>
    <x:row r="198" ht="34" customHeight="1">
      <x:c r="A198" s="49" t="n">
        <x:v>172</x:v>
      </x:c>
      <x:c r="B198" s="49" t="n">
        <x:v>135</x:v>
      </x:c>
      <x:c r="C198" s="50" t="str">
        <x:v>Verification: Reading Simulations</x:v>
      </x:c>
      <x:c r="D198" s="50" t="str">
        <x:v>Build a circuit from a simulation waveform</x:v>
      </x:c>
      <x:c r="E198" s="50" t="str">
        <x:v>Sequential circuit 9</x:v>
      </x:c>
      <x:c r="F198" s="50" t="str">
        <x:v>sim/circuit9</x:v>
      </x:c>
      <x:c r="G198" s="49" t="str">
        <x:v>Completed</x:v>
      </x:c>
      <x:c r="H198" s="49" t="str">
        <x:v>Day 06</x:v>
      </x:c>
      <x:c r="I198" s="51" t="n">
        <x:v>46201</x:v>
      </x:c>
      <x:c r="J198" s="49" t="str">
        <x:v>2:35:52 PM</x:v>
      </x:c>
      <x:c r="K198" s="49" t="n">
        <x:v>3</x:v>
      </x:c>
      <x:c r="L198" s="49" t="n">
        <x:v>2</x:v>
      </x:c>
      <x:c r="M198" s="49" t="n">
        <x:v>0</x:v>
      </x:c>
      <x:c r="N198" s="49" t="n">
        <x:v>0</x:v>
      </x:c>
      <x:c r="O198" s="52" t="n">
        <x:v>0.33</x:v>
      </x:c>
      <x:c r="P198" s="53" t="e">
        <x:f>HYPERLINK("https://github.com/kapiltrip/hdlBits/blob/main/problems/Day%2006/135-sim__circuit9.md","Note")</x:f>
        <x:v>HYPERLINK is not implemented. linkLocation=https://github.com/kapiltrip/hdlBits/blob/main/problems/Day%2006/135-sim__circuit9.md, friendlyName=Note</x:v>
      </x:c>
      <x:c r="Q198" s="53" t="e">
        <x:f>HYPERLINK("https://github.com/kapiltrip/hdlBits/blob/main/images/Day%2006/135-sim__circuit9.png","Image")</x:f>
        <x:v>HYPERLINK is not implemented. linkLocation=https://github.com/kapiltrip/hdlBits/blob/main/images/Day%2006/135-sim__circuit9.png, friendlyName=Image</x:v>
      </x:c>
      <x:c r="R198" s="53" t="e">
        <x:f>HYPERLINK("https://github.com/kapiltrip/hdlBits/blob/main/solutions/Day%2006/135-sim__circuit9.sv","Code")</x:f>
        <x:v>HYPERLINK is not implemented. linkLocation=https://github.com/kapiltrip/hdlBits/blob/main/solutions/Day%2006/135-sim__circuit9.sv, friendlyName=Code</x:v>
      </x:c>
      <x:c r="S198" s="53" t="e">
        <x:f>HYPERLINK("https://hdlbits.01xz.net/wiki/sim/circuit9","HDLBits")</x:f>
        <x:v>HYPERLINK is not implemented. linkLocation=https://hdlbits.01xz.net/wiki/sim/circuit9, friendlyName=HDLBits</x:v>
      </x:c>
      <x:c r="T198" s="50" t="str">
        <x:v>The circuit is a modulo-7 counter with a synchronous load-like control. When `a=0`, the 4-bit state counts 0,1,2,3,4,5,6 and then wraps to 0. When `a=1` at a rising edge, the state is loaded with 4 instead of incrementing.</x:v>
      </x:c>
      <x:c r="U198" s="50"/>
    </x:row>
    <x:row r="199" ht="34" customHeight="1">
      <x:c r="A199" s="26" t="n">
        <x:v>173</x:v>
      </x:c>
      <x:c r="B199" s="26" t="n">
        <x:v>136</x:v>
      </x:c>
      <x:c r="C199" s="23" t="str">
        <x:v>Verification: Reading Simulations</x:v>
      </x:c>
      <x:c r="D199" s="23" t="str">
        <x:v>Build a circuit from a simulation waveform</x:v>
      </x:c>
      <x:c r="E199" s="23" t="str">
        <x:v>Sequential circuit 10</x:v>
      </x:c>
      <x:c r="F199" s="23" t="str">
        <x:v>sim/circuit10</x:v>
      </x:c>
      <x:c r="G199" s="26" t="str">
        <x:v>Completed</x:v>
      </x:c>
      <x:c r="H199" s="26" t="str">
        <x:v>Day 06</x:v>
      </x:c>
      <x:c r="I199" s="32" t="n">
        <x:v>46201</x:v>
      </x:c>
      <x:c r="J199" s="26" t="str">
        <x:v>4:28:35 PM</x:v>
      </x:c>
      <x:c r="K199" s="26" t="n">
        <x:v>1</x:v>
      </x:c>
      <x:c r="L199" s="26" t="n">
        <x:v>0</x:v>
      </x:c>
      <x:c r="M199" s="26" t="n">
        <x:v>0</x:v>
      </x:c>
      <x:c r="N199" s="26" t="n">
        <x:v>0</x:v>
      </x:c>
      <x:c r="O199" s="35" t="n">
        <x:v>1</x:v>
      </x:c>
      <x:c r="P199" s="29" t="e">
        <x:f>HYPERLINK("https://github.com/kapiltrip/hdlBits/blob/main/problems/Day%2006/136-sim__circuit10.md","Note")</x:f>
        <x:v>HYPERLINK is not implemented. linkLocation=https://github.com/kapiltrip/hdlBits/blob/main/problems/Day%2006/136-sim__circuit10.md, friendlyName=Note</x:v>
      </x:c>
      <x:c r="Q199" s="29" t="e">
        <x:f>HYPERLINK("https://github.com/kapiltrip/hdlBits/blob/main/images/Day%2006/136-sim__circuit10.png","Image")</x:f>
        <x:v>HYPERLINK is not implemented. linkLocation=https://github.com/kapiltrip/hdlBits/blob/main/images/Day%2006/136-sim__circuit10.png, friendlyName=Image</x:v>
      </x:c>
      <x:c r="R199" s="29" t="e">
        <x:f>HYPERLINK("https://github.com/kapiltrip/hdlBits/blob/main/solutions/Day%2006/136-sim__circuit10.sv","Code")</x:f>
        <x:v>HYPERLINK is not implemented. linkLocation=https://github.com/kapiltrip/hdlBits/blob/main/solutions/Day%2006/136-sim__circuit10.sv, friendlyName=Code</x:v>
      </x:c>
      <x:c r="S199" s="29" t="e">
        <x:f>HYPERLINK("https://hdlbits.01xz.net/wiki/sim/circuit10","HDLBits")</x:f>
        <x:v>HYPERLINK is not implemented. linkLocation=https://hdlbits.01xz.net/wiki/sim/circuit10, friendlyName=HDLBits</x:v>
      </x:c>
      <x:c r="T199" s="23" t="str">
        <x:v>This circuit behaves like a serial full adder with one stored carry bit. The combinational output `q = a ^ b ^ state` is the one-bit sum of A, B, and the previous carry.</x:v>
      </x:c>
      <x:c r="U199" s="23"/>
    </x:row>
    <x:row r="200" ht="25" customHeight="1">
      <x:c r="A200" s="63" t="str">
        <x:v>SECTION · Verification: Writing Testbenches</x:v>
      </x:c>
      <x:c r="B200" s="63"/>
      <x:c r="C200" s="63"/>
      <x:c r="D200" s="63"/>
      <x:c r="E200" s="63"/>
      <x:c r="F200" s="63"/>
      <x:c r="G200" s="63"/>
      <x:c r="H200" s="63"/>
      <x:c r="I200" s="64"/>
      <x:c r="J200" s="63"/>
      <x:c r="K200" s="63"/>
      <x:c r="L200" s="63"/>
      <x:c r="M200" s="63"/>
      <x:c r="N200" s="63"/>
      <x:c r="O200" s="65"/>
      <x:c r="P200" s="63"/>
      <x:c r="Q200" s="63"/>
      <x:c r="R200" s="63"/>
      <x:c r="S200" s="63"/>
      <x:c r="T200" s="63"/>
      <x:c r="U200" s="63"/>
    </x:row>
    <x:row r="201" ht="34" customHeight="1">
      <x:c r="A201" s="49" t="n">
        <x:v>174</x:v>
      </x:c>
      <x:c r="B201" s="49" t="n">
        <x:v>137</x:v>
      </x:c>
      <x:c r="C201" s="50" t="str">
        <x:v>Verification: Writing Testbenches</x:v>
      </x:c>
      <x:c r="D201" s="50" t="str"/>
      <x:c r="E201" s="50" t="str">
        <x:v>Clock</x:v>
      </x:c>
      <x:c r="F201" s="50" t="str">
        <x:v>tb/clock</x:v>
      </x:c>
      <x:c r="G201" s="49" t="str">
        <x:v>Completed</x:v>
      </x:c>
      <x:c r="H201" s="49" t="str">
        <x:v>Day 06</x:v>
      </x:c>
      <x:c r="I201" s="51" t="n">
        <x:v>46201</x:v>
      </x:c>
      <x:c r="J201" s="49" t="str">
        <x:v>5:45:53 PM</x:v>
      </x:c>
      <x:c r="K201" s="49" t="n">
        <x:v>5</x:v>
      </x:c>
      <x:c r="L201" s="49" t="n">
        <x:v>0</x:v>
      </x:c>
      <x:c r="M201" s="49" t="n">
        <x:v>4</x:v>
      </x:c>
      <x:c r="N201" s="49" t="n">
        <x:v>0</x:v>
      </x:c>
      <x:c r="O201" s="52" t="n">
        <x:v>0.2</x:v>
      </x:c>
      <x:c r="P201" s="53" t="e">
        <x:f>HYPERLINK("https://github.com/kapiltrip/hdlBits/blob/main/problems/Day%2006/137-tb__clock.md","Note")</x:f>
        <x:v>HYPERLINK is not implemented. linkLocation=https://github.com/kapiltrip/hdlBits/blob/main/problems/Day%2006/137-tb__clock.md, friendlyName=Note</x:v>
      </x:c>
      <x:c r="Q201" s="53" t="e">
        <x:f>HYPERLINK("https://github.com/kapiltrip/hdlBits/blob/main/images/Day%2006/137-tb__clock.png","Image")</x:f>
        <x:v>HYPERLINK is not implemented. linkLocation=https://github.com/kapiltrip/hdlBits/blob/main/images/Day%2006/137-tb__clock.png, friendlyName=Image</x:v>
      </x:c>
      <x:c r="R201" s="53" t="e">
        <x:f>HYPERLINK("https://github.com/kapiltrip/hdlBits/blob/main/solutions/Day%2006/137-tb__clock.sv","Code")</x:f>
        <x:v>HYPERLINK is not implemented. linkLocation=https://github.com/kapiltrip/hdlBits/blob/main/solutions/Day%2006/137-tb__clock.sv, friendlyName=Code</x:v>
      </x:c>
      <x:c r="S201" s="53" t="e">
        <x:f>HYPERLINK("https://hdlbits.01xz.net/wiki/tb/clock","HDLBits")</x:f>
        <x:v>HYPERLINK is not implemented. linkLocation=https://hdlbits.01xz.net/wiki/tb/clock, friendlyName=HDLBits</x:v>
      </x:c>
      <x:c r="T201" s="50" t="str">
        <x:v>This exercise moves from describing hardware to controlling simulation time. The top-level testbench has no ports because it is the simulation root. It declares an internal `reg clk`, connects that signal to the supplied `dut` instance, initializes it to zero at time 0, and toggles it every 5 ps.</x:v>
      </x:c>
      <x:c r="U201" s="50"/>
    </x:row>
    <x:row r="202" ht="34" customHeight="1">
      <x:c r="A202" s="26" t="n">
        <x:v>175</x:v>
      </x:c>
      <x:c r="B202" s="26" t="n">
        <x:v>138</x:v>
      </x:c>
      <x:c r="C202" s="23" t="str">
        <x:v>Verification: Writing Testbenches</x:v>
      </x:c>
      <x:c r="D202" s="23" t="str"/>
      <x:c r="E202" s="23" t="str">
        <x:v>Testbench1</x:v>
      </x:c>
      <x:c r="F202" s="23" t="str">
        <x:v>tb/tb1</x:v>
      </x:c>
      <x:c r="G202" s="26" t="str">
        <x:v>Completed</x:v>
      </x:c>
      <x:c r="H202" s="26" t="str">
        <x:v>Day 06</x:v>
      </x:c>
      <x:c r="I202" s="32" t="n">
        <x:v>46201</x:v>
      </x:c>
      <x:c r="J202" s="26" t="str">
        <x:v>5:51:57 PM</x:v>
      </x:c>
      <x:c r="K202" s="26" t="n">
        <x:v>4</x:v>
      </x:c>
      <x:c r="L202" s="26" t="n">
        <x:v>3</x:v>
      </x:c>
      <x:c r="M202" s="26" t="n">
        <x:v>0</x:v>
      </x:c>
      <x:c r="N202" s="26" t="n">
        <x:v>0</x:v>
      </x:c>
      <x:c r="O202" s="35" t="n">
        <x:v>0.25</x:v>
      </x:c>
      <x:c r="P202" s="29" t="e">
        <x:f>HYPERLINK("https://github.com/kapiltrip/hdlBits/blob/main/problems/Day%2006/138-tb__tb1.md","Note")</x:f>
        <x:v>HYPERLINK is not implemented. linkLocation=https://github.com/kapiltrip/hdlBits/blob/main/problems/Day%2006/138-tb__tb1.md, friendlyName=Note</x:v>
      </x:c>
      <x:c r="Q202" s="29" t="e">
        <x:f>HYPERLINK("https://github.com/kapiltrip/hdlBits/blob/main/images/Day%2006/138-tb__tb1.png","Image")</x:f>
        <x:v>HYPERLINK is not implemented. linkLocation=https://github.com/kapiltrip/hdlBits/blob/main/images/Day%2006/138-tb__tb1.png, friendlyName=Image</x:v>
      </x:c>
      <x:c r="R202" s="29" t="e">
        <x:f>HYPERLINK("https://github.com/kapiltrip/hdlBits/blob/main/solutions/Day%2006/138-tb__tb1.sv","Code")</x:f>
        <x:v>HYPERLINK is not implemented. linkLocation=https://github.com/kapiltrip/hdlBits/blob/main/solutions/Day%2006/138-tb__tb1.sv, friendlyName=Code</x:v>
      </x:c>
      <x:c r="S202" s="29" t="e">
        <x:f>HYPERLINK("https://hdlbits.01xz.net/wiki/tb/tb1","HDLBits")</x:f>
        <x:v>HYPERLINK is not implemented. linkLocation=https://hdlbits.01xz.net/wiki/tb/tb1, friendlyName=HDLBits</x:v>
      </x:c>
      <x:c r="T202" s="23" t="str">
        <x:v>The goal is to generate two output waveforms directly from procedural stimulus. Because A and B are assigned inside an `initial` block, the module declares them as `output reg`. Both begin low at time 0, then the delays reproduce each transition in chronological order.</x:v>
      </x:c>
      <x:c r="U202" s="23"/>
    </x:row>
    <x:row r="203" ht="34" customHeight="1">
      <x:c r="A203" s="49" t="n">
        <x:v>176</x:v>
      </x:c>
      <x:c r="B203" s="49" t="n">
        <x:v>139</x:v>
      </x:c>
      <x:c r="C203" s="50" t="str">
        <x:v>Verification: Writing Testbenches</x:v>
      </x:c>
      <x:c r="D203" s="50" t="str"/>
      <x:c r="E203" s="50" t="str">
        <x:v>AND gate</x:v>
      </x:c>
      <x:c r="F203" s="50" t="str">
        <x:v>tb/and</x:v>
      </x:c>
      <x:c r="G203" s="49" t="str">
        <x:v>Completed</x:v>
      </x:c>
      <x:c r="H203" s="49" t="str">
        <x:v>Day 06</x:v>
      </x:c>
      <x:c r="I203" s="51" t="n">
        <x:v>46201</x:v>
      </x:c>
      <x:c r="J203" s="49" t="str">
        <x:v>6:15:10 PM</x:v>
      </x:c>
      <x:c r="K203" s="49" t="n">
        <x:v>7</x:v>
      </x:c>
      <x:c r="L203" s="49" t="n">
        <x:v>2</x:v>
      </x:c>
      <x:c r="M203" s="49" t="n">
        <x:v>4</x:v>
      </x:c>
      <x:c r="N203" s="49" t="n">
        <x:v>0</x:v>
      </x:c>
      <x:c r="O203" s="52" t="n">
        <x:v>0.14</x:v>
      </x:c>
      <x:c r="P203" s="53" t="e">
        <x:f>HYPERLINK("https://github.com/kapiltrip/hdlBits/blob/main/problems/Day%2006/139-tb__and.md","Note")</x:f>
        <x:v>HYPERLINK is not implemented. linkLocation=https://github.com/kapiltrip/hdlBits/blob/main/problems/Day%2006/139-tb__and.md, friendlyName=Note</x:v>
      </x:c>
      <x:c r="Q203" s="53" t="e">
        <x:f>HYPERLINK("https://github.com/kapiltrip/hdlBits/blob/main/images/Day%2006/139-tb__and.png","Image")</x:f>
        <x:v>HYPERLINK is not implemented. linkLocation=https://github.com/kapiltrip/hdlBits/blob/main/images/Day%2006/139-tb__and.png, friendlyName=Image</x:v>
      </x:c>
      <x:c r="R203" s="53" t="e">
        <x:f>HYPERLINK("https://github.com/kapiltrip/hdlBits/blob/main/solutions/Day%2006/139-tb__and.sv","Code")</x:f>
        <x:v>HYPERLINK is not implemented. linkLocation=https://github.com/kapiltrip/hdlBits/blob/main/solutions/Day%2006/139-tb__and.sv, friendlyName=Code</x:v>
      </x:c>
      <x:c r="S203" s="53" t="e">
        <x:f>HYPERLINK("https://hdlbits.01xz.net/wiki/tb/and","HDLBits")</x:f>
        <x:v>HYPERLINK is not implemented. linkLocation=https://hdlbits.01xz.net/wiki/tb/and, friendlyName=HDLBits</x:v>
      </x:c>
      <x:c r="T203" s="50" t="str">
        <x:v>This testbench verifies a two-input AND gate exhaustively. The DUT input is a 2-bit procedural register, while the DUT output is a wire because it is driven by the instantiated module. A loop enumerates the four binary input combinations 00, 01, 10, and 11, holding each combination for 10 simulation time units.</x:v>
      </x:c>
      <x:c r="U203" s="50"/>
    </x:row>
    <x:row r="204" ht="34" customHeight="1">
      <x:c r="A204" s="26" t="n">
        <x:v>177</x:v>
      </x:c>
      <x:c r="B204" s="26" t="n">
        <x:v>140</x:v>
      </x:c>
      <x:c r="C204" s="23" t="str">
        <x:v>Verification: Writing Testbenches</x:v>
      </x:c>
      <x:c r="D204" s="23" t="str"/>
      <x:c r="E204" s="23" t="str">
        <x:v>Testbench2</x:v>
      </x:c>
      <x:c r="F204" s="23" t="str">
        <x:v>tb/tb2</x:v>
      </x:c>
      <x:c r="G204" s="26" t="str">
        <x:v>Completed</x:v>
      </x:c>
      <x:c r="H204" s="26" t="str">
        <x:v>Day 06</x:v>
      </x:c>
      <x:c r="I204" s="32" t="n">
        <x:v>46201</x:v>
      </x:c>
      <x:c r="J204" s="26" t="str">
        <x:v>11:14:42 PM</x:v>
      </x:c>
      <x:c r="K204" s="26" t="n">
        <x:v>7</x:v>
      </x:c>
      <x:c r="L204" s="26" t="n">
        <x:v>5</x:v>
      </x:c>
      <x:c r="M204" s="26" t="n">
        <x:v>1</x:v>
      </x:c>
      <x:c r="N204" s="26" t="n">
        <x:v>0</x:v>
      </x:c>
      <x:c r="O204" s="35" t="n">
        <x:v>0.14</x:v>
      </x:c>
      <x:c r="P204" s="29" t="e">
        <x:f>HYPERLINK("https://github.com/kapiltrip/hdlBits/blob/main/problems/Day%2006/140-tb__tb2.md","Note")</x:f>
        <x:v>HYPERLINK is not implemented. linkLocation=https://github.com/kapiltrip/hdlBits/blob/main/problems/Day%2006/140-tb__tb2.md, friendlyName=Note</x:v>
      </x:c>
      <x:c r="Q204" s="29" t="e">
        <x:f>HYPERLINK("https://github.com/kapiltrip/hdlBits/blob/main/images/Day%2006/140-tb__tb2.png","Image")</x:f>
        <x:v>HYPERLINK is not implemented. linkLocation=https://github.com/kapiltrip/hdlBits/blob/main/images/Day%2006/140-tb__tb2.png, friendlyName=Image</x:v>
      </x:c>
      <x:c r="R204" s="29" t="e">
        <x:f>HYPERLINK("https://github.com/kapiltrip/hdlBits/blob/main/solutions/Day%2006/140-tb__tb2.sv","Code")</x:f>
        <x:v>HYPERLINK is not implemented. linkLocation=https://github.com/kapiltrip/hdlBits/blob/main/solutions/Day%2006/140-tb__tb2.sv, friendlyName=Code</x:v>
      </x:c>
      <x:c r="S204" s="29" t="e">
        <x:f>HYPERLINK("https://hdlbits.01xz.net/wiki/tb/tb2","HDLBits")</x:f>
        <x:v>HYPERLINK is not implemented. linkLocation=https://hdlbits.01xz.net/wiki/tb/tb2, friendlyName=HDLBits</x:v>
      </x:c>
      <x:c r="T204" s="23" t="str">
        <x:v>This testbench coordinates two independent timelines: a free-running clock and a directed sequence for `in` and the 3-bit bus `s`. One `initial` block initializes the clock and toggles it every 5 time units, producing a 10-unit period. A second block applies the waveform values at the required boundaries, while the `q7` instance connects all generated signals to the supplied DUT.</x:v>
      </x:c>
      <x:c r="U204" s="23"/>
    </x:row>
    <x:row r="205" ht="34" customHeight="1">
      <x:c r="A205" s="82" t="n">
        <x:v>178</x:v>
      </x:c>
      <x:c r="B205" s="82" t="n">
        <x:v>141</x:v>
      </x:c>
      <x:c r="C205" s="83" t="str">
        <x:v>Verification: Writing Testbenches</x:v>
      </x:c>
      <x:c r="D205" s="83" t="str"/>
      <x:c r="E205" s="83" t="str">
        <x:v>T flip-flop</x:v>
      </x:c>
      <x:c r="F205" s="83" t="str">
        <x:v>tb/tff</x:v>
      </x:c>
      <x:c r="G205" s="82" t="str">
        <x:v>Completed</x:v>
      </x:c>
      <x:c r="H205" s="82" t="str">
        <x:v>Day 06</x:v>
      </x:c>
      <x:c r="I205" s="84" t="n">
        <x:v>46201</x:v>
      </x:c>
      <x:c r="J205" s="82" t="str">
        <x:v>6:29:03 PM</x:v>
      </x:c>
      <x:c r="K205" s="82" t="n">
        <x:v>9</x:v>
      </x:c>
      <x:c r="L205" s="82" t="n">
        <x:v>2</x:v>
      </x:c>
      <x:c r="M205" s="82" t="n">
        <x:v>5</x:v>
      </x:c>
      <x:c r="N205" s="82" t="n">
        <x:v>0</x:v>
      </x:c>
      <x:c r="O205" s="85" t="n">
        <x:v>0.22</x:v>
      </x:c>
      <x:c r="P205" s="86" t="e">
        <x:f>HYPERLINK("https://github.com/kapiltrip/hdlBits/blob/main/problems/Day%2006/141-tb__tff.md","Note")</x:f>
        <x:v>HYPERLINK is not implemented. linkLocation=https://github.com/kapiltrip/hdlBits/blob/main/problems/Day%2006/141-tb__tff.md, friendlyName=Note</x:v>
      </x:c>
      <x:c r="Q205" s="86" t="e">
        <x:f>HYPERLINK("https://github.com/kapiltrip/hdlBits/blob/main/images/Day%2006/141-tb__tff.png","Image")</x:f>
        <x:v>HYPERLINK is not implemented. linkLocation=https://github.com/kapiltrip/hdlBits/blob/main/images/Day%2006/141-tb__tff.png, friendlyName=Image</x:v>
      </x:c>
      <x:c r="R205" s="86" t="e">
        <x:f>HYPERLINK("https://github.com/kapiltrip/hdlBits/blob/main/solutions/Day%2006/141-tb__tff.sv","Code")</x:f>
        <x:v>HYPERLINK is not implemented. linkLocation=https://github.com/kapiltrip/hdlBits/blob/main/solutions/Day%2006/141-tb__tff.sv, friendlyName=Code</x:v>
      </x:c>
      <x:c r="S205" s="86" t="e">
        <x:f>HYPERLINK("https://hdlbits.01xz.net/wiki/tb/tff","HDLBits")</x:f>
        <x:v>HYPERLINK is not implemented. linkLocation=https://hdlbits.01xz.net/wiki/tb/tff, friendlyName=HDLBits</x:v>
      </x:c>
      <x:c r="T205" s="83" t="str">
        <x:v>The testbench instantiates the supplied T flip-flop and creates separate clock and control processes. The clock starts low and toggles every 5 time units. Reset starts high and `t` starts low, so the first rising edge samples the synchronous reset and forces Q to its reset state. After 10 time units, reset is deasserted and T is asserted; subsequent rising edges toggle Q.</x:v>
      </x:c>
      <x:c r="U205" s="83"/>
    </x:row>
  </x:sheetData>
  <x:mergeCells>
    <x:mergeCell ref="A1:U2"/>
    <x:mergeCell ref="A3:U3"/>
    <x:mergeCell ref="A6:U6"/>
    <x:mergeCell ref="A9:U9"/>
    <x:mergeCell ref="A10:U10"/>
    <x:mergeCell ref="A19:U19"/>
    <x:mergeCell ref="A29:U29"/>
    <x:mergeCell ref="A39:U39"/>
    <x:mergeCell ref="A48:U48"/>
    <x:mergeCell ref="A56:U56"/>
    <x:mergeCell ref="A57:U57"/>
    <x:mergeCell ref="A75:U75"/>
    <x:mergeCell ref="A81:U81"/>
    <x:mergeCell ref="A89:U89"/>
    <x:mergeCell ref="A98:U98"/>
    <x:mergeCell ref="A117:U117"/>
    <x:mergeCell ref="A126:U126"/>
    <x:mergeCell ref="A136:U136"/>
    <x:mergeCell ref="A140:U140"/>
    <x:mergeCell ref="A174:U174"/>
    <x:mergeCell ref="A182:U182"/>
    <x:mergeCell ref="A183:U183"/>
    <x:mergeCell ref="A189:U189"/>
    <x:mergeCell ref="A200:U200"/>
  </x:mergeCells>
  <x:conditionalFormatting sqref="G6:G205">
    <x:cfRule type="containsText" dxfId="0" priority="1" operator="containsText" text="Completed"/>
    <x:cfRule type="containsText" dxfId="1" priority="2" operator="containsText" text="Review"/>
    <x:cfRule type="containsText" dxfId="2" priority="3" operator="containsText" text="To Do"/>
  </x:conditionalFormatting>
  <x:conditionalFormatting sqref="O6:O205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G6:G205">
      <x:formula1>"Completed,Review,To Do"</x:formula1>
    </x:dataValidation>
  </x:dataValidations>
  <x:pageMargins left="0.7" right="0.7" top="0.75" bottom="0.75" header="0.3" footer="0.3"/>
</x:worksheet>
</file>