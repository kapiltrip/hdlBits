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5631454e749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f178ae651344d17"/>
    <x:sheet xmlns:r="http://schemas.openxmlformats.org/officeDocument/2006/relationships" name="Tracker" sheetId="2" r:id="Raaacd0dad0a342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0%"/>
  </x:numFmts>
  <x:fonts count="1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002060"/>
      <x:name val="Carlito"/>
    </x:font>
    <x:font>
      <x:b/>
      <x:sz val="11"/>
      <x:color rgb="FF002060"/>
      <x:name val="Carlito"/>
    </x:font>
    <x:font>
      <x:b/>
      <x:sz val="14"/>
      <x:color rgb="FF002060"/>
      <x:name val="Carlito"/>
    </x:font>
    <x:font>
      <x:b/>
      <x:sz val="11"/>
      <x:color rgb="FFFFFFFF"/>
      <x:name val="Carlito"/>
    </x:font>
    <x:font>
      <x:sz val="11"/>
      <x:color rgb="FF0563C1"/>
      <x:name val="Carlito"/>
    </x:font>
    <x:font>
      <x:b/>
      <x:sz val="20"/>
      <x:color rgb="FFFFFFFF"/>
      <x:name val="Aptos"/>
    </x:font>
    <x:font>
      <x:i/>
      <x:sz val="11"/>
      <x:color rgb="FF002060"/>
      <x:name val="Aptos"/>
    </x:font>
    <x:font>
      <x:sz val="11"/>
      <x:name val="Aptos"/>
    </x:font>
    <x:font>
      <x:b/>
      <x:sz val="11"/>
      <x:color rgb="FF002060"/>
      <x:name val="Aptos"/>
    </x:font>
    <x:font>
      <x:b/>
      <x:sz val="11"/>
      <x:color rgb="FFFFFFFF"/>
      <x:name val="Aptos"/>
    </x:font>
    <x:font>
      <x:b/>
      <x:sz val="14"/>
      <x:color rgb="FF002060"/>
      <x:name val="Aptos"/>
    </x:font>
    <x:font>
      <x:sz val="11"/>
      <x:color rgb="FF0563C1"/>
      <x:name val="Aptos"/>
    </x:font>
    <x:font>
      <x:b/>
      <x:sz val="18"/>
      <x:color rgb="FFFFFFFF"/>
      <x:name val="Carlito"/>
    </x:font>
    <x:font>
      <x:b/>
      <x:sz val="18"/>
      <x:color rgb="FFFFFFFF"/>
      <x:name val="Aptos"/>
    </x:font>
    <x:font>
      <x:sz val="11"/>
      <x:color rgb="FF1F2937"/>
      <x:name val="Aptos"/>
    </x:font>
    <x:font>
      <x:sz val="11"/>
      <x:color rgb="FF1F293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FFF99"/>
      </x:patternFill>
    </x:fill>
    <x:fill>
      <x:patternFill patternType="solid">
        <x:fgColor rgb="FFCCFFCC"/>
      </x:patternFill>
    </x:fill>
    <x:fill>
      <x:patternFill patternType="solid">
        <x:fgColor rgb="FFF3F3F3"/>
      </x:patternFill>
    </x:fill>
    <x:fill>
      <x:patternFill patternType="solid">
        <x:fgColor rgb="FFFFFF99"/>
      </x:patternFill>
    </x:fill>
    <x:fill>
      <x:patternFill patternType="solid">
        <x:fgColor rgb="FF002060"/>
      </x:patternFill>
    </x:fill>
  </x:fills>
  <x:borders count="13">
    <x:border/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2" xfId="0" applyNumberFormat="1" applyFont="1" applyFill="1" applyBorder="1"/>
    <x:xf numFmtId="200" fontId="0" fillId="0" borderId="6" xfId="0" applyNumberFormat="1" applyFont="1" applyFill="1" applyBorder="1"/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3" borderId="3" xfId="0" applyNumberFormat="1" applyFont="1" applyFill="1" applyBorder="1"/>
    <x:xf numFmtId="0" fontId="0" fillId="3" borderId="2" xfId="0" applyNumberFormat="1" applyFont="1" applyFill="1" applyBorder="1"/>
    <x:xf numFmtId="0" fontId="0" fillId="3" borderId="7" xfId="0" applyNumberFormat="1" applyFont="1" applyFill="1" applyBorder="1"/>
    <x:xf numFmtId="0" fontId="0" fillId="6" borderId="5" xfId="0" applyNumberFormat="1" applyFont="1" applyFill="1" applyBorder="1"/>
    <x:xf numFmtId="0" fontId="0" fillId="6" borderId="1" xfId="0" applyNumberFormat="1" applyFont="1" applyFill="1" applyBorder="1"/>
    <x:xf numFmtId="0" fontId="0" fillId="6" borderId="9" xfId="0" applyNumberFormat="1" applyFont="1" applyFill="1" applyBorder="1"/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8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1" fillId="2" borderId="0" xfId="0" applyNumberFormat="1" applyFont="1" applyFill="1" applyBorder="1" applyAlignment="1">
      <x:alignment horizontal="center"/>
    </x:xf>
    <x:xf numFmtId="0" fontId="12" fillId="4" borderId="1" xfId="0" applyNumberFormat="1" applyFont="1" applyFill="1" applyBorder="1" applyAlignment="1">
      <x:alignment horizontal="center"/>
    </x:xf>
    <x:xf numFmtId="0" fontId="12" fillId="4" borderId="2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0" fontId="9" fillId="3" borderId="3" xfId="0" applyNumberFormat="1" applyFont="1" applyFill="1" applyBorder="1"/>
    <x:xf numFmtId="200" fontId="9" fillId="0" borderId="4" xfId="0" applyNumberFormat="1" applyFont="1" applyFill="1" applyBorder="1"/>
    <x:xf numFmtId="0" fontId="9" fillId="6" borderId="5" xfId="0" applyNumberFormat="1" applyFont="1" applyFill="1" applyBorder="1"/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9" fillId="3" borderId="2" xfId="0" applyNumberFormat="1" applyFont="1" applyFill="1" applyBorder="1"/>
    <x:xf numFmtId="200" fontId="9" fillId="0" borderId="6" xfId="0" applyNumberFormat="1" applyFont="1" applyFill="1" applyBorder="1"/>
    <x:xf numFmtId="0" fontId="9" fillId="6" borderId="1" xfId="0" applyNumberFormat="1" applyFont="1" applyFill="1" applyBorder="1"/>
    <x:xf numFmtId="0" fontId="9" fillId="0" borderId="6" xfId="0" applyNumberFormat="1" applyFont="1" applyFill="1" applyBorder="1"/>
    <x:xf numFmtId="0" fontId="9" fillId="0" borderId="1" xfId="0" applyNumberFormat="1" applyFont="1" applyFill="1" applyBorder="1"/>
    <x:xf numFmtId="0" fontId="9" fillId="3" borderId="7" xfId="0" applyNumberFormat="1" applyFont="1" applyFill="1" applyBorder="1"/>
    <x:xf numFmtId="200" fontId="9" fillId="0" borderId="8" xfId="0" applyNumberFormat="1" applyFont="1" applyFill="1" applyBorder="1"/>
    <x:xf numFmtId="0" fontId="9" fillId="6" borderId="9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horizontal="left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/>
    <x:xf numFmtId="200" fontId="0" fillId="0" borderId="10" xfId="0" applyNumberFormat="1" applyFont="1" applyFill="1" applyBorder="1" applyAlignment="1">
      <x:alignment horizontal="center"/>
    </x:xf>
    <x:xf numFmtId="201" fontId="0" fillId="0" borderId="10" xfId="0" applyNumberFormat="1" applyFont="1" applyFill="1" applyBorder="1" applyAlignment="1">
      <x:alignment horizontal="center"/>
    </x:xf>
    <x:xf numFmtId="202" fontId="0" fillId="0" borderId="10" xfId="0" applyNumberFormat="1" applyFont="1" applyFill="1" applyBorder="1" applyAlignment="1">
      <x:alignment horizontal="center"/>
    </x:xf>
    <x:xf numFmtId="0" fontId="6" fillId="0" borderId="10" xfId="0" applyNumberFormat="1" applyFont="1" applyFill="1" applyBorder="1" applyAlignment="1">
      <x:alignment horizontal="left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6" fillId="0" borderId="11" xfId="0" applyNumberFormat="1" applyFont="1" applyFill="1" applyBorder="1" applyAlignment="1">
      <x:alignment horizontal="left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200" fontId="0" fillId="0" borderId="12" xfId="0" applyNumberFormat="1" applyFont="1" applyFill="1" applyBorder="1" applyAlignment="1">
      <x:alignment horizontal="center"/>
    </x:xf>
    <x:xf numFmtId="201" fontId="0" fillId="0" borderId="12" xfId="0" applyNumberFormat="1" applyFont="1" applyFill="1" applyBorder="1" applyAlignment="1">
      <x:alignment horizontal="center"/>
    </x:xf>
    <x:xf numFmtId="202" fontId="0" fillId="0" borderId="12" xfId="0" applyNumberFormat="1" applyFont="1" applyFill="1" applyBorder="1" applyAlignment="1">
      <x:alignment horizontal="center"/>
    </x:xf>
    <x:xf numFmtId="0" fontId="6" fillId="0" borderId="12" xfId="0" applyNumberFormat="1" applyFont="1" applyFill="1" applyBorder="1" applyAlignment="1">
      <x:alignment horizontal="left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horizontal="center" vertical="top"/>
    </x:xf>
    <x:xf numFmtId="0" fontId="0" fillId="0" borderId="10" xfId="0" applyNumberFormat="1" applyFont="1" applyFill="1" applyBorder="1" applyAlignment="1">
      <x:alignment vertical="top"/>
    </x:xf>
    <x:xf numFmtId="200" fontId="0" fillId="0" borderId="10" xfId="0" applyNumberFormat="1" applyFont="1" applyFill="1" applyBorder="1" applyAlignment="1">
      <x:alignment horizontal="center" vertical="top"/>
    </x:xf>
    <x:xf numFmtId="201" fontId="0" fillId="0" borderId="10" xfId="0" applyNumberFormat="1" applyFont="1" applyFill="1" applyBorder="1" applyAlignment="1">
      <x:alignment horizontal="center" vertical="top"/>
    </x:xf>
    <x:xf numFmtId="202" fontId="0" fillId="0" borderId="10" xfId="0" applyNumberFormat="1" applyFont="1" applyFill="1" applyBorder="1" applyAlignment="1">
      <x:alignment horizontal="center" vertical="top"/>
    </x:xf>
    <x:xf numFmtId="0" fontId="6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center" vertical="top"/>
    </x:xf>
    <x:xf numFmtId="0" fontId="0" fillId="0" borderId="11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horizontal="center" vertical="top"/>
    </x:xf>
    <x:xf numFmtId="201" fontId="0" fillId="0" borderId="11" xfId="0" applyNumberFormat="1" applyFont="1" applyFill="1" applyBorder="1" applyAlignment="1">
      <x:alignment horizontal="center" vertical="top"/>
    </x:xf>
    <x:xf numFmtId="202" fontId="0" fillId="0" borderId="11" xfId="0" applyNumberFormat="1" applyFont="1" applyFill="1" applyBorder="1" applyAlignment="1">
      <x:alignment horizontal="center" vertical="top"/>
    </x:xf>
    <x:xf numFmtId="0" fontId="6" fillId="0" borderId="11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center" vertical="top"/>
    </x:xf>
    <x:xf numFmtId="0" fontId="0" fillId="0" borderId="12" xfId="0" applyNumberFormat="1" applyFont="1" applyFill="1" applyBorder="1" applyAlignment="1">
      <x:alignment vertical="top"/>
    </x:xf>
    <x:xf numFmtId="200" fontId="0" fillId="0" borderId="12" xfId="0" applyNumberFormat="1" applyFont="1" applyFill="1" applyBorder="1" applyAlignment="1">
      <x:alignment horizontal="center" vertical="top"/>
    </x:xf>
    <x:xf numFmtId="201" fontId="0" fillId="0" borderId="12" xfId="0" applyNumberFormat="1" applyFont="1" applyFill="1" applyBorder="1" applyAlignment="1">
      <x:alignment horizontal="center" vertical="top"/>
    </x:xf>
    <x:xf numFmtId="202" fontId="0" fillId="0" borderId="12" xfId="0" applyNumberFormat="1" applyFont="1" applyFill="1" applyBorder="1" applyAlignment="1">
      <x:alignment horizontal="center" vertical="top"/>
    </x:xf>
    <x:xf numFmtId="0" fontId="6" fillId="0" borderId="12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0" fontId="9" fillId="0" borderId="10" xfId="0" applyNumberFormat="1" applyFont="1" applyFill="1" applyBorder="1" applyAlignment="1">
      <x:alignment horizontal="center" vertical="top"/>
    </x:xf>
    <x:xf numFmtId="0" fontId="9" fillId="0" borderId="10" xfId="0" applyNumberFormat="1" applyFont="1" applyFill="1" applyBorder="1" applyAlignment="1">
      <x:alignment vertical="top" wrapText="1"/>
    </x:xf>
    <x:xf numFmtId="200" fontId="9" fillId="0" borderId="10" xfId="0" applyNumberFormat="1" applyFont="1" applyFill="1" applyBorder="1" applyAlignment="1">
      <x:alignment horizontal="center" vertical="top"/>
    </x:xf>
    <x:xf numFmtId="201" fontId="9" fillId="0" borderId="10" xfId="0" applyNumberFormat="1" applyFont="1" applyFill="1" applyBorder="1" applyAlignment="1">
      <x:alignment horizontal="center" vertical="top"/>
    </x:xf>
    <x:xf numFmtId="202" fontId="9" fillId="0" borderId="10" xfId="0" applyNumberFormat="1" applyFont="1" applyFill="1" applyBorder="1" applyAlignment="1">
      <x:alignment horizontal="center" vertical="top"/>
    </x:xf>
    <x:xf numFmtId="0" fontId="13" fillId="0" borderId="10" xfId="0" applyNumberFormat="1" applyFont="1" applyFill="1" applyBorder="1" applyAlignment="1">
      <x:alignment horizontal="left" vertical="top" wrapText="1"/>
    </x:xf>
    <x:xf numFmtId="0" fontId="9" fillId="5" borderId="10" xfId="0" applyNumberFormat="1" applyFont="1" applyFill="1" applyBorder="1" applyAlignment="1">
      <x:alignment vertical="top" wrapText="1"/>
    </x:xf>
    <x:xf numFmtId="0" fontId="9" fillId="0" borderId="11" xfId="0" applyNumberFormat="1" applyFont="1" applyFill="1" applyBorder="1" applyAlignment="1">
      <x:alignment horizontal="center" vertical="top"/>
    </x:xf>
    <x:xf numFmtId="0" fontId="9" fillId="0" borderId="11" xfId="0" applyNumberFormat="1" applyFont="1" applyFill="1" applyBorder="1" applyAlignment="1">
      <x:alignment vertical="top" wrapText="1"/>
    </x:xf>
    <x:xf numFmtId="200" fontId="9" fillId="0" borderId="11" xfId="0" applyNumberFormat="1" applyFont="1" applyFill="1" applyBorder="1" applyAlignment="1">
      <x:alignment horizontal="center" vertical="top"/>
    </x:xf>
    <x:xf numFmtId="201" fontId="9" fillId="0" borderId="11" xfId="0" applyNumberFormat="1" applyFont="1" applyFill="1" applyBorder="1" applyAlignment="1">
      <x:alignment horizontal="center" vertical="top"/>
    </x:xf>
    <x:xf numFmtId="202" fontId="9" fillId="0" borderId="11" xfId="0" applyNumberFormat="1" applyFont="1" applyFill="1" applyBorder="1" applyAlignment="1">
      <x:alignment horizontal="center" vertical="top"/>
    </x:xf>
    <x:xf numFmtId="0" fontId="13" fillId="0" borderId="11" xfId="0" applyNumberFormat="1" applyFont="1" applyFill="1" applyBorder="1" applyAlignment="1">
      <x:alignment horizontal="left" vertical="top" wrapText="1"/>
    </x:xf>
    <x:xf numFmtId="0" fontId="9" fillId="5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horizontal="center" vertical="top"/>
    </x:xf>
    <x:xf numFmtId="0" fontId="9" fillId="0" borderId="12" xfId="0" applyNumberFormat="1" applyFont="1" applyFill="1" applyBorder="1" applyAlignment="1">
      <x:alignment vertical="top" wrapText="1"/>
    </x:xf>
    <x:xf numFmtId="200" fontId="9" fillId="0" borderId="12" xfId="0" applyNumberFormat="1" applyFont="1" applyFill="1" applyBorder="1" applyAlignment="1">
      <x:alignment horizontal="center" vertical="top"/>
    </x:xf>
    <x:xf numFmtId="201" fontId="9" fillId="0" borderId="12" xfId="0" applyNumberFormat="1" applyFont="1" applyFill="1" applyBorder="1" applyAlignment="1">
      <x:alignment horizontal="center" vertical="top"/>
    </x:xf>
    <x:xf numFmtId="202" fontId="9" fillId="0" borderId="12" xfId="0" applyNumberFormat="1" applyFont="1" applyFill="1" applyBorder="1" applyAlignment="1">
      <x:alignment horizontal="center" vertical="top"/>
    </x:xf>
    <x:xf numFmtId="0" fontId="13" fillId="0" borderId="12" xfId="0" applyNumberFormat="1" applyFont="1" applyFill="1" applyBorder="1" applyAlignment="1">
      <x:alignment horizontal="left" vertical="top" wrapText="1"/>
    </x:xf>
    <x:xf numFmtId="0" fontId="9" fillId="5" borderId="12" xfId="0" applyNumberFormat="1" applyFont="1" applyFill="1" applyBorder="1" applyAlignment="1">
      <x:alignment vertical="top" wrapText="1"/>
    </x:xf>
    <x:xf numFmtId="0" fontId="13" fillId="0" borderId="10" xfId="0" applyNumberFormat="1" applyFont="1" applyFill="1" applyBorder="1" applyAlignment="1">
      <x:alignment horizontal="center" vertical="top" wrapText="1"/>
    </x:xf>
    <x:xf numFmtId="0" fontId="13" fillId="0" borderId="11" xfId="0" applyNumberFormat="1" applyFont="1" applyFill="1" applyBorder="1" applyAlignment="1">
      <x:alignment horizontal="center" vertical="top" wrapText="1"/>
    </x:xf>
    <x:xf numFmtId="0" fontId="13" fillId="0" borderId="12" xfId="0" applyNumberFormat="1" applyFont="1" applyFill="1" applyBorder="1" applyAlignment="1">
      <x:alignment horizontal="center" vertical="top" wrapText="1"/>
    </x:xf>
    <x:xf numFmtId="0" fontId="13" fillId="0" borderId="10" xfId="0" applyNumberFormat="1" applyFont="1" applyFill="1" applyBorder="1" applyAlignment="1">
      <x:alignment horizontal="center" vertical="center" wrapText="1"/>
    </x:xf>
    <x:xf numFmtId="0" fontId="13" fillId="0" borderId="11" xfId="0" applyNumberFormat="1" applyFont="1" applyFill="1" applyBorder="1" applyAlignment="1">
      <x:alignment horizontal="center" vertical="center" wrapText="1"/>
    </x:xf>
    <x:xf numFmtId="0" fontId="13" fillId="0" borderId="12" xfId="0" applyNumberFormat="1" applyFont="1" applyFill="1" applyBorder="1" applyAlignment="1">
      <x:alignment horizontal="center" vertical="center" wrapText="1"/>
    </x:xf>
    <x:xf numFmtId="0" fontId="16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6" fillId="5" borderId="10" xfId="0" applyNumberFormat="1" applyFont="1" applyFill="1" applyBorder="1" applyAlignment="1">
      <x:alignment horizontal="left" vertical="top" wrapText="1"/>
    </x:xf>
    <x:xf numFmtId="0" fontId="16" fillId="5" borderId="11" xfId="0" applyNumberFormat="1" applyFont="1" applyFill="1" applyBorder="1" applyAlignment="1">
      <x:alignment horizontal="left" vertical="top" wrapText="1"/>
    </x:xf>
    <x:xf numFmtId="0" fontId="16" fillId="5" borderId="12" xfId="0" applyNumberFormat="1" applyFont="1" applyFill="1" applyBorder="1" applyAlignment="1">
      <x:alignment horizontal="left" vertical="top" wrapText="1"/>
    </x:xf>
    <x:xf numFmtId="0" fontId="16" fillId="5" borderId="10" xfId="0" applyNumberFormat="1" applyFont="1" applyFill="1" applyBorder="1" applyAlignment="1">
      <x:alignment horizontal="left" vertical="center" wrapText="1"/>
    </x:xf>
    <x:xf numFmtId="0" fontId="16" fillId="5" borderId="11" xfId="0" applyNumberFormat="1" applyFont="1" applyFill="1" applyBorder="1" applyAlignment="1">
      <x:alignment horizontal="left" vertical="center" wrapText="1"/>
    </x:xf>
    <x:xf numFmtId="0" fontId="16" fillId="5" borderId="12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horizontal="left" wrapText="1"/>
    </x:xf>
    <x:xf numFmtId="0" fontId="17" fillId="8" borderId="0" xfId="0" applyNumberFormat="1" applyFont="1" applyFill="1" applyBorder="1" applyAlignment="1">
      <x:alignment horizontal="left" vertical="top" wrapText="1"/>
    </x:xf>
    <x:xf numFmtId="0" fontId="11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006100"/>
      </x:font>
      <x:fill>
        <x:patternFill>
          <x:bgColor rgb="FFCCFFCC"/>
        </x:patternFill>
      </x:fill>
    </x:dxf>
    <x:dxf>
      <x:font>
        <x:b/>
        <x:color rgb="FF9C6500"/>
      </x:font>
      <x:fill>
        <x:patternFill>
          <x:bgColor rgb="FFFFFF9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90cdc9a5f84806" /><Relationship Type="http://schemas.openxmlformats.org/officeDocument/2006/relationships/theme" Target="/xl/theme/theme1.xml" Id="Ref9f36a107604fc6" /><Relationship Type="http://schemas.openxmlformats.org/officeDocument/2006/relationships/sharedStrings" Target="/xl/sharedStrings.xml" Id="R53163653f24240f3" /><Relationship Type="http://schemas.openxmlformats.org/officeDocument/2006/relationships/worksheet" Target="/xl/worksheets/sheet1.xml" Id="R7f178ae651344d17" /><Relationship Type="http://schemas.openxmlformats.org/officeDocument/2006/relationships/worksheet" Target="/xl/worksheets/sheet2.xml" Id="Raaacd0dad0a3427b" /></Relationships>
</file>

<file path=xl/tables/table1.xml><?xml version="1.0" encoding="utf-8"?>
<x:table xmlns:x="http://schemas.openxmlformats.org/spreadsheetml/2006/main" id="1" name="HDLBitsTracker" displayName="HDLBitsTracker" ref="A5:U120" headerRowCount="1">
  <x:autoFilter ref="A5:U120"/>
  <x:tableColumns count="21">
    <x:tableColumn id="1" name="Problem #"/>
    <x:tableColumn id="2" name="Category"/>
    <x:tableColumn id="3" name="Section"/>
    <x:tableColumn id="4" name="Subsection"/>
    <x:tableColumn id="5" name="Problem"/>
    <x:tableColumn id="6" name="HDLBits ID"/>
    <x:tableColumn id="7" name="Status"/>
    <x:tableColumn id="8" name="Day"/>
    <x:tableColumn id="9" name="Submission date"/>
    <x:tableColumn id="10" name="Submission time"/>
    <x:tableColumn id="11" name="Total attempts"/>
    <x:tableColumn id="12" name="Incorrect"/>
    <x:tableColumn id="13" name="Compile errors"/>
    <x:tableColumn id="14" name="Simulation errors"/>
    <x:tableColumn id="15" name="Success rate"/>
    <x:tableColumn id="16" name="Problem note"/>
    <x:tableColumn id="17" name="Screenshot"/>
    <x:tableColumn id="18" name="Verilog solution"/>
    <x:tableColumn id="19" name="HDLBits page"/>
    <x:tableColumn id="20" name="What the problem asks"/>
    <x:tableColumn id="21" name="What I learn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58414ac6b540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6" hidden="0" customWidth="1"/>
    <x:col min="5" max="5" width="20" hidden="0" customWidth="1"/>
    <x:col min="6" max="6" width="24" hidden="0" customWidth="1"/>
    <x:col min="7" max="7" width="30" hidden="0" customWidth="1"/>
    <x:col min="8" max="8" width="4" hidden="0" customWidth="1"/>
  </x:cols>
  <x:sheetData>
    <x:row r="1" ht="30" customHeight="1">
      <x:c r="A1" s="42" t="str">
        <x:v>HDLBits Learning Tracker</x:v>
      </x:c>
      <x:c r="B1" s="42"/>
      <x:c r="C1" s="42"/>
      <x:c r="D1" s="42"/>
      <x:c r="E1" s="42"/>
      <x:c r="F1" s="42"/>
      <x:c r="G1" s="42"/>
      <x:c r="H1" s="42"/>
    </x:row>
    <x:row r="2" ht="30" customHeight="1">
      <x:c r="A2" s="42"/>
      <x:c r="B2" s="42"/>
      <x:c r="C2" s="42"/>
      <x:c r="D2" s="42"/>
      <x:c r="E2" s="42"/>
      <x:c r="F2" s="42"/>
      <x:c r="G2" s="42"/>
      <x:c r="H2" s="42"/>
    </x:row>
    <x:row r="3" ht="22" customHeight="1">
      <x:c r="A3" s="43" t="str">
        <x:v>Completed archive: Simple wire through Simple state transitions 3 · Current: fsm3onehot</x:v>
      </x:c>
      <x:c r="B3" s="43"/>
      <x:c r="C3" s="43"/>
      <x:c r="D3" s="43"/>
      <x:c r="E3" s="43"/>
      <x:c r="F3" s="43"/>
      <x:c r="G3" s="43"/>
      <x:c r="H3" s="43"/>
    </x:row>
    <x:row r="4" ht="22" customHeight="1">
      <x:c r="A4" s="44"/>
      <x:c r="B4" s="44"/>
      <x:c r="C4" s="44"/>
      <x:c r="D4" s="44"/>
      <x:c r="E4" s="44"/>
      <x:c r="F4" s="44"/>
      <x:c r="G4" s="44"/>
      <x:c r="H4" s="44"/>
    </x:row>
    <x:row r="5" ht="22" customHeight="1">
      <x:c r="A5" s="45" t="str">
        <x:v>Completed</x:v>
      </x:c>
      <x:c r="B5" s="45" t="str">
        <x:v>Study days</x:v>
      </x:c>
      <x:c r="C5" s="45" t="str">
        <x:v>Total attempts</x:v>
      </x:c>
      <x:c r="D5" s="45" t="str">
        <x:v>Current item</x:v>
      </x:c>
      <x:c r="E5" s="44"/>
      <x:c r="F5" s="46" t="str">
        <x:v>Current progress</x:v>
      </x:c>
      <x:c r="G5" s="46"/>
      <x:c r="H5" s="46"/>
    </x:row>
    <x:row r="6" ht="22" customHeight="1">
      <x:c r="A6" s="47" t="n">
        <x:f>COUNTIF('Tracker'!$G$6:$G$120,"Completed")</x:f>
        <x:v>114</x:v>
      </x:c>
      <x:c r="B6" s="48" t="n">
        <x:f>COUNTA(A11:A15)</x:f>
        <x:v>5</x:v>
      </x:c>
      <x:c r="C6" s="47" t="n">
        <x:f>SUM('Tracker'!$K$6:$K$120)</x:f>
        <x:v>394</x:v>
      </x:c>
      <x:c r="D6" s="48" t="str">
        <x:v>fsm3onehot</x:v>
      </x:c>
      <x:c r="E6" s="44"/>
      <x:c r="F6" s="49" t="str">
        <x:v>Problem</x:v>
      </x:c>
      <x:c r="G6" s="50" t="str">
        <x:v>Simple one-hot state transitions 3</x:v>
      </x:c>
      <x:c r="H6" s="44"/>
    </x:row>
    <x:row r="7" ht="22" customHeight="1">
      <x:c r="A7" s="44"/>
      <x:c r="B7" s="44"/>
      <x:c r="C7" s="44"/>
      <x:c r="D7" s="44"/>
      <x:c r="E7" s="44"/>
      <x:c r="F7" s="49" t="str">
        <x:v>Status</x:v>
      </x:c>
      <x:c r="G7" s="50" t="str">
        <x:v>Attempted / current</x:v>
      </x:c>
      <x:c r="H7" s="44"/>
    </x:row>
    <x:row r="8" ht="22" customHeight="1">
      <x:c r="A8" s="44"/>
      <x:c r="B8" s="44"/>
      <x:c r="C8" s="44"/>
      <x:c r="D8" s="44"/>
      <x:c r="E8" s="44"/>
      <x:c r="F8" s="49" t="str">
        <x:v>Source</x:v>
      </x:c>
      <x:c r="G8" s="51" t="str">
        <x:v>https://hdlbits.01xz.net/wiki/fsm3onehot</x:v>
      </x:c>
      <x:c r="H8" s="44"/>
    </x:row>
    <x:row r="9" ht="22" customHeight="1">
      <x:c r="A9" s="44"/>
      <x:c r="B9" s="44"/>
      <x:c r="C9" s="44"/>
      <x:c r="D9" s="44"/>
      <x:c r="E9" s="44"/>
      <x:c r="F9" s="44"/>
      <x:c r="G9" s="44"/>
      <x:c r="H9" s="44"/>
    </x:row>
    <x:row r="10" ht="22" customHeight="1">
      <x:c r="A10" s="46" t="str">
        <x:v>Day</x:v>
      </x:c>
      <x:c r="B10" s="46" t="str">
        <x:v>Date</x:v>
      </x:c>
      <x:c r="C10" s="46" t="str">
        <x:v>Completed problems</x:v>
      </x:c>
      <x:c r="D10" s="44"/>
      <x:c r="E10" s="46" t="str">
        <x:v>Category</x:v>
      </x:c>
      <x:c r="F10" s="46" t="str">
        <x:v>Section</x:v>
      </x:c>
      <x:c r="G10" s="46" t="str">
        <x:v>Completed</x:v>
      </x:c>
      <x:c r="H10" s="44"/>
    </x:row>
    <x:row r="11" ht="22" customHeight="1">
      <x:c r="A11" s="52" t="str">
        <x:v>Day 01</x:v>
      </x:c>
      <x:c r="B11" s="53" t="n">
        <x:v>46196.5</x:v>
      </x:c>
      <x:c r="C11" s="54" t="n">
        <x:f>COUNTIF('Tracker'!$H$6:$H$120,A11)</x:f>
        <x:v>12</x:v>
      </x:c>
      <x:c r="D11" s="44"/>
      <x:c r="E11" s="52" t="str">
        <x:v>Verilog Language</x:v>
      </x:c>
      <x:c r="F11" s="55" t="str">
        <x:v>Basics</x:v>
      </x:c>
      <x:c r="G11" s="56" t="n">
        <x:f>COUNTIFS('Tracker'!$B$6:$B$120,E11,'Tracker'!$C$6:$C$120,F11,'Tracker'!$G$6:$G$120,"Completed")+COUNTIFS('Tracker'!$B$6:$B$120,E11,'Tracker'!$D$6:$D$120,F11,'Tracker'!$G$6:$G$120,"Completed")</x:f>
        <x:v>8</x:v>
      </x:c>
      <x:c r="H11" s="44"/>
    </x:row>
    <x:row r="12" ht="22" customHeight="1">
      <x:c r="A12" s="57" t="str">
        <x:v>Day 02</x:v>
      </x:c>
      <x:c r="B12" s="58" t="n">
        <x:v>46197.5</x:v>
      </x:c>
      <x:c r="C12" s="59" t="n">
        <x:f>COUNTIF('Tracker'!$H$6:$H$120,A12)</x:f>
        <x:v>34</x:v>
      </x:c>
      <x:c r="D12" s="44"/>
      <x:c r="E12" s="57" t="str">
        <x:v>Verilog Language</x:v>
      </x:c>
      <x:c r="F12" s="60" t="str">
        <x:v>Vectors</x:v>
      </x:c>
      <x:c r="G12" s="61" t="n">
        <x:f>COUNTIFS('Tracker'!$B$6:$B$120,E12,'Tracker'!$C$6:$C$120,F12,'Tracker'!$G$6:$G$120,"Completed")+COUNTIFS('Tracker'!$B$6:$B$120,E12,'Tracker'!$D$6:$D$120,F12,'Tracker'!$G$6:$G$120,"Completed")</x:f>
        <x:v>9</x:v>
      </x:c>
      <x:c r="H12" s="44"/>
    </x:row>
    <x:row r="13" ht="22" customHeight="1">
      <x:c r="A13" s="57" t="str">
        <x:v>Day 03</x:v>
      </x:c>
      <x:c r="B13" s="58" t="n">
        <x:v>46198.5</x:v>
      </x:c>
      <x:c r="C13" s="59" t="n">
        <x:f>COUNTIF('Tracker'!$H$6:$H$120,A13)</x:f>
        <x:v>42</x:v>
      </x:c>
      <x:c r="D13" s="44"/>
      <x:c r="E13" s="57" t="str">
        <x:v>Verilog Language</x:v>
      </x:c>
      <x:c r="F13" s="60" t="str">
        <x:v>Modules: Hierarchy</x:v>
      </x:c>
      <x:c r="G13" s="61" t="n">
        <x:f>COUNTIFS('Tracker'!$B$6:$B$120,E13,'Tracker'!$C$6:$C$120,F13,'Tracker'!$G$6:$G$120,"Completed")+COUNTIFS('Tracker'!$B$6:$B$120,E13,'Tracker'!$D$6:$D$120,F13,'Tracker'!$G$6:$G$120,"Completed")</x:f>
        <x:v>9</x:v>
      </x:c>
      <x:c r="H13" s="44"/>
    </x:row>
    <x:row r="14" ht="22" customHeight="1">
      <x:c r="A14" s="57" t="str">
        <x:v>Day 04</x:v>
      </x:c>
      <x:c r="B14" s="58" t="n">
        <x:v>46199.5</x:v>
      </x:c>
      <x:c r="C14" s="59" t="n">
        <x:f>COUNTIF('Tracker'!$H$6:$H$120,A14)</x:f>
        <x:v>19</x:v>
      </x:c>
      <x:c r="D14" s="44"/>
      <x:c r="E14" s="57" t="str">
        <x:v>Verilog Language</x:v>
      </x:c>
      <x:c r="F14" s="60" t="str">
        <x:v>Procedures</x:v>
      </x:c>
      <x:c r="G14" s="61" t="n">
        <x:f>COUNTIFS('Tracker'!$B$6:$B$120,E14,'Tracker'!$C$6:$C$120,F14,'Tracker'!$G$6:$G$120,"Completed")+COUNTIFS('Tracker'!$B$6:$B$120,E14,'Tracker'!$D$6:$D$120,F14,'Tracker'!$G$6:$G$120,"Completed")</x:f>
        <x:v>8</x:v>
      </x:c>
      <x:c r="H14" s="44"/>
    </x:row>
    <x:row r="15" ht="22" customHeight="1">
      <x:c r="A15" s="62" t="str">
        <x:v>Day 05</x:v>
      </x:c>
      <x:c r="B15" s="63" t="n">
        <x:v>46200.5</x:v>
      </x:c>
      <x:c r="C15" s="64" t="n">
        <x:f>COUNTIF('Tracker'!$H$6:$H$120,A15)</x:f>
        <x:v>7</x:v>
      </x:c>
      <x:c r="D15" s="44"/>
      <x:c r="E15" s="57" t="str">
        <x:v>Verilog Language</x:v>
      </x:c>
      <x:c r="F15" s="60" t="str">
        <x:v>More Verilog Features</x:v>
      </x:c>
      <x:c r="G15" s="61" t="n">
        <x:f>COUNTIFS('Tracker'!$B$6:$B$120,E15,'Tracker'!$C$6:$C$120,F15,'Tracker'!$G$6:$G$120,"Completed")+COUNTIFS('Tracker'!$B$6:$B$120,E15,'Tracker'!$D$6:$D$120,F15,'Tracker'!$G$6:$G$120,"Completed")</x:f>
        <x:v>7</x:v>
      </x:c>
      <x:c r="H15" s="44"/>
    </x:row>
    <x:row r="16" ht="22" customHeight="1">
      <x:c r="A16" s="44"/>
      <x:c r="B16" s="44"/>
      <x:c r="C16" s="44"/>
      <x:c r="D16" s="44"/>
      <x:c r="E16" s="57" t="str">
        <x:v>Circuits</x:v>
      </x:c>
      <x:c r="F16" s="60" t="str">
        <x:v>Basic Gates</x:v>
      </x:c>
      <x:c r="G16" s="61" t="n">
        <x:f>COUNTIFS('Tracker'!$B$6:$B$120,E16,'Tracker'!$C$6:$C$120,F16,'Tracker'!$G$6:$G$120,"Completed")+COUNTIFS('Tracker'!$B$6:$B$120,E16,'Tracker'!$D$6:$D$120,F16,'Tracker'!$G$6:$G$120,"Completed")</x:f>
        <x:v>17</x:v>
      </x:c>
      <x:c r="H16" s="44"/>
    </x:row>
    <x:row r="17" ht="22" customHeight="1">
      <x:c r="A17" s="44"/>
      <x:c r="B17" s="44"/>
      <x:c r="C17" s="44"/>
      <x:c r="D17" s="44"/>
      <x:c r="E17" s="57" t="str">
        <x:v>Circuits</x:v>
      </x:c>
      <x:c r="F17" s="60" t="str">
        <x:v>Multiplexers</x:v>
      </x:c>
      <x:c r="G17" s="61" t="n">
        <x:f>COUNTIFS('Tracker'!$B$6:$B$120,E17,'Tracker'!$C$6:$C$120,F17,'Tracker'!$G$6:$G$120,"Completed")+COUNTIFS('Tracker'!$B$6:$B$120,E17,'Tracker'!$D$6:$D$120,F17,'Tracker'!$G$6:$G$120,"Completed")</x:f>
        <x:v>5</x:v>
      </x:c>
      <x:c r="H17" s="44"/>
    </x:row>
    <x:row r="18" ht="22" customHeight="1">
      <x:c r="A18" s="46" t="str">
        <x:v>Tracker usage</x:v>
      </x:c>
      <x:c r="B18" s="46"/>
      <x:c r="C18" s="46"/>
      <x:c r="D18" s="44"/>
      <x:c r="E18" s="57" t="str">
        <x:v>Circuits</x:v>
      </x:c>
      <x:c r="F18" s="60" t="str">
        <x:v>Arithmetic Circuits</x:v>
      </x:c>
      <x:c r="G18" s="61" t="n">
        <x:f>COUNTIFS('Tracker'!$B$6:$B$120,E18,'Tracker'!$C$6:$C$120,F18,'Tracker'!$G$6:$G$120,"Completed")+COUNTIFS('Tracker'!$B$6:$B$120,E18,'Tracker'!$D$6:$D$120,F18,'Tracker'!$G$6:$G$120,"Completed")</x:f>
        <x:v>7</x:v>
      </x:c>
      <x:c r="H18" s="44"/>
    </x:row>
    <x:row r="19" ht="22" customHeight="1">
      <x:c r="A19" s="65" t="str">
        <x:v>Filter the Tracker sheet by Day, Section, or Status.</x:v>
      </x:c>
      <x:c r="B19" s="65"/>
      <x:c r="C19" s="65"/>
      <x:c r="D19" s="44"/>
      <x:c r="E19" s="57" t="str">
        <x:v>Circuits</x:v>
      </x:c>
      <x:c r="F19" s="60" t="str">
        <x:v>Karnaugh Map to Circuit</x:v>
      </x:c>
      <x:c r="G19" s="61" t="n">
        <x:f>COUNTIFS('Tracker'!$B$6:$B$120,E19,'Tracker'!$C$6:$C$120,F19,'Tracker'!$G$6:$G$120,"Completed")+COUNTIFS('Tracker'!$B$6:$B$120,E19,'Tracker'!$D$6:$D$120,F19,'Tracker'!$G$6:$G$120,"Completed")</x:f>
        <x:v>8</x:v>
      </x:c>
      <x:c r="H19" s="44"/>
    </x:row>
    <x:row r="20" ht="22" customHeight="1">
      <x:c r="A20" s="65" t="str">
        <x:v>Use the blue link columns to open the GitHub note, full-size screenshot, saved solution, or HDLBits page.</x:v>
      </x:c>
      <x:c r="B20" s="65"/>
      <x:c r="C20" s="65"/>
      <x:c r="D20" s="44"/>
      <x:c r="E20" s="57" t="str">
        <x:v>Circuits</x:v>
      </x:c>
      <x:c r="F20" s="60" t="str">
        <x:v>Latches and Flip-Flops</x:v>
      </x:c>
      <x:c r="G20" s="61" t="n">
        <x:f>COUNTIFS('Tracker'!$B$6:$B$120,E20,'Tracker'!$C$6:$C$120,F20,'Tracker'!$G$6:$G$120,"Completed")+COUNTIFS('Tracker'!$B$6:$B$120,E20,'Tracker'!$D$6:$D$120,F20,'Tracker'!$G$6:$G$120,"Completed")</x:f>
        <x:v>18</x:v>
      </x:c>
      <x:c r="H20" s="44"/>
    </x:row>
    <x:row r="21" ht="22" customHeight="1">
      <x:c r="A21" s="65" t="str">
        <x:v>Fill the yellow “What I learned” column during revision.</x:v>
      </x:c>
      <x:c r="B21" s="65"/>
      <x:c r="C21" s="65"/>
      <x:c r="D21" s="44"/>
      <x:c r="E21" s="57" t="str">
        <x:v>Circuits</x:v>
      </x:c>
      <x:c r="F21" s="60" t="str">
        <x:v>Counters</x:v>
      </x:c>
      <x:c r="G21" s="61" t="n">
        <x:f>COUNTIFS('Tracker'!$B$6:$B$120,E21,'Tracker'!$C$6:$C$120,F21,'Tracker'!$G$6:$G$120,"Completed")+COUNTIFS('Tracker'!$B$6:$B$120,E21,'Tracker'!$D$6:$D$120,F21,'Tracker'!$G$6:$G$120,"Completed")</x:f>
        <x:v>4</x:v>
      </x:c>
      <x:c r="H21" s="44"/>
    </x:row>
    <x:row r="22" ht="22" customHeight="1">
      <x:c r="A22" s="44"/>
      <x:c r="B22" s="44"/>
      <x:c r="C22" s="44"/>
      <x:c r="D22" s="44"/>
      <x:c r="E22" s="57" t="str">
        <x:v>Circuits</x:v>
      </x:c>
      <x:c r="F22" s="60" t="str">
        <x:v>Shift Registers</x:v>
      </x:c>
      <x:c r="G22" s="61" t="n">
        <x:f>COUNTIFS('Tracker'!$B$6:$B$120,E22,'Tracker'!$C$6:$C$120,F22,'Tracker'!$G$6:$G$120,"Completed")+COUNTIFS('Tracker'!$B$6:$B$120,E22,'Tracker'!$D$6:$D$120,F22,'Tracker'!$G$6:$G$120,"Completed")</x:f>
        <x:v>9</x:v>
      </x:c>
      <x:c r="H22" s="44"/>
    </x:row>
    <x:row r="23" ht="22" customHeight="1">
      <x:c r="A23" s="44"/>
      <x:c r="B23" s="44"/>
      <x:c r="C23" s="44"/>
      <x:c r="D23" s="44"/>
      <x:c r="E23" s="62" t="str">
        <x:v>Circuits</x:v>
      </x:c>
      <x:c r="F23" s="66" t="str">
        <x:v>Finite State Machines</x:v>
      </x:c>
      <x:c r="G23" s="67" t="n">
        <x:f>COUNTIFS('Tracker'!$B$6:$B$120,E23,'Tracker'!$C$6:$C$120,F23,'Tracker'!$G$6:$G$120,"Completed")+COUNTIFS('Tracker'!$B$6:$B$120,E23,'Tracker'!$D$6:$D$120,F23,'Tracker'!$G$6:$G$120,"Completed")</x:f>
        <x:v>5</x:v>
      </x:c>
      <x:c r="H23" s="44"/>
    </x:row>
  </x:sheetData>
  <x:mergeCells>
    <x:mergeCell ref="A1:H2"/>
    <x:mergeCell ref="A3:H3"/>
    <x:mergeCell ref="F5:H5"/>
    <x:mergeCell ref="A18:C18"/>
    <x:mergeCell ref="A19:C19"/>
    <x:mergeCell ref="A20:C20"/>
    <x:mergeCell ref="A21:C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0" hidden="0" customWidth="1"/>
    <x:col min="4" max="4" width="24" hidden="0" customWidth="1"/>
    <x:col min="5" max="5" width="34" hidden="0" customWidth="1"/>
    <x:col min="6" max="6" width="24" hidden="0" customWidth="1"/>
    <x:col min="7" max="7" width="18" hidden="0" customWidth="1"/>
    <x:col min="8" max="8" width="10" hidden="0" customWidth="1"/>
    <x:col min="9" max="9" width="15" hidden="0" customWidth="1"/>
    <x:col min="10" max="10" width="18" hidden="0" customWidth="1"/>
    <x:col min="11" max="11" width="12" hidden="0" customWidth="1"/>
    <x:col min="12" max="12" width="10" hidden="0" customWidth="1"/>
    <x:col min="13" max="13" width="12" hidden="0" customWidth="1"/>
    <x:col min="14" max="14" width="14" hidden="0" customWidth="1"/>
    <x:col min="15" max="15" width="12" hidden="0" customWidth="1"/>
    <x:col min="16" max="16" width="17" hidden="0" customWidth="1"/>
    <x:col min="17" max="17" width="18" hidden="0" customWidth="1"/>
    <x:col min="18" max="18" width="17" hidden="0" customWidth="1"/>
    <x:col min="19" max="19" width="14" hidden="0" customWidth="1"/>
    <x:col min="20" max="20" width="48" hidden="0" customWidth="1"/>
    <x:col min="21" max="21" width="30" hidden="0" customWidth="1"/>
  </x:cols>
  <x:sheetData>
    <x:row r="1">
      <x:c r="A1" s="126" t="str">
        <x:v>HDLBits Completed Problems and Revision Log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  <x:c r="L1" s="126"/>
      <x:c r="M1" s="126"/>
      <x:c r="N1" s="126"/>
      <x:c r="O1" s="126"/>
      <x:c r="P1" s="126"/>
      <x:c r="Q1" s="126"/>
      <x:c r="R1" s="126"/>
      <x:c r="S1" s="126"/>
      <x:c r="T1" s="126"/>
    </x:row>
    <x:row r="2">
      <x:c r="A2" s="126"/>
      <x:c r="B2" s="126"/>
      <x:c r="C2" s="126"/>
      <x:c r="D2" s="126"/>
      <x:c r="E2" s="126"/>
      <x:c r="F2" s="126"/>
      <x:c r="G2" s="126"/>
      <x:c r="H2" s="126"/>
      <x:c r="I2" s="126"/>
      <x:c r="J2" s="126"/>
      <x:c r="K2" s="126"/>
      <x:c r="L2" s="126"/>
      <x:c r="M2" s="126"/>
      <x:c r="N2" s="126"/>
      <x:c r="O2" s="126"/>
      <x:c r="P2" s="126"/>
      <x:c r="Q2" s="126"/>
      <x:c r="R2" s="126"/>
      <x:c r="S2" s="126"/>
      <x:c r="T2" s="126"/>
    </x:row>
    <x:row r="3">
      <x:c r="A3" s="43" t="str">
        <x:v>Rows 1–114 are archived successful submissions. Row 115 is the current attempted problem. Use the blue public links to open each note, full-size screenshot, solution, or HDLBits page. Yellow cells are for your revision notes.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</x:row>
    <x:row r="4">
      <x:c r="A4" s="44"/>
      <x:c r="B4" s="44"/>
      <x:c r="C4" s="44"/>
      <x:c r="D4" s="44"/>
      <x:c r="E4" s="44"/>
      <x:c r="F4" s="44"/>
      <x:c r="G4" s="44"/>
      <x:c r="H4" s="44"/>
      <x:c r="I4" s="44"/>
      <x:c r="J4" s="44"/>
      <x:c r="K4" s="44"/>
      <x:c r="L4" s="44"/>
      <x:c r="M4" s="44"/>
      <x:c r="N4" s="44"/>
      <x:c r="O4" s="44"/>
      <x:c r="P4" s="44"/>
      <x:c r="Q4" s="44"/>
      <x:c r="R4" s="44"/>
      <x:c r="S4" s="44"/>
      <x:c r="T4" s="44"/>
    </x:row>
    <x:row r="5" ht="36" customHeight="1">
      <x:c r="A5" s="127" t="str">
        <x:v>Problem #</x:v>
      </x:c>
      <x:c r="B5" s="127" t="str">
        <x:v>Category</x:v>
      </x:c>
      <x:c r="C5" s="127" t="str">
        <x:v>Section</x:v>
      </x:c>
      <x:c r="D5" s="127" t="str">
        <x:v>Subsection</x:v>
      </x:c>
      <x:c r="E5" s="127" t="str">
        <x:v>Problem</x:v>
      </x:c>
      <x:c r="F5" s="127" t="str">
        <x:v>HDLBits ID</x:v>
      </x:c>
      <x:c r="G5" s="127" t="str">
        <x:v>Status</x:v>
      </x:c>
      <x:c r="H5" s="127" t="str">
        <x:v>Day</x:v>
      </x:c>
      <x:c r="I5" s="127" t="str">
        <x:v>Submission date</x:v>
      </x:c>
      <x:c r="J5" s="127" t="str">
        <x:v>Submission time</x:v>
      </x:c>
      <x:c r="K5" s="127" t="str">
        <x:v>Total attempts</x:v>
      </x:c>
      <x:c r="L5" s="127" t="str">
        <x:v>Incorrect</x:v>
      </x:c>
      <x:c r="M5" s="127" t="str">
        <x:v>Compile errors</x:v>
      </x:c>
      <x:c r="N5" s="127" t="str">
        <x:v>Simulation errors</x:v>
      </x:c>
      <x:c r="O5" s="127" t="str">
        <x:v>Success rate</x:v>
      </x:c>
      <x:c r="P5" s="169" t="str">
        <x:v>Problem note</x:v>
      </x:c>
      <x:c r="Q5" s="169" t="str">
        <x:v>Screenshot</x:v>
      </x:c>
      <x:c r="R5" s="169" t="str">
        <x:v>Verilog solution</x:v>
      </x:c>
      <x:c r="S5" s="169" t="str">
        <x:v>HDLBits page</x:v>
      </x:c>
      <x:c r="T5" s="169" t="str">
        <x:v>What the problem asks</x:v>
      </x:c>
      <x:c r="U5" s="174" t="str">
        <x:v>What I learned</x:v>
      </x:c>
    </x:row>
    <x:row r="6" ht="42" customHeight="1">
      <x:c r="A6" s="128" t="n">
        <x:v>1</x:v>
      </x:c>
      <x:c r="B6" s="129" t="str">
        <x:v>Verilog Language</x:v>
      </x:c>
      <x:c r="C6" s="129" t="str">
        <x:v>Basics</x:v>
      </x:c>
      <x:c r="D6" s="129" t="str"/>
      <x:c r="E6" s="129" t="str">
        <x:v>Simple wire</x:v>
      </x:c>
      <x:c r="F6" s="129" t="str">
        <x:v>wire</x:v>
      </x:c>
      <x:c r="G6" s="128" t="str">
        <x:v>Completed</x:v>
      </x:c>
      <x:c r="H6" s="128" t="str">
        <x:v>Day 01</x:v>
      </x:c>
      <x:c r="I6" s="130" t="n">
        <x:v>46196.5</x:v>
      </x:c>
      <x:c r="J6" s="128" t="str">
        <x:v>5:47:07 PM</x:v>
      </x:c>
      <x:c r="K6" s="131" t="n">
        <x:v>1</x:v>
      </x:c>
      <x:c r="L6" s="131" t="n">
        <x:v>0</x:v>
      </x:c>
      <x:c r="M6" s="131" t="n">
        <x:v>0</x:v>
      </x:c>
      <x:c r="N6" s="131" t="n">
        <x:v>0</x:v>
      </x:c>
      <x:c r="O6" s="132" t="n">
        <x:v>1</x:v>
      </x:c>
      <x:c r="P6" s="152" t="e">
        <x:f>HYPERLINK("https://github.com/kapiltrip/hdlBits/blob/main/problems/Day%2001/001-wire.md","Open note")</x:f>
        <x:v>HYPERLINK is not implemented. linkLocation=https://github.com/kapiltrip/hdlBits/blob/main/problems/Day%2001/001-wire.md, friendlyName=Open note</x:v>
      </x:c>
      <x:c r="Q6" s="152" t="e">
        <x:f>HYPERLINK("https://github.com/kapiltrip/hdlBits/blob/main/images/Day%2001/001-wire.png","Full-size image")</x:f>
        <x:v>HYPERLINK is not implemented. linkLocation=https://github.com/kapiltrip/hdlBits/blob/main/images/Day%2001/001-wire.png, friendlyName=Full-size image</x:v>
      </x:c>
      <x:c r="R6" s="152" t="e">
        <x:f>HYPERLINK("https://github.com/kapiltrip/hdlBits/blob/main/solutions/Day%2001/001-wire.sv","Open solution")</x:f>
        <x:v>HYPERLINK is not implemented. linkLocation=https://github.com/kapiltrip/hdlBits/blob/main/solutions/Day%2001/001-wire.sv, friendlyName=Open solution</x:v>
      </x:c>
      <x:c r="S6" s="152" t="e">
        <x:f>HYPERLINK("https://hdlbits.01xz.net/wiki/wire","HDLBits")</x:f>
        <x:v>HYPERLINK is not implemented. linkLocation=https://hdlbits.01xz.net/wiki/wire, friendlyName=HDLBits</x:v>
      </x:c>
      <x:c r="T6" s="161" t="str">
        <x:v>Connect the single input directly to the output so the module behaves exactly like a wire.</x:v>
      </x:c>
      <x:c r="U6" s="168"/>
    </x:row>
    <x:row r="7" ht="42" customHeight="1">
      <x:c r="A7" s="135" t="n">
        <x:v>2</x:v>
      </x:c>
      <x:c r="B7" s="136" t="str">
        <x:v>Verilog Language</x:v>
      </x:c>
      <x:c r="C7" s="136" t="str">
        <x:v>Basics</x:v>
      </x:c>
      <x:c r="D7" s="136" t="str"/>
      <x:c r="E7" s="136" t="str">
        <x:v>Four wires</x:v>
      </x:c>
      <x:c r="F7" s="136" t="str">
        <x:v>wire4</x:v>
      </x:c>
      <x:c r="G7" s="135" t="str">
        <x:v>Completed</x:v>
      </x:c>
      <x:c r="H7" s="135" t="str">
        <x:v>Day 01</x:v>
      </x:c>
      <x:c r="I7" s="137" t="n">
        <x:v>46196.5</x:v>
      </x:c>
      <x:c r="J7" s="135" t="str">
        <x:v>5:50:30 PM</x:v>
      </x:c>
      <x:c r="K7" s="138" t="n">
        <x:v>2</x:v>
      </x:c>
      <x:c r="L7" s="138" t="n">
        <x:v>0</x:v>
      </x:c>
      <x:c r="M7" s="138" t="n">
        <x:v>1</x:v>
      </x:c>
      <x:c r="N7" s="138" t="n">
        <x:v>0</x:v>
      </x:c>
      <x:c r="O7" s="139" t="n">
        <x:v>0.5</x:v>
      </x:c>
      <x:c r="P7" s="153" t="e">
        <x:f>HYPERLINK("https://github.com/kapiltrip/hdlBits/blob/main/problems/Day%2001/002-wire4.md","Open note")</x:f>
        <x:v>HYPERLINK is not implemented. linkLocation=https://github.com/kapiltrip/hdlBits/blob/main/problems/Day%2001/002-wire4.md, friendlyName=Open note</x:v>
      </x:c>
      <x:c r="Q7" s="153" t="e">
        <x:f>HYPERLINK("https://github.com/kapiltrip/hdlBits/blob/main/images/Day%2001/002-wire4.png","Full-size image")</x:f>
        <x:v>HYPERLINK is not implemented. linkLocation=https://github.com/kapiltrip/hdlBits/blob/main/images/Day%2001/002-wire4.png, friendlyName=Full-size image</x:v>
      </x:c>
      <x:c r="R7" s="153" t="e">
        <x:f>HYPERLINK("https://github.com/kapiltrip/hdlBits/blob/main/solutions/Day%2001/002-wire4.sv","Open solution")</x:f>
        <x:v>HYPERLINK is not implemented. linkLocation=https://github.com/kapiltrip/hdlBits/blob/main/solutions/Day%2001/002-wire4.sv, friendlyName=Open solution</x:v>
      </x:c>
      <x:c r="S7" s="153" t="e">
        <x:f>HYPERLINK("https://hdlbits.01xz.net/wiki/wire4","HDLBits")</x:f>
        <x:v>HYPERLINK is not implemented. linkLocation=https://hdlbits.01xz.net/wiki/wire4, friendlyName=HDLBits</x:v>
      </x:c>
      <x:c r="T7" s="162" t="str">
        <x:v>Create the requested one-to-one and fan-out wire connections between the named inputs and outputs.</x:v>
      </x:c>
      <x:c r="U7" s="168"/>
    </x:row>
    <x:row r="8" ht="42" customHeight="1">
      <x:c r="A8" s="135" t="n">
        <x:v>3</x:v>
      </x:c>
      <x:c r="B8" s="136" t="str">
        <x:v>Verilog Language</x:v>
      </x:c>
      <x:c r="C8" s="136" t="str">
        <x:v>Basics</x:v>
      </x:c>
      <x:c r="D8" s="136" t="str"/>
      <x:c r="E8" s="136" t="str">
        <x:v>Inverter</x:v>
      </x:c>
      <x:c r="F8" s="136" t="str">
        <x:v>notgate</x:v>
      </x:c>
      <x:c r="G8" s="135" t="str">
        <x:v>Completed</x:v>
      </x:c>
      <x:c r="H8" s="135" t="str">
        <x:v>Day 01</x:v>
      </x:c>
      <x:c r="I8" s="137" t="n">
        <x:v>46196.5</x:v>
      </x:c>
      <x:c r="J8" s="135" t="str">
        <x:v>5:52:19 PM</x:v>
      </x:c>
      <x:c r="K8" s="138" t="n">
        <x:v>1</x:v>
      </x:c>
      <x:c r="L8" s="138" t="n">
        <x:v>0</x:v>
      </x:c>
      <x:c r="M8" s="138" t="n">
        <x:v>0</x:v>
      </x:c>
      <x:c r="N8" s="138" t="n">
        <x:v>0</x:v>
      </x:c>
      <x:c r="O8" s="139" t="n">
        <x:v>1</x:v>
      </x:c>
      <x:c r="P8" s="153" t="e">
        <x:f>HYPERLINK("https://github.com/kapiltrip/hdlBits/blob/main/problems/Day%2001/003-notgate.md","Open note")</x:f>
        <x:v>HYPERLINK is not implemented. linkLocation=https://github.com/kapiltrip/hdlBits/blob/main/problems/Day%2001/003-notgate.md, friendlyName=Open note</x:v>
      </x:c>
      <x:c r="Q8" s="153" t="e">
        <x:f>HYPERLINK("https://github.com/kapiltrip/hdlBits/blob/main/images/Day%2001/003-notgate.png","Full-size image")</x:f>
        <x:v>HYPERLINK is not implemented. linkLocation=https://github.com/kapiltrip/hdlBits/blob/main/images/Day%2001/003-notgate.png, friendlyName=Full-size image</x:v>
      </x:c>
      <x:c r="R8" s="153" t="e">
        <x:f>HYPERLINK("https://github.com/kapiltrip/hdlBits/blob/main/solutions/Day%2001/003-notgate.sv","Open solution")</x:f>
        <x:v>HYPERLINK is not implemented. linkLocation=https://github.com/kapiltrip/hdlBits/blob/main/solutions/Day%2001/003-notgate.sv, friendlyName=Open solution</x:v>
      </x:c>
      <x:c r="S8" s="153" t="e">
        <x:f>HYPERLINK("https://hdlbits.01xz.net/wiki/notgate","HDLBits")</x:f>
        <x:v>HYPERLINK is not implemented. linkLocation=https://hdlbits.01xz.net/wiki/notgate, friendlyName=HDLBits</x:v>
      </x:c>
      <x:c r="T8" s="162" t="str">
        <x:v>Drive the output with the logical inverse of the input, implementing a NOT gate.</x:v>
      </x:c>
      <x:c r="U8" s="168"/>
    </x:row>
    <x:row r="9" ht="42" customHeight="1">
      <x:c r="A9" s="135" t="n">
        <x:v>4</x:v>
      </x:c>
      <x:c r="B9" s="136" t="str">
        <x:v>Verilog Language</x:v>
      </x:c>
      <x:c r="C9" s="136" t="str">
        <x:v>Basics</x:v>
      </x:c>
      <x:c r="D9" s="136" t="str"/>
      <x:c r="E9" s="136" t="str">
        <x:v>AND gate</x:v>
      </x:c>
      <x:c r="F9" s="136" t="str">
        <x:v>andgate</x:v>
      </x:c>
      <x:c r="G9" s="135" t="str">
        <x:v>Completed</x:v>
      </x:c>
      <x:c r="H9" s="135" t="str">
        <x:v>Day 02</x:v>
      </x:c>
      <x:c r="I9" s="137" t="n">
        <x:v>46197.5</x:v>
      </x:c>
      <x:c r="J9" s="135" t="str">
        <x:v>12:29:06 AM</x:v>
      </x:c>
      <x:c r="K9" s="138" t="n">
        <x:v>1</x:v>
      </x:c>
      <x:c r="L9" s="138" t="n">
        <x:v>0</x:v>
      </x:c>
      <x:c r="M9" s="138" t="n">
        <x:v>0</x:v>
      </x:c>
      <x:c r="N9" s="138" t="n">
        <x:v>0</x:v>
      </x:c>
      <x:c r="O9" s="139" t="n">
        <x:v>1</x:v>
      </x:c>
      <x:c r="P9" s="153" t="e">
        <x:f>HYPERLINK("https://github.com/kapiltrip/hdlBits/blob/main/problems/Day%2002/004-andgate.md","Open note")</x:f>
        <x:v>HYPERLINK is not implemented. linkLocation=https://github.com/kapiltrip/hdlBits/blob/main/problems/Day%2002/004-andgate.md, friendlyName=Open note</x:v>
      </x:c>
      <x:c r="Q9" s="153" t="e">
        <x:f>HYPERLINK("https://github.com/kapiltrip/hdlBits/blob/main/images/Day%2002/004-andgate.png","Full-size image")</x:f>
        <x:v>HYPERLINK is not implemented. linkLocation=https://github.com/kapiltrip/hdlBits/blob/main/images/Day%2002/004-andgate.png, friendlyName=Full-size image</x:v>
      </x:c>
      <x:c r="R9" s="153" t="e">
        <x:f>HYPERLINK("https://github.com/kapiltrip/hdlBits/blob/main/solutions/Day%2002/004-andgate.sv","Open solution")</x:f>
        <x:v>HYPERLINK is not implemented. linkLocation=https://github.com/kapiltrip/hdlBits/blob/main/solutions/Day%2002/004-andgate.sv, friendlyName=Open solution</x:v>
      </x:c>
      <x:c r="S9" s="153" t="e">
        <x:f>HYPERLINK("https://hdlbits.01xz.net/wiki/andgate","HDLBits")</x:f>
        <x:v>HYPERLINK is not implemented. linkLocation=https://hdlbits.01xz.net/wiki/andgate, friendlyName=HDLBits</x:v>
      </x:c>
      <x:c r="T9" s="162" t="str">
        <x:v>Produce an output that is high only when both input signals are high.</x:v>
      </x:c>
      <x:c r="U9" s="168"/>
    </x:row>
    <x:row r="10" ht="42" customHeight="1">
      <x:c r="A10" s="135" t="n">
        <x:v>5</x:v>
      </x:c>
      <x:c r="B10" s="136" t="str">
        <x:v>Verilog Language</x:v>
      </x:c>
      <x:c r="C10" s="136" t="str">
        <x:v>Basics</x:v>
      </x:c>
      <x:c r="D10" s="136" t="str"/>
      <x:c r="E10" s="136" t="str">
        <x:v>NOR gate</x:v>
      </x:c>
      <x:c r="F10" s="136" t="str">
        <x:v>norgate</x:v>
      </x:c>
      <x:c r="G10" s="135" t="str">
        <x:v>Completed</x:v>
      </x:c>
      <x:c r="H10" s="135" t="str">
        <x:v>Day 02</x:v>
      </x:c>
      <x:c r="I10" s="137" t="n">
        <x:v>46197.5</x:v>
      </x:c>
      <x:c r="J10" s="135" t="str">
        <x:v>12:32:05 AM</x:v>
      </x:c>
      <x:c r="K10" s="138" t="n">
        <x:v>6</x:v>
      </x:c>
      <x:c r="L10" s="138" t="n">
        <x:v>0</x:v>
      </x:c>
      <x:c r="M10" s="138" t="n">
        <x:v>4</x:v>
      </x:c>
      <x:c r="N10" s="138" t="n">
        <x:v>0</x:v>
      </x:c>
      <x:c r="O10" s="139" t="n">
        <x:v>0.33</x:v>
      </x:c>
      <x:c r="P10" s="153" t="e">
        <x:f>HYPERLINK("https://github.com/kapiltrip/hdlBits/blob/main/problems/Day%2002/005-norgate.md","Open note")</x:f>
        <x:v>HYPERLINK is not implemented. linkLocation=https://github.com/kapiltrip/hdlBits/blob/main/problems/Day%2002/005-norgate.md, friendlyName=Open note</x:v>
      </x:c>
      <x:c r="Q10" s="153" t="e">
        <x:f>HYPERLINK("https://github.com/kapiltrip/hdlBits/blob/main/images/Day%2002/005-norgate.png","Full-size image")</x:f>
        <x:v>HYPERLINK is not implemented. linkLocation=https://github.com/kapiltrip/hdlBits/blob/main/images/Day%2002/005-norgate.png, friendlyName=Full-size image</x:v>
      </x:c>
      <x:c r="R10" s="153" t="e">
        <x:f>HYPERLINK("https://github.com/kapiltrip/hdlBits/blob/main/solutions/Day%2002/005-norgate.sv","Open solution")</x:f>
        <x:v>HYPERLINK is not implemented. linkLocation=https://github.com/kapiltrip/hdlBits/blob/main/solutions/Day%2002/005-norgate.sv, friendlyName=Open solution</x:v>
      </x:c>
      <x:c r="S10" s="153" t="e">
        <x:f>HYPERLINK("https://hdlbits.01xz.net/wiki/norgate","HDLBits")</x:f>
        <x:v>HYPERLINK is not implemented. linkLocation=https://hdlbits.01xz.net/wiki/norgate, friendlyName=HDLBits</x:v>
      </x:c>
      <x:c r="T10" s="162" t="str">
        <x:v>Implement a NOR gate: OR the inputs and invert the result.</x:v>
      </x:c>
      <x:c r="U10" s="168"/>
    </x:row>
    <x:row r="11" ht="42" customHeight="1">
      <x:c r="A11" s="135" t="n">
        <x:v>6</x:v>
      </x:c>
      <x:c r="B11" s="136" t="str">
        <x:v>Verilog Language</x:v>
      </x:c>
      <x:c r="C11" s="136" t="str">
        <x:v>Basics</x:v>
      </x:c>
      <x:c r="D11" s="136" t="str"/>
      <x:c r="E11" s="136" t="str">
        <x:v>XNOR gate</x:v>
      </x:c>
      <x:c r="F11" s="136" t="str">
        <x:v>xnorgate</x:v>
      </x:c>
      <x:c r="G11" s="135" t="str">
        <x:v>Completed</x:v>
      </x:c>
      <x:c r="H11" s="135" t="str">
        <x:v>Day 02</x:v>
      </x:c>
      <x:c r="I11" s="137" t="n">
        <x:v>46197.5</x:v>
      </x:c>
      <x:c r="J11" s="135" t="str">
        <x:v>12:33:10 AM</x:v>
      </x:c>
      <x:c r="K11" s="138" t="n">
        <x:v>2</x:v>
      </x:c>
      <x:c r="L11" s="138" t="n">
        <x:v>0</x:v>
      </x:c>
      <x:c r="M11" s="138" t="n">
        <x:v>0</x:v>
      </x:c>
      <x:c r="N11" s="138" t="n">
        <x:v>0</x:v>
      </x:c>
      <x:c r="O11" s="139" t="n">
        <x:v>1</x:v>
      </x:c>
      <x:c r="P11" s="153" t="e">
        <x:f>HYPERLINK("https://github.com/kapiltrip/hdlBits/blob/main/problems/Day%2002/006-xnorgate.md","Open note")</x:f>
        <x:v>HYPERLINK is not implemented. linkLocation=https://github.com/kapiltrip/hdlBits/blob/main/problems/Day%2002/006-xnorgate.md, friendlyName=Open note</x:v>
      </x:c>
      <x:c r="Q11" s="153" t="e">
        <x:f>HYPERLINK("https://github.com/kapiltrip/hdlBits/blob/main/images/Day%2002/006-xnorgate.png","Full-size image")</x:f>
        <x:v>HYPERLINK is not implemented. linkLocation=https://github.com/kapiltrip/hdlBits/blob/main/images/Day%2002/006-xnorgate.png, friendlyName=Full-size image</x:v>
      </x:c>
      <x:c r="R11" s="153" t="e">
        <x:f>HYPERLINK("https://github.com/kapiltrip/hdlBits/blob/main/solutions/Day%2002/006-xnorgate.sv","Open solution")</x:f>
        <x:v>HYPERLINK is not implemented. linkLocation=https://github.com/kapiltrip/hdlBits/blob/main/solutions/Day%2002/006-xnorgate.sv, friendlyName=Open solution</x:v>
      </x:c>
      <x:c r="S11" s="153" t="e">
        <x:f>HYPERLINK("https://hdlbits.01xz.net/wiki/xnorgate","HDLBits")</x:f>
        <x:v>HYPERLINK is not implemented. linkLocation=https://hdlbits.01xz.net/wiki/xnorgate, friendlyName=HDLBits</x:v>
      </x:c>
      <x:c r="T11" s="162" t="str">
        <x:v>Implement an XNOR gate whose output is high when the two inputs have equal values.</x:v>
      </x:c>
      <x:c r="U11" s="168"/>
    </x:row>
    <x:row r="12" ht="42" customHeight="1">
      <x:c r="A12" s="135" t="n">
        <x:v>7</x:v>
      </x:c>
      <x:c r="B12" s="136" t="str">
        <x:v>Verilog Language</x:v>
      </x:c>
      <x:c r="C12" s="136" t="str">
        <x:v>Basics</x:v>
      </x:c>
      <x:c r="D12" s="136" t="str"/>
      <x:c r="E12" s="136" t="str">
        <x:v>Declaring wires</x:v>
      </x:c>
      <x:c r="F12" s="136" t="str">
        <x:v>wire_decl</x:v>
      </x:c>
      <x:c r="G12" s="135" t="str">
        <x:v>Completed</x:v>
      </x:c>
      <x:c r="H12" s="135" t="str">
        <x:v>Day 02</x:v>
      </x:c>
      <x:c r="I12" s="137" t="n">
        <x:v>46197.5</x:v>
      </x:c>
      <x:c r="J12" s="135" t="str">
        <x:v>12:35:55 AM</x:v>
      </x:c>
      <x:c r="K12" s="138" t="n">
        <x:v>1</x:v>
      </x:c>
      <x:c r="L12" s="138" t="n">
        <x:v>0</x:v>
      </x:c>
      <x:c r="M12" s="138" t="n">
        <x:v>0</x:v>
      </x:c>
      <x:c r="N12" s="138" t="n">
        <x:v>0</x:v>
      </x:c>
      <x:c r="O12" s="139" t="n">
        <x:v>1</x:v>
      </x:c>
      <x:c r="P12" s="153" t="e">
        <x:f>HYPERLINK("https://github.com/kapiltrip/hdlBits/blob/main/problems/Day%2002/007-wire_decl.md","Open note")</x:f>
        <x:v>HYPERLINK is not implemented. linkLocation=https://github.com/kapiltrip/hdlBits/blob/main/problems/Day%2002/007-wire_decl.md, friendlyName=Open note</x:v>
      </x:c>
      <x:c r="Q12" s="153" t="e">
        <x:f>HYPERLINK("https://github.com/kapiltrip/hdlBits/blob/main/images/Day%2002/007-wire_decl.png","Full-size image")</x:f>
        <x:v>HYPERLINK is not implemented. linkLocation=https://github.com/kapiltrip/hdlBits/blob/main/images/Day%2002/007-wire_decl.png, friendlyName=Full-size image</x:v>
      </x:c>
      <x:c r="R12" s="153" t="e">
        <x:f>HYPERLINK("https://github.com/kapiltrip/hdlBits/blob/main/solutions/Day%2002/007-wire_decl.sv","Open solution")</x:f>
        <x:v>HYPERLINK is not implemented. linkLocation=https://github.com/kapiltrip/hdlBits/blob/main/solutions/Day%2002/007-wire_decl.sv, friendlyName=Open solution</x:v>
      </x:c>
      <x:c r="S12" s="153" t="e">
        <x:f>HYPERLINK("https://hdlbits.01xz.net/wiki/wire_decl","HDLBits")</x:f>
        <x:v>HYPERLINK is not implemented. linkLocation=https://hdlbits.01xz.net/wiki/wire_decl, friendlyName=HDLBits</x:v>
      </x:c>
      <x:c r="T12" s="162" t="str">
        <x:v>Declare intermediate wires and connect the supplied gates so the module matches the shown circuit diagram.</x:v>
      </x:c>
      <x:c r="U12" s="168"/>
    </x:row>
    <x:row r="13" ht="42" customHeight="1">
      <x:c r="A13" s="135" t="n">
        <x:v>8</x:v>
      </x:c>
      <x:c r="B13" s="136" t="str">
        <x:v>Verilog Language</x:v>
      </x:c>
      <x:c r="C13" s="136" t="str">
        <x:v>Basics</x:v>
      </x:c>
      <x:c r="D13" s="136" t="str"/>
      <x:c r="E13" s="136" t="str">
        <x:v>7458 chip</x:v>
      </x:c>
      <x:c r="F13" s="136" t="str">
        <x:v>7458</x:v>
      </x:c>
      <x:c r="G13" s="135" t="str">
        <x:v>Completed</x:v>
      </x:c>
      <x:c r="H13" s="135" t="str">
        <x:v>Day 01</x:v>
      </x:c>
      <x:c r="I13" s="137" t="n">
        <x:v>46196.5</x:v>
      </x:c>
      <x:c r="J13" s="135" t="str">
        <x:v>6:15:38 PM</x:v>
      </x:c>
      <x:c r="K13" s="138" t="n">
        <x:v>1</x:v>
      </x:c>
      <x:c r="L13" s="138" t="n">
        <x:v>0</x:v>
      </x:c>
      <x:c r="M13" s="138" t="n">
        <x:v>0</x:v>
      </x:c>
      <x:c r="N13" s="138" t="n">
        <x:v>0</x:v>
      </x:c>
      <x:c r="O13" s="139" t="n">
        <x:v>1</x:v>
      </x:c>
      <x:c r="P13" s="153" t="e">
        <x:f>HYPERLINK("https://github.com/kapiltrip/hdlBits/blob/main/problems/Day%2001/008-7458.md","Open note")</x:f>
        <x:v>HYPERLINK is not implemented. linkLocation=https://github.com/kapiltrip/hdlBits/blob/main/problems/Day%2001/008-7458.md, friendlyName=Open note</x:v>
      </x:c>
      <x:c r="Q13" s="153" t="e">
        <x:f>HYPERLINK("https://github.com/kapiltrip/hdlBits/blob/main/images/Day%2001/008-7458.png","Full-size image")</x:f>
        <x:v>HYPERLINK is not implemented. linkLocation=https://github.com/kapiltrip/hdlBits/blob/main/images/Day%2001/008-7458.png, friendlyName=Full-size image</x:v>
      </x:c>
      <x:c r="R13" s="153" t="e">
        <x:f>HYPERLINK("https://github.com/kapiltrip/hdlBits/blob/main/solutions/Day%2001/008-7458.sv","Open solution")</x:f>
        <x:v>HYPERLINK is not implemented. linkLocation=https://github.com/kapiltrip/hdlBits/blob/main/solutions/Day%2001/008-7458.sv, friendlyName=Open solution</x:v>
      </x:c>
      <x:c r="S13" s="153" t="e">
        <x:f>HYPERLINK("https://hdlbits.01xz.net/wiki/7458","HDLBits")</x:f>
        <x:v>HYPERLINK is not implemented. linkLocation=https://hdlbits.01xz.net/wiki/7458, friendlyName=HDLBits</x:v>
      </x:c>
      <x:c r="T13" s="162" t="str">
        <x:v>Recreate the 7458-style sum-of-products circuit by combining several AND terms into two OR outputs.</x:v>
      </x:c>
      <x:c r="U13" s="168"/>
    </x:row>
    <x:row r="14" ht="42" customHeight="1">
      <x:c r="A14" s="135" t="n">
        <x:v>9</x:v>
      </x:c>
      <x:c r="B14" s="136" t="str">
        <x:v>Verilog Language</x:v>
      </x:c>
      <x:c r="C14" s="136" t="str">
        <x:v>Vectors</x:v>
      </x:c>
      <x:c r="D14" s="136" t="str"/>
      <x:c r="E14" s="136" t="str">
        <x:v>Vectors</x:v>
      </x:c>
      <x:c r="F14" s="136" t="str">
        <x:v>vector0</x:v>
      </x:c>
      <x:c r="G14" s="135" t="str">
        <x:v>Completed</x:v>
      </x:c>
      <x:c r="H14" s="135" t="str">
        <x:v>Day 01</x:v>
      </x:c>
      <x:c r="I14" s="137" t="n">
        <x:v>46196.5</x:v>
      </x:c>
      <x:c r="J14" s="135" t="str">
        <x:v>6:24:20 PM</x:v>
      </x:c>
      <x:c r="K14" s="138" t="n">
        <x:v>1</x:v>
      </x:c>
      <x:c r="L14" s="138" t="n">
        <x:v>0</x:v>
      </x:c>
      <x:c r="M14" s="138" t="n">
        <x:v>0</x:v>
      </x:c>
      <x:c r="N14" s="138" t="n">
        <x:v>0</x:v>
      </x:c>
      <x:c r="O14" s="139" t="n">
        <x:v>1</x:v>
      </x:c>
      <x:c r="P14" s="153" t="e">
        <x:f>HYPERLINK("https://github.com/kapiltrip/hdlBits/blob/main/problems/Day%2001/009-vector0.md","Open note")</x:f>
        <x:v>HYPERLINK is not implemented. linkLocation=https://github.com/kapiltrip/hdlBits/blob/main/problems/Day%2001/009-vector0.md, friendlyName=Open note</x:v>
      </x:c>
      <x:c r="Q14" s="153" t="e">
        <x:f>HYPERLINK("https://github.com/kapiltrip/hdlBits/blob/main/images/Day%2001/009-vector0.png","Full-size image")</x:f>
        <x:v>HYPERLINK is not implemented. linkLocation=https://github.com/kapiltrip/hdlBits/blob/main/images/Day%2001/009-vector0.png, friendlyName=Full-size image</x:v>
      </x:c>
      <x:c r="R14" s="153" t="e">
        <x:f>HYPERLINK("https://github.com/kapiltrip/hdlBits/blob/main/solutions/Day%2001/009-vector0.sv","Open solution")</x:f>
        <x:v>HYPERLINK is not implemented. linkLocation=https://github.com/kapiltrip/hdlBits/blob/main/solutions/Day%2001/009-vector0.sv, friendlyName=Open solution</x:v>
      </x:c>
      <x:c r="S14" s="153" t="e">
        <x:f>HYPERLINK("https://hdlbits.01xz.net/wiki/vector0","HDLBits")</x:f>
        <x:v>HYPERLINK is not implemented. linkLocation=https://hdlbits.01xz.net/wiki/vector0, friendlyName=HDLBits</x:v>
      </x:c>
      <x:c r="T14" s="162" t="str">
        <x:v>Declare vector ports with the required widths and connect the complete input bus to the output bus.</x:v>
      </x:c>
      <x:c r="U14" s="168"/>
    </x:row>
    <x:row r="15" ht="42" customHeight="1">
      <x:c r="A15" s="135" t="n">
        <x:v>10</x:v>
      </x:c>
      <x:c r="B15" s="136" t="str">
        <x:v>Verilog Language</x:v>
      </x:c>
      <x:c r="C15" s="136" t="str">
        <x:v>Vectors</x:v>
      </x:c>
      <x:c r="D15" s="136" t="str"/>
      <x:c r="E15" s="136" t="str">
        <x:v>Vectors in more detail</x:v>
      </x:c>
      <x:c r="F15" s="136" t="str">
        <x:v>vector1</x:v>
      </x:c>
      <x:c r="G15" s="135" t="str">
        <x:v>Completed</x:v>
      </x:c>
      <x:c r="H15" s="135" t="str">
        <x:v>Day 01</x:v>
      </x:c>
      <x:c r="I15" s="137" t="n">
        <x:v>46196.5</x:v>
      </x:c>
      <x:c r="J15" s="135" t="str">
        <x:v>9:45:09 PM</x:v>
      </x:c>
      <x:c r="K15" s="138" t="n">
        <x:v>10</x:v>
      </x:c>
      <x:c r="L15" s="138" t="n">
        <x:v>0</x:v>
      </x:c>
      <x:c r="M15" s="138" t="n">
        <x:v>9</x:v>
      </x:c>
      <x:c r="N15" s="138" t="n">
        <x:v>0</x:v>
      </x:c>
      <x:c r="O15" s="139" t="n">
        <x:v>0.1</x:v>
      </x:c>
      <x:c r="P15" s="153" t="e">
        <x:f>HYPERLINK("https://github.com/kapiltrip/hdlBits/blob/main/problems/Day%2001/010-vector1.md","Open note")</x:f>
        <x:v>HYPERLINK is not implemented. linkLocation=https://github.com/kapiltrip/hdlBits/blob/main/problems/Day%2001/010-vector1.md, friendlyName=Open note</x:v>
      </x:c>
      <x:c r="Q15" s="153" t="e">
        <x:f>HYPERLINK("https://github.com/kapiltrip/hdlBits/blob/main/images/Day%2001/010-vector1.png","Full-size image")</x:f>
        <x:v>HYPERLINK is not implemented. linkLocation=https://github.com/kapiltrip/hdlBits/blob/main/images/Day%2001/010-vector1.png, friendlyName=Full-size image</x:v>
      </x:c>
      <x:c r="R15" s="153" t="e">
        <x:f>HYPERLINK("https://github.com/kapiltrip/hdlBits/blob/main/solutions/Day%2001/010-vector1.sv","Open solution")</x:f>
        <x:v>HYPERLINK is not implemented. linkLocation=https://github.com/kapiltrip/hdlBits/blob/main/solutions/Day%2001/010-vector1.sv, friendlyName=Open solution</x:v>
      </x:c>
      <x:c r="S15" s="153" t="e">
        <x:f>HYPERLINK("https://hdlbits.01xz.net/wiki/vector1","HDLBits")</x:f>
        <x:v>HYPERLINK is not implemented. linkLocation=https://hdlbits.01xz.net/wiki/vector1, friendlyName=HDLBits</x:v>
      </x:c>
      <x:c r="T15" s="162" t="str">
        <x:v>Practice vector declarations, bit ordering, and selecting individual bits from buses with different index directions.</x:v>
      </x:c>
      <x:c r="U15" s="168"/>
    </x:row>
    <x:row r="16" ht="42" customHeight="1">
      <x:c r="A16" s="135" t="n">
        <x:v>11</x:v>
      </x:c>
      <x:c r="B16" s="136" t="str">
        <x:v>Verilog Language</x:v>
      </x:c>
      <x:c r="C16" s="136" t="str">
        <x:v>Vectors</x:v>
      </x:c>
      <x:c r="D16" s="136" t="str"/>
      <x:c r="E16" s="136" t="str">
        <x:v>Vector part select</x:v>
      </x:c>
      <x:c r="F16" s="136" t="str">
        <x:v>vector2</x:v>
      </x:c>
      <x:c r="G16" s="135" t="str">
        <x:v>Completed</x:v>
      </x:c>
      <x:c r="H16" s="135" t="str">
        <x:v>Day 01</x:v>
      </x:c>
      <x:c r="I16" s="137" t="n">
        <x:v>46196.5</x:v>
      </x:c>
      <x:c r="J16" s="135" t="str">
        <x:v>9:56:38 PM</x:v>
      </x:c>
      <x:c r="K16" s="138" t="n">
        <x:v>3</x:v>
      </x:c>
      <x:c r="L16" s="138" t="n">
        <x:v>0</x:v>
      </x:c>
      <x:c r="M16" s="138" t="n">
        <x:v>2</x:v>
      </x:c>
      <x:c r="N16" s="138" t="n">
        <x:v>0</x:v>
      </x:c>
      <x:c r="O16" s="139" t="n">
        <x:v>0.33</x:v>
      </x:c>
      <x:c r="P16" s="153" t="e">
        <x:f>HYPERLINK("https://github.com/kapiltrip/hdlBits/blob/main/problems/Day%2001/011-vector2.md","Open note")</x:f>
        <x:v>HYPERLINK is not implemented. linkLocation=https://github.com/kapiltrip/hdlBits/blob/main/problems/Day%2001/011-vector2.md, friendlyName=Open note</x:v>
      </x:c>
      <x:c r="Q16" s="153" t="e">
        <x:f>HYPERLINK("https://github.com/kapiltrip/hdlBits/blob/main/images/Day%2001/011-vector2.png","Full-size image")</x:f>
        <x:v>HYPERLINK is not implemented. linkLocation=https://github.com/kapiltrip/hdlBits/blob/main/images/Day%2001/011-vector2.png, friendlyName=Full-size image</x:v>
      </x:c>
      <x:c r="R16" s="153" t="e">
        <x:f>HYPERLINK("https://github.com/kapiltrip/hdlBits/blob/main/solutions/Day%2001/011-vector2.sv","Open solution")</x:f>
        <x:v>HYPERLINK is not implemented. linkLocation=https://github.com/kapiltrip/hdlBits/blob/main/solutions/Day%2001/011-vector2.sv, friendlyName=Open solution</x:v>
      </x:c>
      <x:c r="S16" s="153" t="e">
        <x:f>HYPERLINK("https://hdlbits.01xz.net/wiki/vector2","HDLBits")</x:f>
        <x:v>HYPERLINK is not implemented. linkLocation=https://hdlbits.01xz.net/wiki/vector2, friendlyName=HDLBits</x:v>
      </x:c>
      <x:c r="T16" s="162" t="str">
        <x:v>Split a 16-bit input vector into its upper and lower 8-bit halves and route them to separate outputs.</x:v>
      </x:c>
      <x:c r="U16" s="168"/>
    </x:row>
    <x:row r="17" ht="42" customHeight="1">
      <x:c r="A17" s="135" t="n">
        <x:v>12</x:v>
      </x:c>
      <x:c r="B17" s="136" t="str">
        <x:v>Verilog Language</x:v>
      </x:c>
      <x:c r="C17" s="136" t="str">
        <x:v>Vectors</x:v>
      </x:c>
      <x:c r="D17" s="136" t="str"/>
      <x:c r="E17" s="136" t="str">
        <x:v>Bitwise operators</x:v>
      </x:c>
      <x:c r="F17" s="136" t="str">
        <x:v>vectorgates</x:v>
      </x:c>
      <x:c r="G17" s="135" t="str">
        <x:v>Completed</x:v>
      </x:c>
      <x:c r="H17" s="135" t="str">
        <x:v>Day 01</x:v>
      </x:c>
      <x:c r="I17" s="137" t="n">
        <x:v>46196.5</x:v>
      </x:c>
      <x:c r="J17" s="135" t="str">
        <x:v>10:04:38 PM</x:v>
      </x:c>
      <x:c r="K17" s="138" t="n">
        <x:v>1</x:v>
      </x:c>
      <x:c r="L17" s="138" t="n">
        <x:v>0</x:v>
      </x:c>
      <x:c r="M17" s="138" t="n">
        <x:v>0</x:v>
      </x:c>
      <x:c r="N17" s="138" t="n">
        <x:v>0</x:v>
      </x:c>
      <x:c r="O17" s="139" t="n">
        <x:v>1</x:v>
      </x:c>
      <x:c r="P17" s="153" t="e">
        <x:f>HYPERLINK("https://github.com/kapiltrip/hdlBits/blob/main/problems/Day%2001/012-vectorgates.md","Open note")</x:f>
        <x:v>HYPERLINK is not implemented. linkLocation=https://github.com/kapiltrip/hdlBits/blob/main/problems/Day%2001/012-vectorgates.md, friendlyName=Open note</x:v>
      </x:c>
      <x:c r="Q17" s="153" t="e">
        <x:f>HYPERLINK("https://github.com/kapiltrip/hdlBits/blob/main/images/Day%2001/012-vectorgates.png","Full-size image")</x:f>
        <x:v>HYPERLINK is not implemented. linkLocation=https://github.com/kapiltrip/hdlBits/blob/main/images/Day%2001/012-vectorgates.png, friendlyName=Full-size image</x:v>
      </x:c>
      <x:c r="R17" s="153" t="e">
        <x:f>HYPERLINK("https://github.com/kapiltrip/hdlBits/blob/main/solutions/Day%2001/012-vectorgates.sv","Open solution")</x:f>
        <x:v>HYPERLINK is not implemented. linkLocation=https://github.com/kapiltrip/hdlBits/blob/main/solutions/Day%2001/012-vectorgates.sv, friendlyName=Open solution</x:v>
      </x:c>
      <x:c r="S17" s="153" t="e">
        <x:f>HYPERLINK("https://hdlbits.01xz.net/wiki/vectorgates","HDLBits")</x:f>
        <x:v>HYPERLINK is not implemented. linkLocation=https://hdlbits.01xz.net/wiki/vectorgates, friendlyName=HDLBits</x:v>
      </x:c>
      <x:c r="T17" s="162" t="str">
        <x:v>Apply bitwise OR, logical OR, and bitwise inversion to vectors so their different behaviours are visible.</x:v>
      </x:c>
      <x:c r="U17" s="168"/>
    </x:row>
    <x:row r="18" ht="42" customHeight="1">
      <x:c r="A18" s="135" t="n">
        <x:v>13</x:v>
      </x:c>
      <x:c r="B18" s="136" t="str">
        <x:v>Verilog Language</x:v>
      </x:c>
      <x:c r="C18" s="136" t="str">
        <x:v>Vectors</x:v>
      </x:c>
      <x:c r="D18" s="136" t="str"/>
      <x:c r="E18" s="136" t="str">
        <x:v>Four-input gates</x:v>
      </x:c>
      <x:c r="F18" s="136" t="str">
        <x:v>gates4</x:v>
      </x:c>
      <x:c r="G18" s="135" t="str">
        <x:v>Completed</x:v>
      </x:c>
      <x:c r="H18" s="135" t="str">
        <x:v>Day 01</x:v>
      </x:c>
      <x:c r="I18" s="137" t="n">
        <x:v>46196.5</x:v>
      </x:c>
      <x:c r="J18" s="135" t="str">
        <x:v>10:24:24 PM</x:v>
      </x:c>
      <x:c r="K18" s="138" t="n">
        <x:v>8</x:v>
      </x:c>
      <x:c r="L18" s="138" t="n">
        <x:v>0</x:v>
      </x:c>
      <x:c r="M18" s="138" t="n">
        <x:v>7</x:v>
      </x:c>
      <x:c r="N18" s="138" t="n">
        <x:v>0</x:v>
      </x:c>
      <x:c r="O18" s="139" t="n">
        <x:v>0.13</x:v>
      </x:c>
      <x:c r="P18" s="153" t="e">
        <x:f>HYPERLINK("https://github.com/kapiltrip/hdlBits/blob/main/problems/Day%2001/013-gates4.md","Open note")</x:f>
        <x:v>HYPERLINK is not implemented. linkLocation=https://github.com/kapiltrip/hdlBits/blob/main/problems/Day%2001/013-gates4.md, friendlyName=Open note</x:v>
      </x:c>
      <x:c r="Q18" s="153" t="e">
        <x:f>HYPERLINK("https://github.com/kapiltrip/hdlBits/blob/main/images/Day%2001/013-gates4.png","Full-size image")</x:f>
        <x:v>HYPERLINK is not implemented. linkLocation=https://github.com/kapiltrip/hdlBits/blob/main/images/Day%2001/013-gates4.png, friendlyName=Full-size image</x:v>
      </x:c>
      <x:c r="R18" s="153" t="e">
        <x:f>HYPERLINK("https://github.com/kapiltrip/hdlBits/blob/main/solutions/Day%2001/013-gates4.sv","Open solution")</x:f>
        <x:v>HYPERLINK is not implemented. linkLocation=https://github.com/kapiltrip/hdlBits/blob/main/solutions/Day%2001/013-gates4.sv, friendlyName=Open solution</x:v>
      </x:c>
      <x:c r="S18" s="153" t="e">
        <x:f>HYPERLINK("https://hdlbits.01xz.net/wiki/gates4","HDLBits")</x:f>
        <x:v>HYPERLINK is not implemented. linkLocation=https://hdlbits.01xz.net/wiki/gates4, friendlyName=HDLBits</x:v>
      </x:c>
      <x:c r="T18" s="162" t="str">
        <x:v>Use reduction operators to compute one-bit AND, OR, and XOR results across all four input bits.</x:v>
      </x:c>
      <x:c r="U18" s="168"/>
    </x:row>
    <x:row r="19" ht="42" customHeight="1">
      <x:c r="A19" s="135" t="n">
        <x:v>14</x:v>
      </x:c>
      <x:c r="B19" s="136" t="str">
        <x:v>Verilog Language</x:v>
      </x:c>
      <x:c r="C19" s="136" t="str">
        <x:v>Vectors</x:v>
      </x:c>
      <x:c r="D19" s="136" t="str"/>
      <x:c r="E19" s="136" t="str">
        <x:v>Vector concatenation operator</x:v>
      </x:c>
      <x:c r="F19" s="136" t="str">
        <x:v>vector3</x:v>
      </x:c>
      <x:c r="G19" s="135" t="str">
        <x:v>Completed</x:v>
      </x:c>
      <x:c r="H19" s="135" t="str">
        <x:v>Day 01</x:v>
      </x:c>
      <x:c r="I19" s="137" t="n">
        <x:v>46196.5</x:v>
      </x:c>
      <x:c r="J19" s="135" t="str">
        <x:v>10:56:44 PM</x:v>
      </x:c>
      <x:c r="K19" s="138" t="n">
        <x:v>8</x:v>
      </x:c>
      <x:c r="L19" s="138" t="n">
        <x:v>0</x:v>
      </x:c>
      <x:c r="M19" s="138" t="n">
        <x:v>7</x:v>
      </x:c>
      <x:c r="N19" s="138" t="n">
        <x:v>0</x:v>
      </x:c>
      <x:c r="O19" s="139" t="n">
        <x:v>0.13</x:v>
      </x:c>
      <x:c r="P19" s="153" t="e">
        <x:f>HYPERLINK("https://github.com/kapiltrip/hdlBits/blob/main/problems/Day%2001/014-vector3.md","Open note")</x:f>
        <x:v>HYPERLINK is not implemented. linkLocation=https://github.com/kapiltrip/hdlBits/blob/main/problems/Day%2001/014-vector3.md, friendlyName=Open note</x:v>
      </x:c>
      <x:c r="Q19" s="153" t="e">
        <x:f>HYPERLINK("https://github.com/kapiltrip/hdlBits/blob/main/images/Day%2001/014-vector3.png","Full-size image")</x:f>
        <x:v>HYPERLINK is not implemented. linkLocation=https://github.com/kapiltrip/hdlBits/blob/main/images/Day%2001/014-vector3.png, friendlyName=Full-size image</x:v>
      </x:c>
      <x:c r="R19" s="153" t="e">
        <x:f>HYPERLINK("https://github.com/kapiltrip/hdlBits/blob/main/solutions/Day%2001/014-vector3.sv","Open solution")</x:f>
        <x:v>HYPERLINK is not implemented. linkLocation=https://github.com/kapiltrip/hdlBits/blob/main/solutions/Day%2001/014-vector3.sv, friendlyName=Open solution</x:v>
      </x:c>
      <x:c r="S19" s="153" t="e">
        <x:f>HYPERLINK("https://hdlbits.01xz.net/wiki/vector3","HDLBits")</x:f>
        <x:v>HYPERLINK is not implemented. linkLocation=https://hdlbits.01xz.net/wiki/vector3, friendlyName=HDLBits</x:v>
      </x:c>
      <x:c r="T19" s="162" t="str">
        <x:v>Use concatenation to regroup the input vectors and assign the requested output vectors in the specified bit order.</x:v>
      </x:c>
      <x:c r="U19" s="168"/>
    </x:row>
    <x:row r="20" ht="42" customHeight="1">
      <x:c r="A20" s="135" t="n">
        <x:v>15</x:v>
      </x:c>
      <x:c r="B20" s="136" t="str">
        <x:v>Verilog Language</x:v>
      </x:c>
      <x:c r="C20" s="136" t="str">
        <x:v>Vectors</x:v>
      </x:c>
      <x:c r="D20" s="136" t="str"/>
      <x:c r="E20" s="136" t="str">
        <x:v>Vector reversal 1</x:v>
      </x:c>
      <x:c r="F20" s="136" t="str">
        <x:v>vectorr</x:v>
      </x:c>
      <x:c r="G20" s="135" t="str">
        <x:v>Completed</x:v>
      </x:c>
      <x:c r="H20" s="135" t="str">
        <x:v>Day 01</x:v>
      </x:c>
      <x:c r="I20" s="137" t="n">
        <x:v>46196.5</x:v>
      </x:c>
      <x:c r="J20" s="135" t="str">
        <x:v>11:34:51 PM</x:v>
      </x:c>
      <x:c r="K20" s="138" t="n">
        <x:v>2</x:v>
      </x:c>
      <x:c r="L20" s="138" t="n">
        <x:v>0</x:v>
      </x:c>
      <x:c r="M20" s="138" t="n">
        <x:v>1</x:v>
      </x:c>
      <x:c r="N20" s="138" t="n">
        <x:v>0</x:v>
      </x:c>
      <x:c r="O20" s="139" t="n">
        <x:v>0.5</x:v>
      </x:c>
      <x:c r="P20" s="153" t="e">
        <x:f>HYPERLINK("https://github.com/kapiltrip/hdlBits/blob/main/problems/Day%2001/015-vectorr.md","Open note")</x:f>
        <x:v>HYPERLINK is not implemented. linkLocation=https://github.com/kapiltrip/hdlBits/blob/main/problems/Day%2001/015-vectorr.md, friendlyName=Open note</x:v>
      </x:c>
      <x:c r="Q20" s="153" t="e">
        <x:f>HYPERLINK("https://github.com/kapiltrip/hdlBits/blob/main/images/Day%2001/015-vectorr.png","Full-size image")</x:f>
        <x:v>HYPERLINK is not implemented. linkLocation=https://github.com/kapiltrip/hdlBits/blob/main/images/Day%2001/015-vectorr.png, friendlyName=Full-size image</x:v>
      </x:c>
      <x:c r="R20" s="153" t="e">
        <x:f>HYPERLINK("https://github.com/kapiltrip/hdlBits/blob/main/solutions/Day%2001/015-vectorr.sv","Open solution")</x:f>
        <x:v>HYPERLINK is not implemented. linkLocation=https://github.com/kapiltrip/hdlBits/blob/main/solutions/Day%2001/015-vectorr.sv, friendlyName=Open solution</x:v>
      </x:c>
      <x:c r="S20" s="153" t="e">
        <x:f>HYPERLINK("https://hdlbits.01xz.net/wiki/vectorr","HDLBits")</x:f>
        <x:v>HYPERLINK is not implemented. linkLocation=https://hdlbits.01xz.net/wiki/vectorr, friendlyName=HDLBits</x:v>
      </x:c>
      <x:c r="T20" s="162" t="str">
        <x:v>Reverse the bit order of the input vector so the most-significant and least-significant positions swap.</x:v>
      </x:c>
      <x:c r="U20" s="168"/>
    </x:row>
    <x:row r="21" ht="42" customHeight="1">
      <x:c r="A21" s="135" t="n">
        <x:v>16</x:v>
      </x:c>
      <x:c r="B21" s="136" t="str">
        <x:v>Verilog Language</x:v>
      </x:c>
      <x:c r="C21" s="136" t="str">
        <x:v>Vectors</x:v>
      </x:c>
      <x:c r="D21" s="136" t="str"/>
      <x:c r="E21" s="136" t="str">
        <x:v>Replication operator</x:v>
      </x:c>
      <x:c r="F21" s="136" t="str">
        <x:v>vector4</x:v>
      </x:c>
      <x:c r="G21" s="135" t="str">
        <x:v>Completed</x:v>
      </x:c>
      <x:c r="H21" s="135" t="str">
        <x:v>Day 01</x:v>
      </x:c>
      <x:c r="I21" s="137" t="n">
        <x:v>46196.5</x:v>
      </x:c>
      <x:c r="J21" s="135" t="str">
        <x:v>11:49:31 PM</x:v>
      </x:c>
      <x:c r="K21" s="138" t="n">
        <x:v>9</x:v>
      </x:c>
      <x:c r="L21" s="138" t="n">
        <x:v>0</x:v>
      </x:c>
      <x:c r="M21" s="138" t="n">
        <x:v>8</x:v>
      </x:c>
      <x:c r="N21" s="138" t="n">
        <x:v>0</x:v>
      </x:c>
      <x:c r="O21" s="139" t="n">
        <x:v>0.11</x:v>
      </x:c>
      <x:c r="P21" s="153" t="e">
        <x:f>HYPERLINK("https://github.com/kapiltrip/hdlBits/blob/main/problems/Day%2001/016-vector4.md","Open note")</x:f>
        <x:v>HYPERLINK is not implemented. linkLocation=https://github.com/kapiltrip/hdlBits/blob/main/problems/Day%2001/016-vector4.md, friendlyName=Open note</x:v>
      </x:c>
      <x:c r="Q21" s="153" t="e">
        <x:f>HYPERLINK("https://github.com/kapiltrip/hdlBits/blob/main/images/Day%2001/016-vector4.png","Full-size image")</x:f>
        <x:v>HYPERLINK is not implemented. linkLocation=https://github.com/kapiltrip/hdlBits/blob/main/images/Day%2001/016-vector4.png, friendlyName=Full-size image</x:v>
      </x:c>
      <x:c r="R21" s="153" t="e">
        <x:f>HYPERLINK("https://github.com/kapiltrip/hdlBits/blob/main/solutions/Day%2001/016-vector4.sv","Open solution")</x:f>
        <x:v>HYPERLINK is not implemented. linkLocation=https://github.com/kapiltrip/hdlBits/blob/main/solutions/Day%2001/016-vector4.sv, friendlyName=Open solution</x:v>
      </x:c>
      <x:c r="S21" s="153" t="e">
        <x:f>HYPERLINK("https://hdlbits.01xz.net/wiki/vector4","HDLBits")</x:f>
        <x:v>HYPERLINK is not implemented. linkLocation=https://hdlbits.01xz.net/wiki/vector4, friendlyName=HDLBits</x:v>
      </x:c>
      <x:c r="T21" s="162" t="str">
        <x:v>Use the replication operator to repeat a bit pattern and form the required wider output vector.</x:v>
      </x:c>
      <x:c r="U21" s="168"/>
    </x:row>
    <x:row r="22" ht="42" customHeight="1">
      <x:c r="A22" s="135" t="n">
        <x:v>17</x:v>
      </x:c>
      <x:c r="B22" s="136" t="str">
        <x:v>Verilog Language</x:v>
      </x:c>
      <x:c r="C22" s="136" t="str">
        <x:v>Vectors</x:v>
      </x:c>
      <x:c r="D22" s="136" t="str"/>
      <x:c r="E22" s="136" t="str">
        <x:v>More replication</x:v>
      </x:c>
      <x:c r="F22" s="136" t="str">
        <x:v>vector5</x:v>
      </x:c>
      <x:c r="G22" s="135" t="str">
        <x:v>Completed</x:v>
      </x:c>
      <x:c r="H22" s="135" t="str">
        <x:v>Day 02</x:v>
      </x:c>
      <x:c r="I22" s="137" t="n">
        <x:v>46197.5</x:v>
      </x:c>
      <x:c r="J22" s="135" t="str">
        <x:v>12:26:24 AM</x:v>
      </x:c>
      <x:c r="K22" s="138" t="n">
        <x:v>5</x:v>
      </x:c>
      <x:c r="L22" s="138" t="n">
        <x:v>0</x:v>
      </x:c>
      <x:c r="M22" s="138" t="n">
        <x:v>4</x:v>
      </x:c>
      <x:c r="N22" s="138" t="n">
        <x:v>0</x:v>
      </x:c>
      <x:c r="O22" s="139" t="n">
        <x:v>0.2</x:v>
      </x:c>
      <x:c r="P22" s="153" t="e">
        <x:f>HYPERLINK("https://github.com/kapiltrip/hdlBits/blob/main/problems/Day%2002/017-vector5.md","Open note")</x:f>
        <x:v>HYPERLINK is not implemented. linkLocation=https://github.com/kapiltrip/hdlBits/blob/main/problems/Day%2002/017-vector5.md, friendlyName=Open note</x:v>
      </x:c>
      <x:c r="Q22" s="153" t="e">
        <x:f>HYPERLINK("https://github.com/kapiltrip/hdlBits/blob/main/images/Day%2002/017-vector5.png","Full-size image")</x:f>
        <x:v>HYPERLINK is not implemented. linkLocation=https://github.com/kapiltrip/hdlBits/blob/main/images/Day%2002/017-vector5.png, friendlyName=Full-size image</x:v>
      </x:c>
      <x:c r="R22" s="153" t="e">
        <x:f>HYPERLINK("https://github.com/kapiltrip/hdlBits/blob/main/solutions/Day%2002/017-vector5.sv","Open solution")</x:f>
        <x:v>HYPERLINK is not implemented. linkLocation=https://github.com/kapiltrip/hdlBits/blob/main/solutions/Day%2002/017-vector5.sv, friendlyName=Open solution</x:v>
      </x:c>
      <x:c r="S22" s="153" t="e">
        <x:f>HYPERLINK("https://hdlbits.01xz.net/wiki/vector5","HDLBits")</x:f>
        <x:v>HYPERLINK is not implemented. linkLocation=https://hdlbits.01xz.net/wiki/vector5, friendlyName=HDLBits</x:v>
      </x:c>
      <x:c r="T22" s="162" t="str">
        <x:v>Combine replication and concatenation to build widened vectors and compare them bit by bit.</x:v>
      </x:c>
      <x:c r="U22" s="168"/>
    </x:row>
    <x:row r="23" ht="42" customHeight="1">
      <x:c r="A23" s="135" t="n">
        <x:v>18</x:v>
      </x:c>
      <x:c r="B23" s="136" t="str">
        <x:v>Verilog Language</x:v>
      </x:c>
      <x:c r="C23" s="136" t="str">
        <x:v>Modules: Hierarchy</x:v>
      </x:c>
      <x:c r="D23" s="136" t="str"/>
      <x:c r="E23" s="136" t="str">
        <x:v>Modules</x:v>
      </x:c>
      <x:c r="F23" s="136" t="str">
        <x:v>module</x:v>
      </x:c>
      <x:c r="G23" s="135" t="str">
        <x:v>Completed</x:v>
      </x:c>
      <x:c r="H23" s="135" t="str">
        <x:v>Day 02</x:v>
      </x:c>
      <x:c r="I23" s="137" t="n">
        <x:v>46197.5</x:v>
      </x:c>
      <x:c r="J23" s="135" t="str">
        <x:v>1:24:31 PM</x:v>
      </x:c>
      <x:c r="K23" s="138" t="n">
        <x:v>1</x:v>
      </x:c>
      <x:c r="L23" s="138" t="n">
        <x:v>0</x:v>
      </x:c>
      <x:c r="M23" s="138" t="n">
        <x:v>0</x:v>
      </x:c>
      <x:c r="N23" s="138" t="n">
        <x:v>0</x:v>
      </x:c>
      <x:c r="O23" s="139" t="n">
        <x:v>1</x:v>
      </x:c>
      <x:c r="P23" s="153" t="e">
        <x:f>HYPERLINK("https://github.com/kapiltrip/hdlBits/blob/main/problems/Day%2002/018-module.md","Open note")</x:f>
        <x:v>HYPERLINK is not implemented. linkLocation=https://github.com/kapiltrip/hdlBits/blob/main/problems/Day%2002/018-module.md, friendlyName=Open note</x:v>
      </x:c>
      <x:c r="Q23" s="153" t="e">
        <x:f>HYPERLINK("https://github.com/kapiltrip/hdlBits/blob/main/images/Day%2002/018-module.png","Full-size image")</x:f>
        <x:v>HYPERLINK is not implemented. linkLocation=https://github.com/kapiltrip/hdlBits/blob/main/images/Day%2002/018-module.png, friendlyName=Full-size image</x:v>
      </x:c>
      <x:c r="R23" s="153" t="e">
        <x:f>HYPERLINK("https://github.com/kapiltrip/hdlBits/blob/main/solutions/Day%2002/018-module.sv","Open solution")</x:f>
        <x:v>HYPERLINK is not implemented. linkLocation=https://github.com/kapiltrip/hdlBits/blob/main/solutions/Day%2002/018-module.sv, friendlyName=Open solution</x:v>
      </x:c>
      <x:c r="S23" s="153" t="e">
        <x:f>HYPERLINK("https://hdlbits.01xz.net/wiki/module","HDLBits")</x:f>
        <x:v>HYPERLINK is not implemented. linkLocation=https://hdlbits.01xz.net/wiki/module, friendlyName=HDLBits</x:v>
      </x:c>
      <x:c r="T23" s="162" t="str">
        <x:v>Instantiate the provided submodule and connect its input and output ports to the top-level module.</x:v>
      </x:c>
      <x:c r="U23" s="168"/>
    </x:row>
    <x:row r="24" ht="42" customHeight="1">
      <x:c r="A24" s="135" t="n">
        <x:v>19</x:v>
      </x:c>
      <x:c r="B24" s="136" t="str">
        <x:v>Verilog Language</x:v>
      </x:c>
      <x:c r="C24" s="136" t="str">
        <x:v>Modules: Hierarchy</x:v>
      </x:c>
      <x:c r="D24" s="136" t="str"/>
      <x:c r="E24" s="136" t="str">
        <x:v>Connecting ports by position</x:v>
      </x:c>
      <x:c r="F24" s="136" t="str">
        <x:v>module_pos</x:v>
      </x:c>
      <x:c r="G24" s="135" t="str">
        <x:v>Completed</x:v>
      </x:c>
      <x:c r="H24" s="135" t="str">
        <x:v>Day 02</x:v>
      </x:c>
      <x:c r="I24" s="137" t="n">
        <x:v>46197.5</x:v>
      </x:c>
      <x:c r="J24" s="135" t="str">
        <x:v>1:28:26 PM</x:v>
      </x:c>
      <x:c r="K24" s="138" t="n">
        <x:v>2</x:v>
      </x:c>
      <x:c r="L24" s="138" t="n">
        <x:v>0</x:v>
      </x:c>
      <x:c r="M24" s="138" t="n">
        <x:v>0</x:v>
      </x:c>
      <x:c r="N24" s="138" t="n">
        <x:v>0</x:v>
      </x:c>
      <x:c r="O24" s="139" t="n">
        <x:v>1</x:v>
      </x:c>
      <x:c r="P24" s="153" t="e">
        <x:f>HYPERLINK("https://github.com/kapiltrip/hdlBits/blob/main/problems/Day%2002/019-module_pos.md","Open note")</x:f>
        <x:v>HYPERLINK is not implemented. linkLocation=https://github.com/kapiltrip/hdlBits/blob/main/problems/Day%2002/019-module_pos.md, friendlyName=Open note</x:v>
      </x:c>
      <x:c r="Q24" s="153" t="e">
        <x:f>HYPERLINK("https://github.com/kapiltrip/hdlBits/blob/main/images/Day%2002/019-module_pos.png","Full-size image")</x:f>
        <x:v>HYPERLINK is not implemented. linkLocation=https://github.com/kapiltrip/hdlBits/blob/main/images/Day%2002/019-module_pos.png, friendlyName=Full-size image</x:v>
      </x:c>
      <x:c r="R24" s="153" t="e">
        <x:f>HYPERLINK("https://github.com/kapiltrip/hdlBits/blob/main/solutions/Day%2002/019-module_pos.sv","Open solution")</x:f>
        <x:v>HYPERLINK is not implemented. linkLocation=https://github.com/kapiltrip/hdlBits/blob/main/solutions/Day%2002/019-module_pos.sv, friendlyName=Open solution</x:v>
      </x:c>
      <x:c r="S24" s="153" t="e">
        <x:f>HYPERLINK("https://hdlbits.01xz.net/wiki/module_pos","HDLBits")</x:f>
        <x:v>HYPERLINK is not implemented. linkLocation=https://hdlbits.01xz.net/wiki/module_pos, friendlyName=HDLBits</x:v>
      </x:c>
      <x:c r="T24" s="162" t="str">
        <x:v>Instantiate a module and connect its ports by position, keeping the connection order exactly correct.</x:v>
      </x:c>
      <x:c r="U24" s="168"/>
    </x:row>
    <x:row r="25" ht="42" customHeight="1">
      <x:c r="A25" s="135" t="n">
        <x:v>20</x:v>
      </x:c>
      <x:c r="B25" s="136" t="str">
        <x:v>Verilog Language</x:v>
      </x:c>
      <x:c r="C25" s="136" t="str">
        <x:v>Modules: Hierarchy</x:v>
      </x:c>
      <x:c r="D25" s="136" t="str"/>
      <x:c r="E25" s="136" t="str">
        <x:v>Connecting ports by name</x:v>
      </x:c>
      <x:c r="F25" s="136" t="str">
        <x:v>module_name</x:v>
      </x:c>
      <x:c r="G25" s="135" t="str">
        <x:v>Completed</x:v>
      </x:c>
      <x:c r="H25" s="135" t="str">
        <x:v>Day 02</x:v>
      </x:c>
      <x:c r="I25" s="137" t="n">
        <x:v>46197.5</x:v>
      </x:c>
      <x:c r="J25" s="135" t="str">
        <x:v>1:31:10 PM</x:v>
      </x:c>
      <x:c r="K25" s="138" t="n">
        <x:v>1</x:v>
      </x:c>
      <x:c r="L25" s="138" t="n">
        <x:v>0</x:v>
      </x:c>
      <x:c r="M25" s="138" t="n">
        <x:v>0</x:v>
      </x:c>
      <x:c r="N25" s="138" t="n">
        <x:v>0</x:v>
      </x:c>
      <x:c r="O25" s="139" t="n">
        <x:v>1</x:v>
      </x:c>
      <x:c r="P25" s="153" t="e">
        <x:f>HYPERLINK("https://github.com/kapiltrip/hdlBits/blob/main/problems/Day%2002/020-module_name.md","Open note")</x:f>
        <x:v>HYPERLINK is not implemented. linkLocation=https://github.com/kapiltrip/hdlBits/blob/main/problems/Day%2002/020-module_name.md, friendlyName=Open note</x:v>
      </x:c>
      <x:c r="Q25" s="153" t="e">
        <x:f>HYPERLINK("https://github.com/kapiltrip/hdlBits/blob/main/images/Day%2002/020-module_name.png","Full-size image")</x:f>
        <x:v>HYPERLINK is not implemented. linkLocation=https://github.com/kapiltrip/hdlBits/blob/main/images/Day%2002/020-module_name.png, friendlyName=Full-size image</x:v>
      </x:c>
      <x:c r="R25" s="153" t="e">
        <x:f>HYPERLINK("https://github.com/kapiltrip/hdlBits/blob/main/solutions/Day%2002/020-module_name.sv","Open solution")</x:f>
        <x:v>HYPERLINK is not implemented. linkLocation=https://github.com/kapiltrip/hdlBits/blob/main/solutions/Day%2002/020-module_name.sv, friendlyName=Open solution</x:v>
      </x:c>
      <x:c r="S25" s="153" t="e">
        <x:f>HYPERLINK("https://hdlbits.01xz.net/wiki/module_name","HDLBits")</x:f>
        <x:v>HYPERLINK is not implemented. linkLocation=https://hdlbits.01xz.net/wiki/module_name, friendlyName=HDLBits</x:v>
      </x:c>
      <x:c r="T25" s="162" t="str">
        <x:v>Instantiate a module and connect its ports by name so each signal is matched explicitly.</x:v>
      </x:c>
      <x:c r="U25" s="168"/>
    </x:row>
    <x:row r="26" ht="42" customHeight="1">
      <x:c r="A26" s="135" t="n">
        <x:v>21</x:v>
      </x:c>
      <x:c r="B26" s="136" t="str">
        <x:v>Verilog Language</x:v>
      </x:c>
      <x:c r="C26" s="136" t="str">
        <x:v>Modules: Hierarchy</x:v>
      </x:c>
      <x:c r="D26" s="136" t="str"/>
      <x:c r="E26" s="136" t="str">
        <x:v>Three modules</x:v>
      </x:c>
      <x:c r="F26" s="136" t="str">
        <x:v>module_shift</x:v>
      </x:c>
      <x:c r="G26" s="135" t="str">
        <x:v>Completed</x:v>
      </x:c>
      <x:c r="H26" s="135" t="str">
        <x:v>Day 02</x:v>
      </x:c>
      <x:c r="I26" s="137" t="n">
        <x:v>46197.5</x:v>
      </x:c>
      <x:c r="J26" s="135" t="str">
        <x:v>1:37:32 PM</x:v>
      </x:c>
      <x:c r="K26" s="138" t="n">
        <x:v>2</x:v>
      </x:c>
      <x:c r="L26" s="138" t="n">
        <x:v>0</x:v>
      </x:c>
      <x:c r="M26" s="138" t="n">
        <x:v>1</x:v>
      </x:c>
      <x:c r="N26" s="138" t="n">
        <x:v>0</x:v>
      </x:c>
      <x:c r="O26" s="139" t="n">
        <x:v>0.5</x:v>
      </x:c>
      <x:c r="P26" s="153" t="e">
        <x:f>HYPERLINK("https://github.com/kapiltrip/hdlBits/blob/main/problems/Day%2002/021-module_shift.md","Open note")</x:f>
        <x:v>HYPERLINK is not implemented. linkLocation=https://github.com/kapiltrip/hdlBits/blob/main/problems/Day%2002/021-module_shift.md, friendlyName=Open note</x:v>
      </x:c>
      <x:c r="Q26" s="153" t="e">
        <x:f>HYPERLINK("https://github.com/kapiltrip/hdlBits/blob/main/images/Day%2002/021-module_shift.png","Full-size image")</x:f>
        <x:v>HYPERLINK is not implemented. linkLocation=https://github.com/kapiltrip/hdlBits/blob/main/images/Day%2002/021-module_shift.png, friendlyName=Full-size image</x:v>
      </x:c>
      <x:c r="R26" s="153" t="e">
        <x:f>HYPERLINK("https://github.com/kapiltrip/hdlBits/blob/main/solutions/Day%2002/021-module_shift.sv","Open solution")</x:f>
        <x:v>HYPERLINK is not implemented. linkLocation=https://github.com/kapiltrip/hdlBits/blob/main/solutions/Day%2002/021-module_shift.sv, friendlyName=Open solution</x:v>
      </x:c>
      <x:c r="S26" s="153" t="e">
        <x:f>HYPERLINK("https://hdlbits.01xz.net/wiki/module_shift","HDLBits")</x:f>
        <x:v>HYPERLINK is not implemented. linkLocation=https://hdlbits.01xz.net/wiki/module_shift, friendlyName=HDLBits</x:v>
      </x:c>
      <x:c r="T26" s="162" t="str">
        <x:v>Chain three copies of the provided module so each stage feeds the next stage.</x:v>
      </x:c>
      <x:c r="U26" s="168"/>
    </x:row>
    <x:row r="27" ht="42" customHeight="1">
      <x:c r="A27" s="135" t="n">
        <x:v>22</x:v>
      </x:c>
      <x:c r="B27" s="136" t="str">
        <x:v>Verilog Language</x:v>
      </x:c>
      <x:c r="C27" s="136" t="str">
        <x:v>Modules: Hierarchy</x:v>
      </x:c>
      <x:c r="D27" s="136" t="str"/>
      <x:c r="E27" s="136" t="str">
        <x:v>Modules and vectors</x:v>
      </x:c>
      <x:c r="F27" s="136" t="str">
        <x:v>module_shift8</x:v>
      </x:c>
      <x:c r="G27" s="135" t="str">
        <x:v>Completed</x:v>
      </x:c>
      <x:c r="H27" s="135" t="str">
        <x:v>Day 02</x:v>
      </x:c>
      <x:c r="I27" s="137" t="n">
        <x:v>46197.5</x:v>
      </x:c>
      <x:c r="J27" s="135" t="str">
        <x:v>1:53:37 PM</x:v>
      </x:c>
      <x:c r="K27" s="138" t="n">
        <x:v>7</x:v>
      </x:c>
      <x:c r="L27" s="138" t="n">
        <x:v>2</x:v>
      </x:c>
      <x:c r="M27" s="138" t="n">
        <x:v>4</x:v>
      </x:c>
      <x:c r="N27" s="138" t="n">
        <x:v>0</x:v>
      </x:c>
      <x:c r="O27" s="139" t="n">
        <x:v>0.14</x:v>
      </x:c>
      <x:c r="P27" s="153" t="e">
        <x:f>HYPERLINK("https://github.com/kapiltrip/hdlBits/blob/main/problems/Day%2002/022-module_shift8.md","Open note")</x:f>
        <x:v>HYPERLINK is not implemented. linkLocation=https://github.com/kapiltrip/hdlBits/blob/main/problems/Day%2002/022-module_shift8.md, friendlyName=Open note</x:v>
      </x:c>
      <x:c r="Q27" s="153" t="e">
        <x:f>HYPERLINK("https://github.com/kapiltrip/hdlBits/blob/main/images/Day%2002/022-module_shift8.png","Full-size image")</x:f>
        <x:v>HYPERLINK is not implemented. linkLocation=https://github.com/kapiltrip/hdlBits/blob/main/images/Day%2002/022-module_shift8.png, friendlyName=Full-size image</x:v>
      </x:c>
      <x:c r="R27" s="153" t="e">
        <x:f>HYPERLINK("https://github.com/kapiltrip/hdlBits/blob/main/solutions/Day%2002/022-module_shift8.sv","Open solution")</x:f>
        <x:v>HYPERLINK is not implemented. linkLocation=https://github.com/kapiltrip/hdlBits/blob/main/solutions/Day%2002/022-module_shift8.sv, friendlyName=Open solution</x:v>
      </x:c>
      <x:c r="S27" s="153" t="e">
        <x:f>HYPERLINK("https://hdlbits.01xz.net/wiki/module_shift8","HDLBits")</x:f>
        <x:v>HYPERLINK is not implemented. linkLocation=https://hdlbits.01xz.net/wiki/module_shift8, friendlyName=HDLBits</x:v>
      </x:c>
      <x:c r="T27" s="162" t="str">
        <x:v>Instantiate the supplied 8-bit module and connect vector signals correctly through the hierarchy.</x:v>
      </x:c>
      <x:c r="U27" s="168"/>
    </x:row>
    <x:row r="28" ht="42" customHeight="1">
      <x:c r="A28" s="135" t="n">
        <x:v>23</x:v>
      </x:c>
      <x:c r="B28" s="136" t="str">
        <x:v>Verilog Language</x:v>
      </x:c>
      <x:c r="C28" s="136" t="str">
        <x:v>Modules: Hierarchy</x:v>
      </x:c>
      <x:c r="D28" s="136" t="str"/>
      <x:c r="E28" s="136" t="str">
        <x:v>Adder 1</x:v>
      </x:c>
      <x:c r="F28" s="136" t="str">
        <x:v>module_add</x:v>
      </x:c>
      <x:c r="G28" s="135" t="str">
        <x:v>Completed</x:v>
      </x:c>
      <x:c r="H28" s="135" t="str">
        <x:v>Day 02</x:v>
      </x:c>
      <x:c r="I28" s="137" t="n">
        <x:v>46197.5</x:v>
      </x:c>
      <x:c r="J28" s="135" t="str">
        <x:v>2:03:55 PM</x:v>
      </x:c>
      <x:c r="K28" s="138" t="n">
        <x:v>1</x:v>
      </x:c>
      <x:c r="L28" s="138" t="n">
        <x:v>0</x:v>
      </x:c>
      <x:c r="M28" s="138" t="n">
        <x:v>0</x:v>
      </x:c>
      <x:c r="N28" s="138" t="n">
        <x:v>0</x:v>
      </x:c>
      <x:c r="O28" s="139" t="n">
        <x:v>1</x:v>
      </x:c>
      <x:c r="P28" s="153" t="e">
        <x:f>HYPERLINK("https://github.com/kapiltrip/hdlBits/blob/main/problems/Day%2002/023-module_add.md","Open note")</x:f>
        <x:v>HYPERLINK is not implemented. linkLocation=https://github.com/kapiltrip/hdlBits/blob/main/problems/Day%2002/023-module_add.md, friendlyName=Open note</x:v>
      </x:c>
      <x:c r="Q28" s="153" t="e">
        <x:f>HYPERLINK("https://github.com/kapiltrip/hdlBits/blob/main/images/Day%2002/023-module_add.png","Full-size image")</x:f>
        <x:v>HYPERLINK is not implemented. linkLocation=https://github.com/kapiltrip/hdlBits/blob/main/images/Day%2002/023-module_add.png, friendlyName=Full-size image</x:v>
      </x:c>
      <x:c r="R28" s="153" t="e">
        <x:f>HYPERLINK("https://github.com/kapiltrip/hdlBits/blob/main/solutions/Day%2002/023-module_add.sv","Open solution")</x:f>
        <x:v>HYPERLINK is not implemented. linkLocation=https://github.com/kapiltrip/hdlBits/blob/main/solutions/Day%2002/023-module_add.sv, friendlyName=Open solution</x:v>
      </x:c>
      <x:c r="S28" s="153" t="e">
        <x:f>HYPERLINK("https://hdlbits.01xz.net/wiki/module_add","HDLBits")</x:f>
        <x:v>HYPERLINK is not implemented. linkLocation=https://hdlbits.01xz.net/wiki/module_add, friendlyName=HDLBits</x:v>
      </x:c>
      <x:c r="T28" s="162" t="str">
        <x:v>Instantiate two 16-bit adders to create a 32-bit adder, propagating the carry between the lower and upper halves.</x:v>
      </x:c>
      <x:c r="U28" s="168"/>
    </x:row>
    <x:row r="29" ht="42" customHeight="1">
      <x:c r="A29" s="135" t="n">
        <x:v>24</x:v>
      </x:c>
      <x:c r="B29" s="136" t="str">
        <x:v>Verilog Language</x:v>
      </x:c>
      <x:c r="C29" s="136" t="str">
        <x:v>Modules: Hierarchy</x:v>
      </x:c>
      <x:c r="D29" s="136" t="str"/>
      <x:c r="E29" s="136" t="str">
        <x:v>Adder 2</x:v>
      </x:c>
      <x:c r="F29" s="136" t="str">
        <x:v>module_fadd</x:v>
      </x:c>
      <x:c r="G29" s="135" t="str">
        <x:v>Completed</x:v>
      </x:c>
      <x:c r="H29" s="135" t="str">
        <x:v>Day 02</x:v>
      </x:c>
      <x:c r="I29" s="137" t="n">
        <x:v>46197.5</x:v>
      </x:c>
      <x:c r="J29" s="135" t="str">
        <x:v>2:44:10 PM</x:v>
      </x:c>
      <x:c r="K29" s="138" t="n">
        <x:v>4</x:v>
      </x:c>
      <x:c r="L29" s="138" t="n">
        <x:v>1</x:v>
      </x:c>
      <x:c r="M29" s="138" t="n">
        <x:v>2</x:v>
      </x:c>
      <x:c r="N29" s="138" t="n">
        <x:v>0</x:v>
      </x:c>
      <x:c r="O29" s="139" t="n">
        <x:v>0.25</x:v>
      </x:c>
      <x:c r="P29" s="153" t="e">
        <x:f>HYPERLINK("https://github.com/kapiltrip/hdlBits/blob/main/problems/Day%2002/024-module_fadd.md","Open note")</x:f>
        <x:v>HYPERLINK is not implemented. linkLocation=https://github.com/kapiltrip/hdlBits/blob/main/problems/Day%2002/024-module_fadd.md, friendlyName=Open note</x:v>
      </x:c>
      <x:c r="Q29" s="153" t="e">
        <x:f>HYPERLINK("https://github.com/kapiltrip/hdlBits/blob/main/images/Day%2002/024-module_fadd.png","Full-size image")</x:f>
        <x:v>HYPERLINK is not implemented. linkLocation=https://github.com/kapiltrip/hdlBits/blob/main/images/Day%2002/024-module_fadd.png, friendlyName=Full-size image</x:v>
      </x:c>
      <x:c r="R29" s="153" t="e">
        <x:f>HYPERLINK("https://github.com/kapiltrip/hdlBits/blob/main/solutions/Day%2002/024-module_fadd.sv","Open solution")</x:f>
        <x:v>HYPERLINK is not implemented. linkLocation=https://github.com/kapiltrip/hdlBits/blob/main/solutions/Day%2002/024-module_fadd.sv, friendlyName=Open solution</x:v>
      </x:c>
      <x:c r="S29" s="153" t="e">
        <x:f>HYPERLINK("https://hdlbits.01xz.net/wiki/module_fadd","HDLBits")</x:f>
        <x:v>HYPERLINK is not implemented. linkLocation=https://hdlbits.01xz.net/wiki/module_fadd, friendlyName=HDLBits</x:v>
      </x:c>
      <x:c r="T29" s="162" t="str">
        <x:v>Build a ripple-carry adder from full-adder instances and expose the carry produced by every bit position.</x:v>
      </x:c>
      <x:c r="U29" s="168"/>
    </x:row>
    <x:row r="30" ht="42" customHeight="1">
      <x:c r="A30" s="135" t="n">
        <x:v>25</x:v>
      </x:c>
      <x:c r="B30" s="136" t="str">
        <x:v>Verilog Language</x:v>
      </x:c>
      <x:c r="C30" s="136" t="str">
        <x:v>Modules: Hierarchy</x:v>
      </x:c>
      <x:c r="D30" s="136" t="str"/>
      <x:c r="E30" s="136" t="str">
        <x:v>Carry-select adder</x:v>
      </x:c>
      <x:c r="F30" s="136" t="str">
        <x:v>module_cseladd</x:v>
      </x:c>
      <x:c r="G30" s="135" t="str">
        <x:v>Completed</x:v>
      </x:c>
      <x:c r="H30" s="135" t="str">
        <x:v>Day 02</x:v>
      </x:c>
      <x:c r="I30" s="137" t="n">
        <x:v>46197.5</x:v>
      </x:c>
      <x:c r="J30" s="135" t="str">
        <x:v>3:06:09 PM</x:v>
      </x:c>
      <x:c r="K30" s="138" t="n">
        <x:v>2</x:v>
      </x:c>
      <x:c r="L30" s="138" t="n">
        <x:v>0</x:v>
      </x:c>
      <x:c r="M30" s="138" t="n">
        <x:v>1</x:v>
      </x:c>
      <x:c r="N30" s="138" t="n">
        <x:v>0</x:v>
      </x:c>
      <x:c r="O30" s="139" t="n">
        <x:v>0.5</x:v>
      </x:c>
      <x:c r="P30" s="153" t="e">
        <x:f>HYPERLINK("https://github.com/kapiltrip/hdlBits/blob/main/problems/Day%2002/025-module_cseladd.md","Open note")</x:f>
        <x:v>HYPERLINK is not implemented. linkLocation=https://github.com/kapiltrip/hdlBits/blob/main/problems/Day%2002/025-module_cseladd.md, friendlyName=Open note</x:v>
      </x:c>
      <x:c r="Q30" s="153" t="e">
        <x:f>HYPERLINK("https://github.com/kapiltrip/hdlBits/blob/main/images/Day%2002/025-module_cseladd.png","Full-size image")</x:f>
        <x:v>HYPERLINK is not implemented. linkLocation=https://github.com/kapiltrip/hdlBits/blob/main/images/Day%2002/025-module_cseladd.png, friendlyName=Full-size image</x:v>
      </x:c>
      <x:c r="R30" s="153" t="e">
        <x:f>HYPERLINK("https://github.com/kapiltrip/hdlBits/blob/main/solutions/Day%2002/025-module_cseladd.sv","Open solution")</x:f>
        <x:v>HYPERLINK is not implemented. linkLocation=https://github.com/kapiltrip/hdlBits/blob/main/solutions/Day%2002/025-module_cseladd.sv, friendlyName=Open solution</x:v>
      </x:c>
      <x:c r="S30" s="153" t="e">
        <x:f>HYPERLINK("https://hdlbits.01xz.net/wiki/module_cseladd","HDLBits")</x:f>
        <x:v>HYPERLINK is not implemented. linkLocation=https://hdlbits.01xz.net/wiki/module_cseladd, friendlyName=HDLBits</x:v>
      </x:c>
      <x:c r="T30" s="162" t="str">
        <x:v>Build a carry-select adder by computing both possible upper sums and selecting the correct one using the lower carry.</x:v>
      </x:c>
      <x:c r="U30" s="168"/>
    </x:row>
    <x:row r="31" ht="42" customHeight="1">
      <x:c r="A31" s="135" t="n">
        <x:v>26</x:v>
      </x:c>
      <x:c r="B31" s="136" t="str">
        <x:v>Verilog Language</x:v>
      </x:c>
      <x:c r="C31" s="136" t="str">
        <x:v>Modules: Hierarchy</x:v>
      </x:c>
      <x:c r="D31" s="136" t="str"/>
      <x:c r="E31" s="136" t="str">
        <x:v>Adder-subtractor</x:v>
      </x:c>
      <x:c r="F31" s="136" t="str">
        <x:v>module_addsub</x:v>
      </x:c>
      <x:c r="G31" s="135" t="str">
        <x:v>Completed</x:v>
      </x:c>
      <x:c r="H31" s="135" t="str">
        <x:v>Day 02</x:v>
      </x:c>
      <x:c r="I31" s="137" t="n">
        <x:v>46197.5</x:v>
      </x:c>
      <x:c r="J31" s="135" t="str">
        <x:v>3:21:30 PM</x:v>
      </x:c>
      <x:c r="K31" s="138" t="n">
        <x:v>1</x:v>
      </x:c>
      <x:c r="L31" s="138" t="n">
        <x:v>0</x:v>
      </x:c>
      <x:c r="M31" s="138" t="n">
        <x:v>0</x:v>
      </x:c>
      <x:c r="N31" s="138" t="n">
        <x:v>0</x:v>
      </x:c>
      <x:c r="O31" s="139" t="n">
        <x:v>1</x:v>
      </x:c>
      <x:c r="P31" s="153" t="e">
        <x:f>HYPERLINK("https://github.com/kapiltrip/hdlBits/blob/main/problems/Day%2002/026-module_addsub.md","Open note")</x:f>
        <x:v>HYPERLINK is not implemented. linkLocation=https://github.com/kapiltrip/hdlBits/blob/main/problems/Day%2002/026-module_addsub.md, friendlyName=Open note</x:v>
      </x:c>
      <x:c r="Q31" s="153" t="e">
        <x:f>HYPERLINK("https://github.com/kapiltrip/hdlBits/blob/main/images/Day%2002/026-module_addsub.png","Full-size image")</x:f>
        <x:v>HYPERLINK is not implemented. linkLocation=https://github.com/kapiltrip/hdlBits/blob/main/images/Day%2002/026-module_addsub.png, friendlyName=Full-size image</x:v>
      </x:c>
      <x:c r="R31" s="153" t="e">
        <x:f>HYPERLINK("https://github.com/kapiltrip/hdlBits/blob/main/solutions/Day%2002/026-module_addsub.sv","Open solution")</x:f>
        <x:v>HYPERLINK is not implemented. linkLocation=https://github.com/kapiltrip/hdlBits/blob/main/solutions/Day%2002/026-module_addsub.sv, friendlyName=Open solution</x:v>
      </x:c>
      <x:c r="S31" s="153" t="e">
        <x:f>HYPERLINK("https://hdlbits.01xz.net/wiki/module_addsub","HDLBits")</x:f>
        <x:v>HYPERLINK is not implemented. linkLocation=https://hdlbits.01xz.net/wiki/module_addsub, friendlyName=HDLBits</x:v>
      </x:c>
      <x:c r="T31" s="162" t="str">
        <x:v>Create an adder-subtractor by conditionally inverting one operand and using the mode signal as the initial carry-in.</x:v>
      </x:c>
      <x:c r="U31" s="168"/>
    </x:row>
    <x:row r="32" ht="42" customHeight="1">
      <x:c r="A32" s="135" t="n">
        <x:v>27</x:v>
      </x:c>
      <x:c r="B32" s="136" t="str">
        <x:v>Verilog Language</x:v>
      </x:c>
      <x:c r="C32" s="136" t="str">
        <x:v>Procedures</x:v>
      </x:c>
      <x:c r="D32" s="136" t="str"/>
      <x:c r="E32" s="136" t="str">
        <x:v>Always blocks (combinational)</x:v>
      </x:c>
      <x:c r="F32" s="136" t="str">
        <x:v>alwaysblock1</x:v>
      </x:c>
      <x:c r="G32" s="135" t="str">
        <x:v>Completed</x:v>
      </x:c>
      <x:c r="H32" s="135" t="str">
        <x:v>Day 02</x:v>
      </x:c>
      <x:c r="I32" s="137" t="n">
        <x:v>46197.5</x:v>
      </x:c>
      <x:c r="J32" s="135" t="str">
        <x:v>3:23:21 PM</x:v>
      </x:c>
      <x:c r="K32" s="138" t="n">
        <x:v>1</x:v>
      </x:c>
      <x:c r="L32" s="138" t="n">
        <x:v>0</x:v>
      </x:c>
      <x:c r="M32" s="138" t="n">
        <x:v>0</x:v>
      </x:c>
      <x:c r="N32" s="138" t="n">
        <x:v>0</x:v>
      </x:c>
      <x:c r="O32" s="139" t="n">
        <x:v>1</x:v>
      </x:c>
      <x:c r="P32" s="153" t="e">
        <x:f>HYPERLINK("https://github.com/kapiltrip/hdlBits/blob/main/problems/Day%2002/027-alwaysblock1.md","Open note")</x:f>
        <x:v>HYPERLINK is not implemented. linkLocation=https://github.com/kapiltrip/hdlBits/blob/main/problems/Day%2002/027-alwaysblock1.md, friendlyName=Open note</x:v>
      </x:c>
      <x:c r="Q32" s="153" t="e">
        <x:f>HYPERLINK("https://github.com/kapiltrip/hdlBits/blob/main/images/Day%2002/027-alwaysblock1.png","Full-size image")</x:f>
        <x:v>HYPERLINK is not implemented. linkLocation=https://github.com/kapiltrip/hdlBits/blob/main/images/Day%2002/027-alwaysblock1.png, friendlyName=Full-size image</x:v>
      </x:c>
      <x:c r="R32" s="153" t="e">
        <x:f>HYPERLINK("https://github.com/kapiltrip/hdlBits/blob/main/solutions/Day%2002/027-alwaysblock1.sv","Open solution")</x:f>
        <x:v>HYPERLINK is not implemented. linkLocation=https://github.com/kapiltrip/hdlBits/blob/main/solutions/Day%2002/027-alwaysblock1.sv, friendlyName=Open solution</x:v>
      </x:c>
      <x:c r="S32" s="153" t="e">
        <x:f>HYPERLINK("https://hdlbits.01xz.net/wiki/alwaysblock1","HDLBits")</x:f>
        <x:v>HYPERLINK is not implemented. linkLocation=https://hdlbits.01xz.net/wiki/alwaysblock1, friendlyName=HDLBits</x:v>
      </x:c>
      <x:c r="T32" s="162" t="str">
        <x:v>Describe the same combinational logic with both a continuous assignment and an always block.</x:v>
      </x:c>
      <x:c r="U32" s="168"/>
    </x:row>
    <x:row r="33" ht="42" customHeight="1">
      <x:c r="A33" s="135" t="n">
        <x:v>28</x:v>
      </x:c>
      <x:c r="B33" s="136" t="str">
        <x:v>Verilog Language</x:v>
      </x:c>
      <x:c r="C33" s="136" t="str">
        <x:v>Procedures</x:v>
      </x:c>
      <x:c r="D33" s="136" t="str"/>
      <x:c r="E33" s="136" t="str">
        <x:v>Always blocks (clocked)</x:v>
      </x:c>
      <x:c r="F33" s="136" t="str">
        <x:v>alwaysblock2</x:v>
      </x:c>
      <x:c r="G33" s="135" t="str">
        <x:v>Completed</x:v>
      </x:c>
      <x:c r="H33" s="135" t="str">
        <x:v>Day 02</x:v>
      </x:c>
      <x:c r="I33" s="137" t="n">
        <x:v>46197.5</x:v>
      </x:c>
      <x:c r="J33" s="135" t="str">
        <x:v>3:25:20 PM</x:v>
      </x:c>
      <x:c r="K33" s="138" t="n">
        <x:v>1</x:v>
      </x:c>
      <x:c r="L33" s="138" t="n">
        <x:v>0</x:v>
      </x:c>
      <x:c r="M33" s="138" t="n">
        <x:v>0</x:v>
      </x:c>
      <x:c r="N33" s="138" t="n">
        <x:v>0</x:v>
      </x:c>
      <x:c r="O33" s="139" t="n">
        <x:v>1</x:v>
      </x:c>
      <x:c r="P33" s="153" t="e">
        <x:f>HYPERLINK("https://github.com/kapiltrip/hdlBits/blob/main/problems/Day%2002/028-alwaysblock2.md","Open note")</x:f>
        <x:v>HYPERLINK is not implemented. linkLocation=https://github.com/kapiltrip/hdlBits/blob/main/problems/Day%2002/028-alwaysblock2.md, friendlyName=Open note</x:v>
      </x:c>
      <x:c r="Q33" s="153" t="e">
        <x:f>HYPERLINK("https://github.com/kapiltrip/hdlBits/blob/main/images/Day%2002/028-alwaysblock2.png","Full-size image")</x:f>
        <x:v>HYPERLINK is not implemented. linkLocation=https://github.com/kapiltrip/hdlBits/blob/main/images/Day%2002/028-alwaysblock2.png, friendlyName=Full-size image</x:v>
      </x:c>
      <x:c r="R33" s="153" t="e">
        <x:f>HYPERLINK("https://github.com/kapiltrip/hdlBits/blob/main/solutions/Day%2002/028-alwaysblock2.sv","Open solution")</x:f>
        <x:v>HYPERLINK is not implemented. linkLocation=https://github.com/kapiltrip/hdlBits/blob/main/solutions/Day%2002/028-alwaysblock2.sv, friendlyName=Open solution</x:v>
      </x:c>
      <x:c r="S33" s="153" t="e">
        <x:f>HYPERLINK("https://hdlbits.01xz.net/wiki/alwaysblock2","HDLBits")</x:f>
        <x:v>HYPERLINK is not implemented. linkLocation=https://hdlbits.01xz.net/wiki/alwaysblock2, friendlyName=HDLBits</x:v>
      </x:c>
      <x:c r="T33" s="162" t="str">
        <x:v>Describe clocked storage in an always block so the output captures the input on each active clock edge.</x:v>
      </x:c>
      <x:c r="U33" s="168"/>
    </x:row>
    <x:row r="34" ht="42" customHeight="1">
      <x:c r="A34" s="135" t="n">
        <x:v>29</x:v>
      </x:c>
      <x:c r="B34" s="136" t="str">
        <x:v>Verilog Language</x:v>
      </x:c>
      <x:c r="C34" s="136" t="str">
        <x:v>Procedures</x:v>
      </x:c>
      <x:c r="D34" s="136" t="str"/>
      <x:c r="E34" s="136" t="str">
        <x:v>If statement</x:v>
      </x:c>
      <x:c r="F34" s="136" t="str">
        <x:v>always_if</x:v>
      </x:c>
      <x:c r="G34" s="135" t="str">
        <x:v>Completed</x:v>
      </x:c>
      <x:c r="H34" s="135" t="str">
        <x:v>Day 02</x:v>
      </x:c>
      <x:c r="I34" s="137" t="n">
        <x:v>46197.5</x:v>
      </x:c>
      <x:c r="J34" s="135" t="str">
        <x:v>3:30:54 PM</x:v>
      </x:c>
      <x:c r="K34" s="138" t="n">
        <x:v>1</x:v>
      </x:c>
      <x:c r="L34" s="138" t="n">
        <x:v>0</x:v>
      </x:c>
      <x:c r="M34" s="138" t="n">
        <x:v>0</x:v>
      </x:c>
      <x:c r="N34" s="138" t="n">
        <x:v>0</x:v>
      </x:c>
      <x:c r="O34" s="139" t="n">
        <x:v>1</x:v>
      </x:c>
      <x:c r="P34" s="153" t="e">
        <x:f>HYPERLINK("https://github.com/kapiltrip/hdlBits/blob/main/problems/Day%2002/029-always_if.md","Open note")</x:f>
        <x:v>HYPERLINK is not implemented. linkLocation=https://github.com/kapiltrip/hdlBits/blob/main/problems/Day%2002/029-always_if.md, friendlyName=Open note</x:v>
      </x:c>
      <x:c r="Q34" s="153" t="e">
        <x:f>HYPERLINK("https://github.com/kapiltrip/hdlBits/blob/main/images/Day%2002/029-always_if.png","Full-size image")</x:f>
        <x:v>HYPERLINK is not implemented. linkLocation=https://github.com/kapiltrip/hdlBits/blob/main/images/Day%2002/029-always_if.png, friendlyName=Full-size image</x:v>
      </x:c>
      <x:c r="R34" s="153" t="e">
        <x:f>HYPERLINK("https://github.com/kapiltrip/hdlBits/blob/main/solutions/Day%2002/029-always_if.sv","Open solution")</x:f>
        <x:v>HYPERLINK is not implemented. linkLocation=https://github.com/kapiltrip/hdlBits/blob/main/solutions/Day%2002/029-always_if.sv, friendlyName=Open solution</x:v>
      </x:c>
      <x:c r="S34" s="153" t="e">
        <x:f>HYPERLINK("https://hdlbits.01xz.net/wiki/always_if","HDLBits")</x:f>
        <x:v>HYPERLINK is not implemented. linkLocation=https://hdlbits.01xz.net/wiki/always_if, friendlyName=HDLBits</x:v>
      </x:c>
      <x:c r="T34" s="162" t="str">
        <x:v>Use an if/else statement in combinational logic to implement the requested multiplexer behaviour.</x:v>
      </x:c>
      <x:c r="U34" s="168"/>
    </x:row>
    <x:row r="35" ht="42" customHeight="1">
      <x:c r="A35" s="135" t="n">
        <x:v>30</x:v>
      </x:c>
      <x:c r="B35" s="136" t="str">
        <x:v>Verilog Language</x:v>
      </x:c>
      <x:c r="C35" s="136" t="str">
        <x:v>Procedures</x:v>
      </x:c>
      <x:c r="D35" s="136" t="str"/>
      <x:c r="E35" s="136" t="str">
        <x:v>If statement latches</x:v>
      </x:c>
      <x:c r="F35" s="136" t="str">
        <x:v>always_if2</x:v>
      </x:c>
      <x:c r="G35" s="135" t="str">
        <x:v>Completed</x:v>
      </x:c>
      <x:c r="H35" s="135" t="str">
        <x:v>Day 02</x:v>
      </x:c>
      <x:c r="I35" s="137" t="n">
        <x:v>46197.5</x:v>
      </x:c>
      <x:c r="J35" s="135" t="str">
        <x:v>4:18:47 PM</x:v>
      </x:c>
      <x:c r="K35" s="138" t="n">
        <x:v>5</x:v>
      </x:c>
      <x:c r="L35" s="138" t="n">
        <x:v>3</x:v>
      </x:c>
      <x:c r="M35" s="138" t="n">
        <x:v>0</x:v>
      </x:c>
      <x:c r="N35" s="138" t="n">
        <x:v>0</x:v>
      </x:c>
      <x:c r="O35" s="139" t="n">
        <x:v>0.4</x:v>
      </x:c>
      <x:c r="P35" s="153" t="e">
        <x:f>HYPERLINK("https://github.com/kapiltrip/hdlBits/blob/main/problems/Day%2002/030-always_if2.md","Open note")</x:f>
        <x:v>HYPERLINK is not implemented. linkLocation=https://github.com/kapiltrip/hdlBits/blob/main/problems/Day%2002/030-always_if2.md, friendlyName=Open note</x:v>
      </x:c>
      <x:c r="Q35" s="153" t="e">
        <x:f>HYPERLINK("https://github.com/kapiltrip/hdlBits/blob/main/images/Day%2002/030-always_if2.png","Full-size image")</x:f>
        <x:v>HYPERLINK is not implemented. linkLocation=https://github.com/kapiltrip/hdlBits/blob/main/images/Day%2002/030-always_if2.png, friendlyName=Full-size image</x:v>
      </x:c>
      <x:c r="R35" s="153" t="e">
        <x:f>HYPERLINK("https://github.com/kapiltrip/hdlBits/blob/main/solutions/Day%2002/030-always_if2.sv","Open solution")</x:f>
        <x:v>HYPERLINK is not implemented. linkLocation=https://github.com/kapiltrip/hdlBits/blob/main/solutions/Day%2002/030-always_if2.sv, friendlyName=Open solution</x:v>
      </x:c>
      <x:c r="S35" s="153" t="e">
        <x:f>HYPERLINK("https://hdlbits.01xz.net/wiki/always_if2","HDLBits")</x:f>
        <x:v>HYPERLINK is not implemented. linkLocation=https://hdlbits.01xz.net/wiki/always_if2, friendlyName=HDLBits</x:v>
      </x:c>
      <x:c r="T35" s="162" t="str">
        <x:v>Correct an incomplete combinational if statement by assigning every output on every path and thereby avoiding latches.</x:v>
      </x:c>
      <x:c r="U35" s="168"/>
    </x:row>
    <x:row r="36" ht="42" customHeight="1">
      <x:c r="A36" s="135" t="n">
        <x:v>31</x:v>
      </x:c>
      <x:c r="B36" s="136" t="str">
        <x:v>Verilog Language</x:v>
      </x:c>
      <x:c r="C36" s="136" t="str">
        <x:v>Procedures</x:v>
      </x:c>
      <x:c r="D36" s="136" t="str"/>
      <x:c r="E36" s="136" t="str">
        <x:v>Case statement</x:v>
      </x:c>
      <x:c r="F36" s="136" t="str">
        <x:v>always_case</x:v>
      </x:c>
      <x:c r="G36" s="135" t="str">
        <x:v>Completed</x:v>
      </x:c>
      <x:c r="H36" s="135" t="str">
        <x:v>Day 02</x:v>
      </x:c>
      <x:c r="I36" s="137" t="n">
        <x:v>46197.5</x:v>
      </x:c>
      <x:c r="J36" s="135" t="str">
        <x:v>4:22:44 PM</x:v>
      </x:c>
      <x:c r="K36" s="138" t="n">
        <x:v>2</x:v>
      </x:c>
      <x:c r="L36" s="138" t="n">
        <x:v>0</x:v>
      </x:c>
      <x:c r="M36" s="138" t="n">
        <x:v>1</x:v>
      </x:c>
      <x:c r="N36" s="138" t="n">
        <x:v>0</x:v>
      </x:c>
      <x:c r="O36" s="139" t="n">
        <x:v>0.5</x:v>
      </x:c>
      <x:c r="P36" s="153" t="e">
        <x:f>HYPERLINK("https://github.com/kapiltrip/hdlBits/blob/main/problems/Day%2002/031-always_case.md","Open note")</x:f>
        <x:v>HYPERLINK is not implemented. linkLocation=https://github.com/kapiltrip/hdlBits/blob/main/problems/Day%2002/031-always_case.md, friendlyName=Open note</x:v>
      </x:c>
      <x:c r="Q36" s="153" t="e">
        <x:f>HYPERLINK("https://github.com/kapiltrip/hdlBits/blob/main/images/Day%2002/031-always_case.png","Full-size image")</x:f>
        <x:v>HYPERLINK is not implemented. linkLocation=https://github.com/kapiltrip/hdlBits/blob/main/images/Day%2002/031-always_case.png, friendlyName=Full-size image</x:v>
      </x:c>
      <x:c r="R36" s="153" t="e">
        <x:f>HYPERLINK("https://github.com/kapiltrip/hdlBits/blob/main/solutions/Day%2002/031-always_case.sv","Open solution")</x:f>
        <x:v>HYPERLINK is not implemented. linkLocation=https://github.com/kapiltrip/hdlBits/blob/main/solutions/Day%2002/031-always_case.sv, friendlyName=Open solution</x:v>
      </x:c>
      <x:c r="S36" s="153" t="e">
        <x:f>HYPERLINK("https://hdlbits.01xz.net/wiki/always_case","HDLBits")</x:f>
        <x:v>HYPERLINK is not implemented. linkLocation=https://hdlbits.01xz.net/wiki/always_case, friendlyName=HDLBits</x:v>
      </x:c>
      <x:c r="T36" s="162" t="str">
        <x:v>Use a case statement to select one of several input values according to the selector.</x:v>
      </x:c>
      <x:c r="U36" s="168"/>
    </x:row>
    <x:row r="37" ht="42" customHeight="1">
      <x:c r="A37" s="135" t="n">
        <x:v>32</x:v>
      </x:c>
      <x:c r="B37" s="136" t="str">
        <x:v>Verilog Language</x:v>
      </x:c>
      <x:c r="C37" s="136" t="str">
        <x:v>Procedures</x:v>
      </x:c>
      <x:c r="D37" s="136" t="str"/>
      <x:c r="E37" s="136" t="str">
        <x:v>Priority encoder</x:v>
      </x:c>
      <x:c r="F37" s="136" t="str">
        <x:v>always_case2</x:v>
      </x:c>
      <x:c r="G37" s="135" t="str">
        <x:v>Completed</x:v>
      </x:c>
      <x:c r="H37" s="135" t="str">
        <x:v>Day 02</x:v>
      </x:c>
      <x:c r="I37" s="137" t="n">
        <x:v>46197.5</x:v>
      </x:c>
      <x:c r="J37" s="135" t="str">
        <x:v>5:09:06 PM</x:v>
      </x:c>
      <x:c r="K37" s="138" t="n">
        <x:v>15</x:v>
      </x:c>
      <x:c r="L37" s="138" t="n">
        <x:v>11</x:v>
      </x:c>
      <x:c r="M37" s="138" t="n">
        <x:v>3</x:v>
      </x:c>
      <x:c r="N37" s="138" t="n">
        <x:v>0</x:v>
      </x:c>
      <x:c r="O37" s="139" t="n">
        <x:v>0.07</x:v>
      </x:c>
      <x:c r="P37" s="153" t="e">
        <x:f>HYPERLINK("https://github.com/kapiltrip/hdlBits/blob/main/problems/Day%2002/032-always_case2.md","Open note")</x:f>
        <x:v>HYPERLINK is not implemented. linkLocation=https://github.com/kapiltrip/hdlBits/blob/main/problems/Day%2002/032-always_case2.md, friendlyName=Open note</x:v>
      </x:c>
      <x:c r="Q37" s="153" t="e">
        <x:f>HYPERLINK("https://github.com/kapiltrip/hdlBits/blob/main/images/Day%2002/032-always_case2.png","Full-size image")</x:f>
        <x:v>HYPERLINK is not implemented. linkLocation=https://github.com/kapiltrip/hdlBits/blob/main/images/Day%2002/032-always_case2.png, friendlyName=Full-size image</x:v>
      </x:c>
      <x:c r="R37" s="153" t="e">
        <x:f>HYPERLINK("https://github.com/kapiltrip/hdlBits/blob/main/solutions/Day%2002/032-always_case2.sv","Open solution")</x:f>
        <x:v>HYPERLINK is not implemented. linkLocation=https://github.com/kapiltrip/hdlBits/blob/main/solutions/Day%2002/032-always_case2.sv, friendlyName=Open solution</x:v>
      </x:c>
      <x:c r="S37" s="153" t="e">
        <x:f>HYPERLINK("https://hdlbits.01xz.net/wiki/always_case2","HDLBits")</x:f>
        <x:v>HYPERLINK is not implemented. linkLocation=https://hdlbits.01xz.net/wiki/always_case2, friendlyName=HDLBits</x:v>
      </x:c>
      <x:c r="T37" s="162" t="str">
        <x:v>Implement a priority encoder whose output identifies the highest-priority asserted input bit.</x:v>
      </x:c>
      <x:c r="U37" s="168"/>
    </x:row>
    <x:row r="38" ht="42" customHeight="1">
      <x:c r="A38" s="135" t="n">
        <x:v>33</x:v>
      </x:c>
      <x:c r="B38" s="136" t="str">
        <x:v>Verilog Language</x:v>
      </x:c>
      <x:c r="C38" s="136" t="str">
        <x:v>Procedures</x:v>
      </x:c>
      <x:c r="D38" s="136" t="str"/>
      <x:c r="E38" s="136" t="str">
        <x:v>Priority encoder with casez</x:v>
      </x:c>
      <x:c r="F38" s="136" t="str">
        <x:v>always_casez</x:v>
      </x:c>
      <x:c r="G38" s="135" t="str">
        <x:v>Completed</x:v>
      </x:c>
      <x:c r="H38" s="135" t="str">
        <x:v>Day 02</x:v>
      </x:c>
      <x:c r="I38" s="137" t="n">
        <x:v>46197.5</x:v>
      </x:c>
      <x:c r="J38" s="135" t="str">
        <x:v>5:44:37 PM</x:v>
      </x:c>
      <x:c r="K38" s="138" t="n">
        <x:v>2</x:v>
      </x:c>
      <x:c r="L38" s="138" t="n">
        <x:v>1</x:v>
      </x:c>
      <x:c r="M38" s="138" t="n">
        <x:v>0</x:v>
      </x:c>
      <x:c r="N38" s="138" t="n">
        <x:v>0</x:v>
      </x:c>
      <x:c r="O38" s="139" t="n">
        <x:v>0.5</x:v>
      </x:c>
      <x:c r="P38" s="153" t="e">
        <x:f>HYPERLINK("https://github.com/kapiltrip/hdlBits/blob/main/problems/Day%2002/033-always_casez.md","Open note")</x:f>
        <x:v>HYPERLINK is not implemented. linkLocation=https://github.com/kapiltrip/hdlBits/blob/main/problems/Day%2002/033-always_casez.md, friendlyName=Open note</x:v>
      </x:c>
      <x:c r="Q38" s="153" t="e">
        <x:f>HYPERLINK("https://github.com/kapiltrip/hdlBits/blob/main/images/Day%2002/033-always_casez.png","Full-size image")</x:f>
        <x:v>HYPERLINK is not implemented. linkLocation=https://github.com/kapiltrip/hdlBits/blob/main/images/Day%2002/033-always_casez.png, friendlyName=Full-size image</x:v>
      </x:c>
      <x:c r="R38" s="153" t="e">
        <x:f>HYPERLINK("https://github.com/kapiltrip/hdlBits/blob/main/solutions/Day%2002/033-always_casez.sv","Open solution")</x:f>
        <x:v>HYPERLINK is not implemented. linkLocation=https://github.com/kapiltrip/hdlBits/blob/main/solutions/Day%2002/033-always_casez.sv, friendlyName=Open solution</x:v>
      </x:c>
      <x:c r="S38" s="153" t="e">
        <x:f>HYPERLINK("https://hdlbits.01xz.net/wiki/always_casez","HDLBits")</x:f>
        <x:v>HYPERLINK is not implemented. linkLocation=https://hdlbits.01xz.net/wiki/always_casez, friendlyName=HDLBits</x:v>
      </x:c>
      <x:c r="T38" s="162" t="str">
        <x:v>Implement the priority encoder compactly with casez patterns and don't-care bits.</x:v>
      </x:c>
      <x:c r="U38" s="168"/>
    </x:row>
    <x:row r="39" ht="42" customHeight="1">
      <x:c r="A39" s="135" t="n">
        <x:v>34</x:v>
      </x:c>
      <x:c r="B39" s="136" t="str">
        <x:v>Verilog Language</x:v>
      </x:c>
      <x:c r="C39" s="136" t="str">
        <x:v>Procedures</x:v>
      </x:c>
      <x:c r="D39" s="136" t="str"/>
      <x:c r="E39" s="136" t="str">
        <x:v>Avoiding latches</x:v>
      </x:c>
      <x:c r="F39" s="136" t="str">
        <x:v>always_nolatches</x:v>
      </x:c>
      <x:c r="G39" s="135" t="str">
        <x:v>Completed</x:v>
      </x:c>
      <x:c r="H39" s="135" t="str">
        <x:v>Day 02</x:v>
      </x:c>
      <x:c r="I39" s="137" t="n">
        <x:v>46197.5</x:v>
      </x:c>
      <x:c r="J39" s="135" t="str">
        <x:v>6:00:14 PM</x:v>
      </x:c>
      <x:c r="K39" s="138" t="n">
        <x:v>3</x:v>
      </x:c>
      <x:c r="L39" s="138" t="n">
        <x:v>0</x:v>
      </x:c>
      <x:c r="M39" s="138" t="n">
        <x:v>2</x:v>
      </x:c>
      <x:c r="N39" s="138" t="n">
        <x:v>0</x:v>
      </x:c>
      <x:c r="O39" s="139" t="n">
        <x:v>0.33</x:v>
      </x:c>
      <x:c r="P39" s="153" t="e">
        <x:f>HYPERLINK("https://github.com/kapiltrip/hdlBits/blob/main/problems/Day%2002/034-always_nolatches.md","Open note")</x:f>
        <x:v>HYPERLINK is not implemented. linkLocation=https://github.com/kapiltrip/hdlBits/blob/main/problems/Day%2002/034-always_nolatches.md, friendlyName=Open note</x:v>
      </x:c>
      <x:c r="Q39" s="153" t="e">
        <x:f>HYPERLINK("https://github.com/kapiltrip/hdlBits/blob/main/images/Day%2002/034-always_nolatches.png","Full-size image")</x:f>
        <x:v>HYPERLINK is not implemented. linkLocation=https://github.com/kapiltrip/hdlBits/blob/main/images/Day%2002/034-always_nolatches.png, friendlyName=Full-size image</x:v>
      </x:c>
      <x:c r="R39" s="153" t="e">
        <x:f>HYPERLINK("https://github.com/kapiltrip/hdlBits/blob/main/solutions/Day%2002/034-always_nolatches.sv","Open solution")</x:f>
        <x:v>HYPERLINK is not implemented. linkLocation=https://github.com/kapiltrip/hdlBits/blob/main/solutions/Day%2002/034-always_nolatches.sv, friendlyName=Open solution</x:v>
      </x:c>
      <x:c r="S39" s="153" t="e">
        <x:f>HYPERLINK("https://hdlbits.01xz.net/wiki/always_nolatches","HDLBits")</x:f>
        <x:v>HYPERLINK is not implemented. linkLocation=https://hdlbits.01xz.net/wiki/always_nolatches, friendlyName=HDLBits</x:v>
      </x:c>
      <x:c r="T39" s="162" t="str">
        <x:v>Complete the combinational case logic with safe defaults so no output retains an old value or infers a latch.</x:v>
      </x:c>
      <x:c r="U39" s="168"/>
    </x:row>
    <x:row r="40" ht="42" customHeight="1">
      <x:c r="A40" s="135" t="n">
        <x:v>35</x:v>
      </x:c>
      <x:c r="B40" s="136" t="str">
        <x:v>Verilog Language</x:v>
      </x:c>
      <x:c r="C40" s="136" t="str">
        <x:v>More Verilog Features</x:v>
      </x:c>
      <x:c r="D40" s="136" t="str"/>
      <x:c r="E40" s="136" t="str">
        <x:v>Conditional ternary operator</x:v>
      </x:c>
      <x:c r="F40" s="136" t="str">
        <x:v>conditional</x:v>
      </x:c>
      <x:c r="G40" s="135" t="str">
        <x:v>Completed</x:v>
      </x:c>
      <x:c r="H40" s="135" t="str">
        <x:v>Day 02</x:v>
      </x:c>
      <x:c r="I40" s="137" t="n">
        <x:v>46197.5</x:v>
      </x:c>
      <x:c r="J40" s="135" t="str">
        <x:v>6:09:15 PM</x:v>
      </x:c>
      <x:c r="K40" s="138" t="n">
        <x:v>1</x:v>
      </x:c>
      <x:c r="L40" s="138" t="n">
        <x:v>0</x:v>
      </x:c>
      <x:c r="M40" s="138" t="n">
        <x:v>0</x:v>
      </x:c>
      <x:c r="N40" s="138" t="n">
        <x:v>0</x:v>
      </x:c>
      <x:c r="O40" s="139" t="n">
        <x:v>1</x:v>
      </x:c>
      <x:c r="P40" s="153" t="e">
        <x:f>HYPERLINK("https://github.com/kapiltrip/hdlBits/blob/main/problems/Day%2002/035-conditional.md","Open note")</x:f>
        <x:v>HYPERLINK is not implemented. linkLocation=https://github.com/kapiltrip/hdlBits/blob/main/problems/Day%2002/035-conditional.md, friendlyName=Open note</x:v>
      </x:c>
      <x:c r="Q40" s="153" t="e">
        <x:f>HYPERLINK("https://github.com/kapiltrip/hdlBits/blob/main/images/Day%2002/035-conditional.png","Full-size image")</x:f>
        <x:v>HYPERLINK is not implemented. linkLocation=https://github.com/kapiltrip/hdlBits/blob/main/images/Day%2002/035-conditional.png, friendlyName=Full-size image</x:v>
      </x:c>
      <x:c r="R40" s="153" t="e">
        <x:f>HYPERLINK("https://github.com/kapiltrip/hdlBits/blob/main/solutions/Day%2002/035-conditional.sv","Open solution")</x:f>
        <x:v>HYPERLINK is not implemented. linkLocation=https://github.com/kapiltrip/hdlBits/blob/main/solutions/Day%2002/035-conditional.sv, friendlyName=Open solution</x:v>
      </x:c>
      <x:c r="S40" s="153" t="e">
        <x:f>HYPERLINK("https://hdlbits.01xz.net/wiki/conditional","HDLBits")</x:f>
        <x:v>HYPERLINK is not implemented. linkLocation=https://hdlbits.01xz.net/wiki/conditional, friendlyName=HDLBits</x:v>
      </x:c>
      <x:c r="T40" s="162" t="str">
        <x:v>Use nested ternary operators to select the smallest unsigned value from several inputs.</x:v>
      </x:c>
      <x:c r="U40" s="168"/>
    </x:row>
    <x:row r="41" ht="42" customHeight="1">
      <x:c r="A41" s="135" t="n">
        <x:v>36</x:v>
      </x:c>
      <x:c r="B41" s="136" t="str">
        <x:v>Verilog Language</x:v>
      </x:c>
      <x:c r="C41" s="136" t="str">
        <x:v>More Verilog Features</x:v>
      </x:c>
      <x:c r="D41" s="136" t="str"/>
      <x:c r="E41" s="136" t="str">
        <x:v>Reduction operators</x:v>
      </x:c>
      <x:c r="F41" s="136" t="str">
        <x:v>reduction</x:v>
      </x:c>
      <x:c r="G41" s="135" t="str">
        <x:v>Completed</x:v>
      </x:c>
      <x:c r="H41" s="135" t="str">
        <x:v>Day 02</x:v>
      </x:c>
      <x:c r="I41" s="137" t="n">
        <x:v>46197.5</x:v>
      </x:c>
      <x:c r="J41" s="135" t="str">
        <x:v>6:14:36 PM</x:v>
      </x:c>
      <x:c r="K41" s="138" t="n">
        <x:v>2</x:v>
      </x:c>
      <x:c r="L41" s="138" t="n">
        <x:v>1</x:v>
      </x:c>
      <x:c r="M41" s="138" t="n">
        <x:v>0</x:v>
      </x:c>
      <x:c r="N41" s="138" t="n">
        <x:v>0</x:v>
      </x:c>
      <x:c r="O41" s="139" t="n">
        <x:v>0.5</x:v>
      </x:c>
      <x:c r="P41" s="153" t="e">
        <x:f>HYPERLINK("https://github.com/kapiltrip/hdlBits/blob/main/problems/Day%2002/036-reduction.md","Open note")</x:f>
        <x:v>HYPERLINK is not implemented. linkLocation=https://github.com/kapiltrip/hdlBits/blob/main/problems/Day%2002/036-reduction.md, friendlyName=Open note</x:v>
      </x:c>
      <x:c r="Q41" s="153" t="e">
        <x:f>HYPERLINK("https://github.com/kapiltrip/hdlBits/blob/main/images/Day%2002/036-reduction.png","Full-size image")</x:f>
        <x:v>HYPERLINK is not implemented. linkLocation=https://github.com/kapiltrip/hdlBits/blob/main/images/Day%2002/036-reduction.png, friendlyName=Full-size image</x:v>
      </x:c>
      <x:c r="R41" s="153" t="e">
        <x:f>HYPERLINK("https://github.com/kapiltrip/hdlBits/blob/main/solutions/Day%2002/036-reduction.sv","Open solution")</x:f>
        <x:v>HYPERLINK is not implemented. linkLocation=https://github.com/kapiltrip/hdlBits/blob/main/solutions/Day%2002/036-reduction.sv, friendlyName=Open solution</x:v>
      </x:c>
      <x:c r="S41" s="153" t="e">
        <x:f>HYPERLINK("https://hdlbits.01xz.net/wiki/reduction","HDLBits")</x:f>
        <x:v>HYPERLINK is not implemented. linkLocation=https://hdlbits.01xz.net/wiki/reduction, friendlyName=HDLBits</x:v>
      </x:c>
      <x:c r="T41" s="162" t="str">
        <x:v>Compare bitwise and reduction operators by producing per-bit results and single-bit reductions from two vectors.</x:v>
      </x:c>
      <x:c r="U41" s="168"/>
    </x:row>
    <x:row r="42" ht="42" customHeight="1">
      <x:c r="A42" s="135" t="n">
        <x:v>37</x:v>
      </x:c>
      <x:c r="B42" s="136" t="str">
        <x:v>Verilog Language</x:v>
      </x:c>
      <x:c r="C42" s="136" t="str">
        <x:v>More Verilog Features</x:v>
      </x:c>
      <x:c r="D42" s="136" t="str"/>
      <x:c r="E42" s="136" t="str">
        <x:v>Reduction: Even wider gates</x:v>
      </x:c>
      <x:c r="F42" s="136" t="str">
        <x:v>gates100</x:v>
      </x:c>
      <x:c r="G42" s="135" t="str">
        <x:v>Completed</x:v>
      </x:c>
      <x:c r="H42" s="135" t="str">
        <x:v>Day 02</x:v>
      </x:c>
      <x:c r="I42" s="137" t="n">
        <x:v>46197.5</x:v>
      </x:c>
      <x:c r="J42" s="135" t="str">
        <x:v>6:17:42 PM</x:v>
      </x:c>
      <x:c r="K42" s="138" t="n">
        <x:v>1</x:v>
      </x:c>
      <x:c r="L42" s="138" t="n">
        <x:v>0</x:v>
      </x:c>
      <x:c r="M42" s="138" t="n">
        <x:v>0</x:v>
      </x:c>
      <x:c r="N42" s="138" t="n">
        <x:v>0</x:v>
      </x:c>
      <x:c r="O42" s="139" t="n">
        <x:v>1</x:v>
      </x:c>
      <x:c r="P42" s="153" t="e">
        <x:f>HYPERLINK("https://github.com/kapiltrip/hdlBits/blob/main/problems/Day%2002/037-gates100.md","Open note")</x:f>
        <x:v>HYPERLINK is not implemented. linkLocation=https://github.com/kapiltrip/hdlBits/blob/main/problems/Day%2002/037-gates100.md, friendlyName=Open note</x:v>
      </x:c>
      <x:c r="Q42" s="153" t="e">
        <x:f>HYPERLINK("https://github.com/kapiltrip/hdlBits/blob/main/images/Day%2002/037-gates100.png","Full-size image")</x:f>
        <x:v>HYPERLINK is not implemented. linkLocation=https://github.com/kapiltrip/hdlBits/blob/main/images/Day%2002/037-gates100.png, friendlyName=Full-size image</x:v>
      </x:c>
      <x:c r="R42" s="153" t="e">
        <x:f>HYPERLINK("https://github.com/kapiltrip/hdlBits/blob/main/solutions/Day%2002/037-gates100.sv","Open solution")</x:f>
        <x:v>HYPERLINK is not implemented. linkLocation=https://github.com/kapiltrip/hdlBits/blob/main/solutions/Day%2002/037-gates100.sv, friendlyName=Open solution</x:v>
      </x:c>
      <x:c r="S42" s="153" t="e">
        <x:f>HYPERLINK("https://hdlbits.01xz.net/wiki/gates100","HDLBits")</x:f>
        <x:v>HYPERLINK is not implemented. linkLocation=https://hdlbits.01xz.net/wiki/gates100, friendlyName=HDLBits</x:v>
      </x:c>
      <x:c r="T42" s="162" t="str">
        <x:v>Apply reduction operators across a 100-bit vector to implement very wide AND, OR, and XOR gates.</x:v>
      </x:c>
      <x:c r="U42" s="168"/>
    </x:row>
    <x:row r="43" ht="42" customHeight="1">
      <x:c r="A43" s="135" t="n">
        <x:v>38</x:v>
      </x:c>
      <x:c r="B43" s="136" t="str">
        <x:v>Verilog Language</x:v>
      </x:c>
      <x:c r="C43" s="136" t="str">
        <x:v>More Verilog Features</x:v>
      </x:c>
      <x:c r="D43" s="136" t="str"/>
      <x:c r="E43" s="136" t="str">
        <x:v>Combinational for-loop: Vector reversal 2</x:v>
      </x:c>
      <x:c r="F43" s="136" t="str">
        <x:v>vector100r</x:v>
      </x:c>
      <x:c r="G43" s="135" t="str">
        <x:v>Completed</x:v>
      </x:c>
      <x:c r="H43" s="135" t="str">
        <x:v>Day 02</x:v>
      </x:c>
      <x:c r="I43" s="137" t="n">
        <x:v>46197.5</x:v>
      </x:c>
      <x:c r="J43" s="135" t="str">
        <x:v>6:22:35 PM</x:v>
      </x:c>
      <x:c r="K43" s="138" t="n">
        <x:v>8</x:v>
      </x:c>
      <x:c r="L43" s="138" t="n">
        <x:v>1</x:v>
      </x:c>
      <x:c r="M43" s="138" t="n">
        <x:v>4</x:v>
      </x:c>
      <x:c r="N43" s="138" t="n">
        <x:v>0</x:v>
      </x:c>
      <x:c r="O43" s="139" t="n">
        <x:v>0.38</x:v>
      </x:c>
      <x:c r="P43" s="153" t="e">
        <x:f>HYPERLINK("https://github.com/kapiltrip/hdlBits/blob/main/problems/Day%2002/038-vector100r.md","Open note")</x:f>
        <x:v>HYPERLINK is not implemented. linkLocation=https://github.com/kapiltrip/hdlBits/blob/main/problems/Day%2002/038-vector100r.md, friendlyName=Open note</x:v>
      </x:c>
      <x:c r="Q43" s="153" t="e">
        <x:f>HYPERLINK("https://github.com/kapiltrip/hdlBits/blob/main/images/Day%2002/038-vector100r.png","Full-size image")</x:f>
        <x:v>HYPERLINK is not implemented. linkLocation=https://github.com/kapiltrip/hdlBits/blob/main/images/Day%2002/038-vector100r.png, friendlyName=Full-size image</x:v>
      </x:c>
      <x:c r="R43" s="153" t="e">
        <x:f>HYPERLINK("https://github.com/kapiltrip/hdlBits/blob/main/solutions/Day%2002/038-vector100r.sv","Open solution")</x:f>
        <x:v>HYPERLINK is not implemented. linkLocation=https://github.com/kapiltrip/hdlBits/blob/main/solutions/Day%2002/038-vector100r.sv, friendlyName=Open solution</x:v>
      </x:c>
      <x:c r="S43" s="153" t="e">
        <x:f>HYPERLINK("https://hdlbits.01xz.net/wiki/vector100r","HDLBits")</x:f>
        <x:v>HYPERLINK is not implemented. linkLocation=https://hdlbits.01xz.net/wiki/vector100r, friendlyName=HDLBits</x:v>
      </x:c>
      <x:c r="T43" s="162" t="str">
        <x:v>Use a combinational for loop to reverse all 100 bits of a vector.</x:v>
      </x:c>
      <x:c r="U43" s="168"/>
    </x:row>
    <x:row r="44" ht="42" customHeight="1">
      <x:c r="A44" s="135" t="n">
        <x:v>39</x:v>
      </x:c>
      <x:c r="B44" s="136" t="str">
        <x:v>Verilog Language</x:v>
      </x:c>
      <x:c r="C44" s="136" t="str">
        <x:v>More Verilog Features</x:v>
      </x:c>
      <x:c r="D44" s="136" t="str"/>
      <x:c r="E44" s="136" t="str">
        <x:v>Combinational for-loop: 255-bit population count</x:v>
      </x:c>
      <x:c r="F44" s="136" t="str">
        <x:v>popcount255</x:v>
      </x:c>
      <x:c r="G44" s="135" t="str">
        <x:v>Completed</x:v>
      </x:c>
      <x:c r="H44" s="135" t="str">
        <x:v>Day 02</x:v>
      </x:c>
      <x:c r="I44" s="137" t="n">
        <x:v>46197.5</x:v>
      </x:c>
      <x:c r="J44" s="135" t="str">
        <x:v>6:39:46 PM</x:v>
      </x:c>
      <x:c r="K44" s="138" t="n">
        <x:v>22</x:v>
      </x:c>
      <x:c r="L44" s="138" t="n">
        <x:v>5</x:v>
      </x:c>
      <x:c r="M44" s="138" t="n">
        <x:v>16</x:v>
      </x:c>
      <x:c r="N44" s="138" t="n">
        <x:v>0</x:v>
      </x:c>
      <x:c r="O44" s="139" t="n">
        <x:v>0.05</x:v>
      </x:c>
      <x:c r="P44" s="153" t="e">
        <x:f>HYPERLINK("https://github.com/kapiltrip/hdlBits/blob/main/problems/Day%2002/039-popcount255.md","Open note")</x:f>
        <x:v>HYPERLINK is not implemented. linkLocation=https://github.com/kapiltrip/hdlBits/blob/main/problems/Day%2002/039-popcount255.md, friendlyName=Open note</x:v>
      </x:c>
      <x:c r="Q44" s="153" t="e">
        <x:f>HYPERLINK("https://github.com/kapiltrip/hdlBits/blob/main/images/Day%2002/039-popcount255.png","Full-size image")</x:f>
        <x:v>HYPERLINK is not implemented. linkLocation=https://github.com/kapiltrip/hdlBits/blob/main/images/Day%2002/039-popcount255.png, friendlyName=Full-size image</x:v>
      </x:c>
      <x:c r="R44" s="153" t="e">
        <x:f>HYPERLINK("https://github.com/kapiltrip/hdlBits/blob/main/solutions/Day%2002/039-popcount255.sv","Open solution")</x:f>
        <x:v>HYPERLINK is not implemented. linkLocation=https://github.com/kapiltrip/hdlBits/blob/main/solutions/Day%2002/039-popcount255.sv, friendlyName=Open solution</x:v>
      </x:c>
      <x:c r="S44" s="153" t="e">
        <x:f>HYPERLINK("https://hdlbits.01xz.net/wiki/popcount255","HDLBits")</x:f>
        <x:v>HYPERLINK is not implemented. linkLocation=https://hdlbits.01xz.net/wiki/popcount255, friendlyName=HDLBits</x:v>
      </x:c>
      <x:c r="T44" s="162" t="str">
        <x:v>Count how many bits are high in a 255-bit input vector using combinational accumulation.</x:v>
      </x:c>
      <x:c r="U44" s="168"/>
    </x:row>
    <x:row r="45" ht="42" customHeight="1">
      <x:c r="A45" s="135" t="n">
        <x:v>40</x:v>
      </x:c>
      <x:c r="B45" s="136" t="str">
        <x:v>Verilog Language</x:v>
      </x:c>
      <x:c r="C45" s="136" t="str">
        <x:v>More Verilog Features</x:v>
      </x:c>
      <x:c r="D45" s="136" t="str"/>
      <x:c r="E45" s="136" t="str">
        <x:v>Generate for-loop: 100-bit binary adder 2</x:v>
      </x:c>
      <x:c r="F45" s="136" t="str">
        <x:v>adder100i</x:v>
      </x:c>
      <x:c r="G45" s="135" t="str">
        <x:v>Completed</x:v>
      </x:c>
      <x:c r="H45" s="135" t="str">
        <x:v>Day 02</x:v>
      </x:c>
      <x:c r="I45" s="137" t="n">
        <x:v>46197.5</x:v>
      </x:c>
      <x:c r="J45" s="135" t="str">
        <x:v>10:43:46 PM</x:v>
      </x:c>
      <x:c r="K45" s="138" t="n">
        <x:v>19</x:v>
      </x:c>
      <x:c r="L45" s="138" t="n">
        <x:v>11</x:v>
      </x:c>
      <x:c r="M45" s="138" t="n">
        <x:v>7</x:v>
      </x:c>
      <x:c r="N45" s="138" t="n">
        <x:v>0</x:v>
      </x:c>
      <x:c r="O45" s="139" t="n">
        <x:v>0.05</x:v>
      </x:c>
      <x:c r="P45" s="153" t="e">
        <x:f>HYPERLINK("https://github.com/kapiltrip/hdlBits/blob/main/problems/Day%2002/040-adder100i.md","Open note")</x:f>
        <x:v>HYPERLINK is not implemented. linkLocation=https://github.com/kapiltrip/hdlBits/blob/main/problems/Day%2002/040-adder100i.md, friendlyName=Open note</x:v>
      </x:c>
      <x:c r="Q45" s="153" t="e">
        <x:f>HYPERLINK("https://github.com/kapiltrip/hdlBits/blob/main/images/Day%2002/040-adder100i.png","Full-size image")</x:f>
        <x:v>HYPERLINK is not implemented. linkLocation=https://github.com/kapiltrip/hdlBits/blob/main/images/Day%2002/040-adder100i.png, friendlyName=Full-size image</x:v>
      </x:c>
      <x:c r="R45" s="153" t="e">
        <x:f>HYPERLINK("https://github.com/kapiltrip/hdlBits/blob/main/solutions/Day%2002/040-adder100i.sv","Open solution")</x:f>
        <x:v>HYPERLINK is not implemented. linkLocation=https://github.com/kapiltrip/hdlBits/blob/main/solutions/Day%2002/040-adder100i.sv, friendlyName=Open solution</x:v>
      </x:c>
      <x:c r="S45" s="153" t="e">
        <x:f>HYPERLINK("https://hdlbits.01xz.net/wiki/adder100i","HDLBits")</x:f>
        <x:v>HYPERLINK is not implemented. linkLocation=https://hdlbits.01xz.net/wiki/adder100i, friendlyName=HDLBits</x:v>
      </x:c>
      <x:c r="T45" s="162" t="str">
        <x:v>Generate a 100-bit ripple-carry adder and return both the sum and the carry from every bit stage.</x:v>
      </x:c>
      <x:c r="U45" s="168"/>
    </x:row>
    <x:row r="46" ht="42" customHeight="1">
      <x:c r="A46" s="135" t="n">
        <x:v>41</x:v>
      </x:c>
      <x:c r="B46" s="136" t="str">
        <x:v>Verilog Language</x:v>
      </x:c>
      <x:c r="C46" s="136" t="str">
        <x:v>More Verilog Features</x:v>
      </x:c>
      <x:c r="D46" s="136" t="str"/>
      <x:c r="E46" s="136" t="str">
        <x:v>Generate for-loop: 100-digit BCD adder</x:v>
      </x:c>
      <x:c r="F46" s="136" t="str">
        <x:v>bcdadd100</x:v>
      </x:c>
      <x:c r="G46" s="135" t="str">
        <x:v>Completed</x:v>
      </x:c>
      <x:c r="H46" s="135" t="str">
        <x:v>Day 03</x:v>
      </x:c>
      <x:c r="I46" s="137" t="n">
        <x:v>46198.5</x:v>
      </x:c>
      <x:c r="J46" s="135" t="str">
        <x:v>12:00:14 AM</x:v>
      </x:c>
      <x:c r="K46" s="138" t="n">
        <x:v>6</x:v>
      </x:c>
      <x:c r="L46" s="138" t="n">
        <x:v>2</x:v>
      </x:c>
      <x:c r="M46" s="138" t="n">
        <x:v>3</x:v>
      </x:c>
      <x:c r="N46" s="138" t="n">
        <x:v>0</x:v>
      </x:c>
      <x:c r="O46" s="139" t="n">
        <x:v>0.17</x:v>
      </x:c>
      <x:c r="P46" s="153" t="e">
        <x:f>HYPERLINK("https://github.com/kapiltrip/hdlBits/blob/main/problems/Day%2003/041-bcdadd100.md","Open note")</x:f>
        <x:v>HYPERLINK is not implemented. linkLocation=https://github.com/kapiltrip/hdlBits/blob/main/problems/Day%2003/041-bcdadd100.md, friendlyName=Open note</x:v>
      </x:c>
      <x:c r="Q46" s="153" t="e">
        <x:f>HYPERLINK("https://github.com/kapiltrip/hdlBits/blob/main/images/Day%2003/041-bcdadd100.png","Full-size image")</x:f>
        <x:v>HYPERLINK is not implemented. linkLocation=https://github.com/kapiltrip/hdlBits/blob/main/images/Day%2003/041-bcdadd100.png, friendlyName=Full-size image</x:v>
      </x:c>
      <x:c r="R46" s="153" t="e">
        <x:f>HYPERLINK("https://github.com/kapiltrip/hdlBits/blob/main/solutions/Day%2003/041-bcdadd100.sv","Open solution")</x:f>
        <x:v>HYPERLINK is not implemented. linkLocation=https://github.com/kapiltrip/hdlBits/blob/main/solutions/Day%2003/041-bcdadd100.sv, friendlyName=Open solution</x:v>
      </x:c>
      <x:c r="S46" s="153" t="e">
        <x:f>HYPERLINK("https://hdlbits.01xz.net/wiki/bcdadd100","HDLBits")</x:f>
        <x:v>HYPERLINK is not implemented. linkLocation=https://hdlbits.01xz.net/wiki/bcdadd100, friendlyName=HDLBits</x:v>
      </x:c>
      <x:c r="T46" s="162" t="str">
        <x:v>Chain 100 one-digit BCD adders to add two 100-digit decimal numbers with carry propagation.</x:v>
      </x:c>
      <x:c r="U46" s="168"/>
    </x:row>
    <x:row r="47" ht="42" customHeight="1">
      <x:c r="A47" s="135" t="n">
        <x:v>42</x:v>
      </x:c>
      <x:c r="B47" s="136" t="str">
        <x:v>Circuits</x:v>
      </x:c>
      <x:c r="C47" s="136" t="str">
        <x:v>Combinational Logic</x:v>
      </x:c>
      <x:c r="D47" s="136" t="str">
        <x:v>Basic Gates</x:v>
      </x:c>
      <x:c r="E47" s="136" t="str">
        <x:v>Wire</x:v>
      </x:c>
      <x:c r="F47" s="136" t="str">
        <x:v>exams/m2014_q4h</x:v>
      </x:c>
      <x:c r="G47" s="135" t="str">
        <x:v>Completed</x:v>
      </x:c>
      <x:c r="H47" s="135" t="str">
        <x:v>Day 02</x:v>
      </x:c>
      <x:c r="I47" s="137" t="n">
        <x:v>46197.5</x:v>
      </x:c>
      <x:c r="J47" s="135" t="str">
        <x:v>11:31:58 PM</x:v>
      </x:c>
      <x:c r="K47" s="138" t="n">
        <x:v>1</x:v>
      </x:c>
      <x:c r="L47" s="138" t="n">
        <x:v>0</x:v>
      </x:c>
      <x:c r="M47" s="138" t="n">
        <x:v>0</x:v>
      </x:c>
      <x:c r="N47" s="138" t="n">
        <x:v>0</x:v>
      </x:c>
      <x:c r="O47" s="139" t="n">
        <x:v>1</x:v>
      </x:c>
      <x:c r="P47" s="153" t="e">
        <x:f>HYPERLINK("https://github.com/kapiltrip/hdlBits/blob/main/problems/Day%2002/042-exams__m2014_q4h.md","Open note")</x:f>
        <x:v>HYPERLINK is not implemented. linkLocation=https://github.com/kapiltrip/hdlBits/blob/main/problems/Day%2002/042-exams__m2014_q4h.md, friendlyName=Open note</x:v>
      </x:c>
      <x:c r="Q47" s="153" t="e">
        <x:f>HYPERLINK("https://github.com/kapiltrip/hdlBits/blob/main/images/Day%2002/042-exams__m2014_q4h.png","Full-size image")</x:f>
        <x:v>HYPERLINK is not implemented. linkLocation=https://github.com/kapiltrip/hdlBits/blob/main/images/Day%2002/042-exams__m2014_q4h.png, friendlyName=Full-size image</x:v>
      </x:c>
      <x:c r="R47" s="153" t="e">
        <x:f>HYPERLINK("https://github.com/kapiltrip/hdlBits/blob/main/solutions/Day%2002/042-exams__m2014_q4h.sv","Open solution")</x:f>
        <x:v>HYPERLINK is not implemented. linkLocation=https://github.com/kapiltrip/hdlBits/blob/main/solutions/Day%2002/042-exams__m2014_q4h.sv, friendlyName=Open solution</x:v>
      </x:c>
      <x:c r="S47" s="153" t="e">
        <x:f>HYPERLINK("https://hdlbits.01xz.net/wiki/exams/m2014_q4h","HDLBits")</x:f>
        <x:v>HYPERLINK is not implemented. linkLocation=https://hdlbits.01xz.net/wiki/exams/m2014_q4h, friendlyName=HDLBits</x:v>
      </x:c>
      <x:c r="T47" s="162" t="str">
        <x:v>Implement the shown circuit's output as a direct wire connection.</x:v>
      </x:c>
      <x:c r="U47" s="168"/>
    </x:row>
    <x:row r="48" ht="42" customHeight="1">
      <x:c r="A48" s="135" t="n">
        <x:v>43</x:v>
      </x:c>
      <x:c r="B48" s="136" t="str">
        <x:v>Circuits</x:v>
      </x:c>
      <x:c r="C48" s="136" t="str">
        <x:v>Combinational Logic</x:v>
      </x:c>
      <x:c r="D48" s="136" t="str">
        <x:v>Basic Gates</x:v>
      </x:c>
      <x:c r="E48" s="136" t="str">
        <x:v>GND</x:v>
      </x:c>
      <x:c r="F48" s="136" t="str">
        <x:v>exams/m2014_q4i</x:v>
      </x:c>
      <x:c r="G48" s="135" t="str">
        <x:v>Completed</x:v>
      </x:c>
      <x:c r="H48" s="135" t="str">
        <x:v>Day 02</x:v>
      </x:c>
      <x:c r="I48" s="137" t="n">
        <x:v>46197.5</x:v>
      </x:c>
      <x:c r="J48" s="135" t="str">
        <x:v>11:32:26 PM</x:v>
      </x:c>
      <x:c r="K48" s="138" t="n">
        <x:v>1</x:v>
      </x:c>
      <x:c r="L48" s="138" t="n">
        <x:v>0</x:v>
      </x:c>
      <x:c r="M48" s="138" t="n">
        <x:v>0</x:v>
      </x:c>
      <x:c r="N48" s="138" t="n">
        <x:v>0</x:v>
      </x:c>
      <x:c r="O48" s="139" t="n">
        <x:v>1</x:v>
      </x:c>
      <x:c r="P48" s="153" t="e">
        <x:f>HYPERLINK("https://github.com/kapiltrip/hdlBits/blob/main/problems/Day%2002/043-exams__m2014_q4i.md","Open note")</x:f>
        <x:v>HYPERLINK is not implemented. linkLocation=https://github.com/kapiltrip/hdlBits/blob/main/problems/Day%2002/043-exams__m2014_q4i.md, friendlyName=Open note</x:v>
      </x:c>
      <x:c r="Q48" s="153" t="e">
        <x:f>HYPERLINK("https://github.com/kapiltrip/hdlBits/blob/main/images/Day%2002/043-exams__m2014_q4i.png","Full-size image")</x:f>
        <x:v>HYPERLINK is not implemented. linkLocation=https://github.com/kapiltrip/hdlBits/blob/main/images/Day%2002/043-exams__m2014_q4i.png, friendlyName=Full-size image</x:v>
      </x:c>
      <x:c r="R48" s="153" t="e">
        <x:f>HYPERLINK("https://github.com/kapiltrip/hdlBits/blob/main/solutions/Day%2002/043-exams__m2014_q4i.sv","Open solution")</x:f>
        <x:v>HYPERLINK is not implemented. linkLocation=https://github.com/kapiltrip/hdlBits/blob/main/solutions/Day%2002/043-exams__m2014_q4i.sv, friendlyName=Open solution</x:v>
      </x:c>
      <x:c r="S48" s="153" t="e">
        <x:f>HYPERLINK("https://hdlbits.01xz.net/wiki/exams/m2014_q4i","HDLBits")</x:f>
        <x:v>HYPERLINK is not implemented. linkLocation=https://hdlbits.01xz.net/wiki/exams/m2014_q4i, friendlyName=HDLBits</x:v>
      </x:c>
      <x:c r="T48" s="162" t="str">
        <x:v>Tie the requested output permanently low to represent ground.</x:v>
      </x:c>
      <x:c r="U48" s="168"/>
    </x:row>
    <x:row r="49" ht="42" customHeight="1">
      <x:c r="A49" s="135" t="n">
        <x:v>44</x:v>
      </x:c>
      <x:c r="B49" s="136" t="str">
        <x:v>Circuits</x:v>
      </x:c>
      <x:c r="C49" s="136" t="str">
        <x:v>Combinational Logic</x:v>
      </x:c>
      <x:c r="D49" s="136" t="str">
        <x:v>Basic Gates</x:v>
      </x:c>
      <x:c r="E49" s="136" t="str">
        <x:v>NOR</x:v>
      </x:c>
      <x:c r="F49" s="136" t="str">
        <x:v>exams/m2014_q4e</x:v>
      </x:c>
      <x:c r="G49" s="135" t="str">
        <x:v>Completed</x:v>
      </x:c>
      <x:c r="H49" s="135" t="str">
        <x:v>Day 02</x:v>
      </x:c>
      <x:c r="I49" s="137" t="n">
        <x:v>46197.5</x:v>
      </x:c>
      <x:c r="J49" s="135" t="str">
        <x:v>11:33:43 PM</x:v>
      </x:c>
      <x:c r="K49" s="138" t="n">
        <x:v>2</x:v>
      </x:c>
      <x:c r="L49" s="138" t="n">
        <x:v>1</x:v>
      </x:c>
      <x:c r="M49" s="138" t="n">
        <x:v>0</x:v>
      </x:c>
      <x:c r="N49" s="138" t="n">
        <x:v>0</x:v>
      </x:c>
      <x:c r="O49" s="139" t="n">
        <x:v>0.5</x:v>
      </x:c>
      <x:c r="P49" s="153" t="e">
        <x:f>HYPERLINK("https://github.com/kapiltrip/hdlBits/blob/main/problems/Day%2002/044-exams__m2014_q4e.md","Open note")</x:f>
        <x:v>HYPERLINK is not implemented. linkLocation=https://github.com/kapiltrip/hdlBits/blob/main/problems/Day%2002/044-exams__m2014_q4e.md, friendlyName=Open note</x:v>
      </x:c>
      <x:c r="Q49" s="153" t="e">
        <x:f>HYPERLINK("https://github.com/kapiltrip/hdlBits/blob/main/images/Day%2002/044-exams__m2014_q4e.png","Full-size image")</x:f>
        <x:v>HYPERLINK is not implemented. linkLocation=https://github.com/kapiltrip/hdlBits/blob/main/images/Day%2002/044-exams__m2014_q4e.png, friendlyName=Full-size image</x:v>
      </x:c>
      <x:c r="R49" s="153" t="e">
        <x:f>HYPERLINK("https://github.com/kapiltrip/hdlBits/blob/main/solutions/Day%2002/044-exams__m2014_q4e.sv","Open solution")</x:f>
        <x:v>HYPERLINK is not implemented. linkLocation=https://github.com/kapiltrip/hdlBits/blob/main/solutions/Day%2002/044-exams__m2014_q4e.sv, friendlyName=Open solution</x:v>
      </x:c>
      <x:c r="S49" s="153" t="e">
        <x:f>HYPERLINK("https://hdlbits.01xz.net/wiki/exams/m2014_q4e","HDLBits")</x:f>
        <x:v>HYPERLINK is not implemented. linkLocation=https://hdlbits.01xz.net/wiki/exams/m2014_q4e, friendlyName=HDLBits</x:v>
      </x:c>
      <x:c r="T49" s="162" t="str">
        <x:v>Translate the shown gate symbol into the equivalent NOR logic expression.</x:v>
      </x:c>
      <x:c r="U49" s="168"/>
    </x:row>
    <x:row r="50" ht="42" customHeight="1">
      <x:c r="A50" s="135" t="n">
        <x:v>45</x:v>
      </x:c>
      <x:c r="B50" s="136" t="str">
        <x:v>Circuits</x:v>
      </x:c>
      <x:c r="C50" s="136" t="str">
        <x:v>Combinational Logic</x:v>
      </x:c>
      <x:c r="D50" s="136" t="str">
        <x:v>Basic Gates</x:v>
      </x:c>
      <x:c r="E50" s="136" t="str">
        <x:v>Another gate</x:v>
      </x:c>
      <x:c r="F50" s="136" t="str">
        <x:v>exams/m2014_q4f</x:v>
      </x:c>
      <x:c r="G50" s="135" t="str">
        <x:v>Completed</x:v>
      </x:c>
      <x:c r="H50" s="135" t="str">
        <x:v>Day 02</x:v>
      </x:c>
      <x:c r="I50" s="137" t="n">
        <x:v>46197.5</x:v>
      </x:c>
      <x:c r="J50" s="135" t="str">
        <x:v>11:33:25 PM</x:v>
      </x:c>
      <x:c r="K50" s="138" t="n">
        <x:v>1</x:v>
      </x:c>
      <x:c r="L50" s="138" t="n">
        <x:v>0</x:v>
      </x:c>
      <x:c r="M50" s="138" t="n">
        <x:v>0</x:v>
      </x:c>
      <x:c r="N50" s="138" t="n">
        <x:v>0</x:v>
      </x:c>
      <x:c r="O50" s="139" t="n">
        <x:v>1</x:v>
      </x:c>
      <x:c r="P50" s="153" t="e">
        <x:f>HYPERLINK("https://github.com/kapiltrip/hdlBits/blob/main/problems/Day%2002/045-exams__m2014_q4f.md","Open note")</x:f>
        <x:v>HYPERLINK is not implemented. linkLocation=https://github.com/kapiltrip/hdlBits/blob/main/problems/Day%2002/045-exams__m2014_q4f.md, friendlyName=Open note</x:v>
      </x:c>
      <x:c r="Q50" s="153" t="e">
        <x:f>HYPERLINK("https://github.com/kapiltrip/hdlBits/blob/main/images/Day%2002/045-exams__m2014_q4f.png","Full-size image")</x:f>
        <x:v>HYPERLINK is not implemented. linkLocation=https://github.com/kapiltrip/hdlBits/blob/main/images/Day%2002/045-exams__m2014_q4f.png, friendlyName=Full-size image</x:v>
      </x:c>
      <x:c r="R50" s="153" t="e">
        <x:f>HYPERLINK("https://github.com/kapiltrip/hdlBits/blob/main/solutions/Day%2002/045-exams__m2014_q4f.sv","Open solution")</x:f>
        <x:v>HYPERLINK is not implemented. linkLocation=https://github.com/kapiltrip/hdlBits/blob/main/solutions/Day%2002/045-exams__m2014_q4f.sv, friendlyName=Open solution</x:v>
      </x:c>
      <x:c r="S50" s="153" t="e">
        <x:f>HYPERLINK("https://hdlbits.01xz.net/wiki/exams/m2014_q4f","HDLBits")</x:f>
        <x:v>HYPERLINK is not implemented. linkLocation=https://hdlbits.01xz.net/wiki/exams/m2014_q4f, friendlyName=HDLBits</x:v>
      </x:c>
      <x:c r="T50" s="162" t="str">
        <x:v>Identify the function of the shown gate circuit and express it correctly in Verilog.</x:v>
      </x:c>
      <x:c r="U50" s="168"/>
    </x:row>
    <x:row r="51" ht="42" customHeight="1">
      <x:c r="A51" s="135" t="n">
        <x:v>46</x:v>
      </x:c>
      <x:c r="B51" s="136" t="str">
        <x:v>Circuits</x:v>
      </x:c>
      <x:c r="C51" s="136" t="str">
        <x:v>Combinational Logic</x:v>
      </x:c>
      <x:c r="D51" s="136" t="str">
        <x:v>Basic Gates</x:v>
      </x:c>
      <x:c r="E51" s="136" t="str">
        <x:v>Two gates</x:v>
      </x:c>
      <x:c r="F51" s="136" t="str">
        <x:v>exams/m2014_q4g</x:v>
      </x:c>
      <x:c r="G51" s="135" t="str">
        <x:v>Completed</x:v>
      </x:c>
      <x:c r="H51" s="135" t="str">
        <x:v>Day 02</x:v>
      </x:c>
      <x:c r="I51" s="137" t="n">
        <x:v>46197.5</x:v>
      </x:c>
      <x:c r="J51" s="135" t="str">
        <x:v>11:58:42 PM</x:v>
      </x:c>
      <x:c r="K51" s="138" t="n">
        <x:v>1</x:v>
      </x:c>
      <x:c r="L51" s="138" t="n">
        <x:v>0</x:v>
      </x:c>
      <x:c r="M51" s="138" t="n">
        <x:v>0</x:v>
      </x:c>
      <x:c r="N51" s="138" t="n">
        <x:v>0</x:v>
      </x:c>
      <x:c r="O51" s="139" t="n">
        <x:v>1</x:v>
      </x:c>
      <x:c r="P51" s="153" t="e">
        <x:f>HYPERLINK("https://github.com/kapiltrip/hdlBits/blob/main/problems/Day%2002/046-exams__m2014_q4g.md","Open note")</x:f>
        <x:v>HYPERLINK is not implemented. linkLocation=https://github.com/kapiltrip/hdlBits/blob/main/problems/Day%2002/046-exams__m2014_q4g.md, friendlyName=Open note</x:v>
      </x:c>
      <x:c r="Q51" s="153" t="e">
        <x:f>HYPERLINK("https://github.com/kapiltrip/hdlBits/blob/main/images/Day%2002/046-exams__m2014_q4g.png","Full-size image")</x:f>
        <x:v>HYPERLINK is not implemented. linkLocation=https://github.com/kapiltrip/hdlBits/blob/main/images/Day%2002/046-exams__m2014_q4g.png, friendlyName=Full-size image</x:v>
      </x:c>
      <x:c r="R51" s="153" t="e">
        <x:f>HYPERLINK("https://github.com/kapiltrip/hdlBits/blob/main/solutions/Day%2002/046-exams__m2014_q4g.sv","Open solution")</x:f>
        <x:v>HYPERLINK is not implemented. linkLocation=https://github.com/kapiltrip/hdlBits/blob/main/solutions/Day%2002/046-exams__m2014_q4g.sv, friendlyName=Open solution</x:v>
      </x:c>
      <x:c r="S51" s="153" t="e">
        <x:f>HYPERLINK("https://hdlbits.01xz.net/wiki/exams/m2014_q4g","HDLBits")</x:f>
        <x:v>HYPERLINK is not implemented. linkLocation=https://hdlbits.01xz.net/wiki/exams/m2014_q4g, friendlyName=HDLBits</x:v>
      </x:c>
      <x:c r="T51" s="162" t="str">
        <x:v>Translate the two-gate schematic into a single correct combinational output expression.</x:v>
      </x:c>
      <x:c r="U51" s="168"/>
    </x:row>
    <x:row r="52" ht="42" customHeight="1">
      <x:c r="A52" s="135" t="n">
        <x:v>47</x:v>
      </x:c>
      <x:c r="B52" s="136" t="str">
        <x:v>Circuits</x:v>
      </x:c>
      <x:c r="C52" s="136" t="str">
        <x:v>Combinational Logic</x:v>
      </x:c>
      <x:c r="D52" s="136" t="str">
        <x:v>Basic Gates</x:v>
      </x:c>
      <x:c r="E52" s="136" t="str">
        <x:v>More logic gates</x:v>
      </x:c>
      <x:c r="F52" s="136" t="str">
        <x:v>gates</x:v>
      </x:c>
      <x:c r="G52" s="135" t="str">
        <x:v>Completed</x:v>
      </x:c>
      <x:c r="H52" s="135" t="str">
        <x:v>Day 03</x:v>
      </x:c>
      <x:c r="I52" s="137" t="n">
        <x:v>46198.5</x:v>
      </x:c>
      <x:c r="J52" s="135" t="str">
        <x:v>12:04:10 AM</x:v>
      </x:c>
      <x:c r="K52" s="138" t="n">
        <x:v>2</x:v>
      </x:c>
      <x:c r="L52" s="138" t="n">
        <x:v>0</x:v>
      </x:c>
      <x:c r="M52" s="138" t="n">
        <x:v>1</x:v>
      </x:c>
      <x:c r="N52" s="138" t="n">
        <x:v>0</x:v>
      </x:c>
      <x:c r="O52" s="139" t="n">
        <x:v>0.5</x:v>
      </x:c>
      <x:c r="P52" s="153" t="e">
        <x:f>HYPERLINK("https://github.com/kapiltrip/hdlBits/blob/main/problems/Day%2003/047-gates.md","Open note")</x:f>
        <x:v>HYPERLINK is not implemented. linkLocation=https://github.com/kapiltrip/hdlBits/blob/main/problems/Day%2003/047-gates.md, friendlyName=Open note</x:v>
      </x:c>
      <x:c r="Q52" s="153" t="e">
        <x:f>HYPERLINK("https://github.com/kapiltrip/hdlBits/blob/main/images/Day%2003/047-gates.png","Full-size image")</x:f>
        <x:v>HYPERLINK is not implemented. linkLocation=https://github.com/kapiltrip/hdlBits/blob/main/images/Day%2003/047-gates.png, friendlyName=Full-size image</x:v>
      </x:c>
      <x:c r="R52" s="153" t="e">
        <x:f>HYPERLINK("https://github.com/kapiltrip/hdlBits/blob/main/solutions/Day%2003/047-gates.sv","Open solution")</x:f>
        <x:v>HYPERLINK is not implemented. linkLocation=https://github.com/kapiltrip/hdlBits/blob/main/solutions/Day%2003/047-gates.sv, friendlyName=Open solution</x:v>
      </x:c>
      <x:c r="S52" s="153" t="e">
        <x:f>HYPERLINK("https://hdlbits.01xz.net/wiki/gates","HDLBits")</x:f>
        <x:v>HYPERLINK is not implemented. linkLocation=https://hdlbits.01xz.net/wiki/gates, friendlyName=HDLBits</x:v>
      </x:c>
      <x:c r="T52" s="162" t="str">
        <x:v>Implement several basic gates at once, including bitwise outputs and their logical complements.</x:v>
      </x:c>
      <x:c r="U52" s="168"/>
    </x:row>
    <x:row r="53" ht="42" customHeight="1">
      <x:c r="A53" s="135" t="n">
        <x:v>48</x:v>
      </x:c>
      <x:c r="B53" s="136" t="str">
        <x:v>Circuits</x:v>
      </x:c>
      <x:c r="C53" s="136" t="str">
        <x:v>Combinational Logic</x:v>
      </x:c>
      <x:c r="D53" s="136" t="str">
        <x:v>Basic Gates</x:v>
      </x:c>
      <x:c r="E53" s="136" t="str">
        <x:v>7420 chip</x:v>
      </x:c>
      <x:c r="F53" s="136" t="str">
        <x:v>7420</x:v>
      </x:c>
      <x:c r="G53" s="135" t="str">
        <x:v>Completed</x:v>
      </x:c>
      <x:c r="H53" s="135" t="str">
        <x:v>Day 03</x:v>
      </x:c>
      <x:c r="I53" s="137" t="n">
        <x:v>46198.5</x:v>
      </x:c>
      <x:c r="J53" s="135" t="str">
        <x:v>12:05:55 AM</x:v>
      </x:c>
      <x:c r="K53" s="138" t="n">
        <x:v>1</x:v>
      </x:c>
      <x:c r="L53" s="138" t="n">
        <x:v>0</x:v>
      </x:c>
      <x:c r="M53" s="138" t="n">
        <x:v>0</x:v>
      </x:c>
      <x:c r="N53" s="138" t="n">
        <x:v>0</x:v>
      </x:c>
      <x:c r="O53" s="139" t="n">
        <x:v>1</x:v>
      </x:c>
      <x:c r="P53" s="153" t="e">
        <x:f>HYPERLINK("https://github.com/kapiltrip/hdlBits/blob/main/problems/Day%2003/048-7420.md","Open note")</x:f>
        <x:v>HYPERLINK is not implemented. linkLocation=https://github.com/kapiltrip/hdlBits/blob/main/problems/Day%2003/048-7420.md, friendlyName=Open note</x:v>
      </x:c>
      <x:c r="Q53" s="153" t="e">
        <x:f>HYPERLINK("https://github.com/kapiltrip/hdlBits/blob/main/images/Day%2003/048-7420.png","Full-size image")</x:f>
        <x:v>HYPERLINK is not implemented. linkLocation=https://github.com/kapiltrip/hdlBits/blob/main/images/Day%2003/048-7420.png, friendlyName=Full-size image</x:v>
      </x:c>
      <x:c r="R53" s="153" t="e">
        <x:f>HYPERLINK("https://github.com/kapiltrip/hdlBits/blob/main/solutions/Day%2003/048-7420.sv","Open solution")</x:f>
        <x:v>HYPERLINK is not implemented. linkLocation=https://github.com/kapiltrip/hdlBits/blob/main/solutions/Day%2003/048-7420.sv, friendlyName=Open solution</x:v>
      </x:c>
      <x:c r="S53" s="153" t="e">
        <x:f>HYPERLINK("https://hdlbits.01xz.net/wiki/7420","HDLBits")</x:f>
        <x:v>HYPERLINK is not implemented. linkLocation=https://hdlbits.01xz.net/wiki/7420, friendlyName=HDLBits</x:v>
      </x:c>
      <x:c r="T53" s="162" t="str">
        <x:v>Model a 7420 chip containing two independent four-input NAND gates.</x:v>
      </x:c>
      <x:c r="U53" s="168"/>
    </x:row>
    <x:row r="54" ht="42" customHeight="1">
      <x:c r="A54" s="135" t="n">
        <x:v>49</x:v>
      </x:c>
      <x:c r="B54" s="136" t="str">
        <x:v>Circuits</x:v>
      </x:c>
      <x:c r="C54" s="136" t="str">
        <x:v>Combinational Logic</x:v>
      </x:c>
      <x:c r="D54" s="136" t="str">
        <x:v>Basic Gates</x:v>
      </x:c>
      <x:c r="E54" s="136" t="str">
        <x:v>Truth tables</x:v>
      </x:c>
      <x:c r="F54" s="136" t="str">
        <x:v>truthtable1</x:v>
      </x:c>
      <x:c r="G54" s="135" t="str">
        <x:v>Completed</x:v>
      </x:c>
      <x:c r="H54" s="135" t="str">
        <x:v>Day 03</x:v>
      </x:c>
      <x:c r="I54" s="137" t="n">
        <x:v>46198.5</x:v>
      </x:c>
      <x:c r="J54" s="135" t="str">
        <x:v>12:12:33 AM</x:v>
      </x:c>
      <x:c r="K54" s="138" t="n">
        <x:v>1</x:v>
      </x:c>
      <x:c r="L54" s="138" t="n">
        <x:v>0</x:v>
      </x:c>
      <x:c r="M54" s="138" t="n">
        <x:v>0</x:v>
      </x:c>
      <x:c r="N54" s="138" t="n">
        <x:v>0</x:v>
      </x:c>
      <x:c r="O54" s="139" t="n">
        <x:v>1</x:v>
      </x:c>
      <x:c r="P54" s="153" t="e">
        <x:f>HYPERLINK("https://github.com/kapiltrip/hdlBits/blob/main/problems/Day%2003/049-truthtable1.md","Open note")</x:f>
        <x:v>HYPERLINK is not implemented. linkLocation=https://github.com/kapiltrip/hdlBits/blob/main/problems/Day%2003/049-truthtable1.md, friendlyName=Open note</x:v>
      </x:c>
      <x:c r="Q54" s="153" t="e">
        <x:f>HYPERLINK("https://github.com/kapiltrip/hdlBits/blob/main/images/Day%2003/049-truthtable1.png","Full-size image")</x:f>
        <x:v>HYPERLINK is not implemented. linkLocation=https://github.com/kapiltrip/hdlBits/blob/main/images/Day%2003/049-truthtable1.png, friendlyName=Full-size image</x:v>
      </x:c>
      <x:c r="R54" s="153" t="e">
        <x:f>HYPERLINK("https://github.com/kapiltrip/hdlBits/blob/main/solutions/Day%2003/049-truthtable1.sv","Open solution")</x:f>
        <x:v>HYPERLINK is not implemented. linkLocation=https://github.com/kapiltrip/hdlBits/blob/main/solutions/Day%2003/049-truthtable1.sv, friendlyName=Open solution</x:v>
      </x:c>
      <x:c r="S54" s="153" t="e">
        <x:f>HYPERLINK("https://hdlbits.01xz.net/wiki/truthtable1","HDLBits")</x:f>
        <x:v>HYPERLINK is not implemented. linkLocation=https://hdlbits.01xz.net/wiki/truthtable1, friendlyName=HDLBits</x:v>
      </x:c>
      <x:c r="T54" s="162" t="str">
        <x:v>Convert the supplied truth table into combinational Verilog that produces the specified output for every input combination.</x:v>
      </x:c>
      <x:c r="U54" s="168"/>
    </x:row>
    <x:row r="55" ht="42" customHeight="1">
      <x:c r="A55" s="135" t="n">
        <x:v>50</x:v>
      </x:c>
      <x:c r="B55" s="136" t="str">
        <x:v>Circuits</x:v>
      </x:c>
      <x:c r="C55" s="136" t="str">
        <x:v>Combinational Logic</x:v>
      </x:c>
      <x:c r="D55" s="136" t="str">
        <x:v>Basic Gates</x:v>
      </x:c>
      <x:c r="E55" s="136" t="str">
        <x:v>Two-bit equality</x:v>
      </x:c>
      <x:c r="F55" s="136" t="str">
        <x:v>mt2015_eq2</x:v>
      </x:c>
      <x:c r="G55" s="135" t="str">
        <x:v>Completed</x:v>
      </x:c>
      <x:c r="H55" s="135" t="str">
        <x:v>Day 03</x:v>
      </x:c>
      <x:c r="I55" s="137" t="n">
        <x:v>46198.5</x:v>
      </x:c>
      <x:c r="J55" s="135" t="str">
        <x:v>12:14:30 AM</x:v>
      </x:c>
      <x:c r="K55" s="138" t="n">
        <x:v>1</x:v>
      </x:c>
      <x:c r="L55" s="138" t="n">
        <x:v>0</x:v>
      </x:c>
      <x:c r="M55" s="138" t="n">
        <x:v>0</x:v>
      </x:c>
      <x:c r="N55" s="138" t="n">
        <x:v>0</x:v>
      </x:c>
      <x:c r="O55" s="139" t="n">
        <x:v>1</x:v>
      </x:c>
      <x:c r="P55" s="153" t="e">
        <x:f>HYPERLINK("https://github.com/kapiltrip/hdlBits/blob/main/problems/Day%2003/050-mt2015_eq2.md","Open note")</x:f>
        <x:v>HYPERLINK is not implemented. linkLocation=https://github.com/kapiltrip/hdlBits/blob/main/problems/Day%2003/050-mt2015_eq2.md, friendlyName=Open note</x:v>
      </x:c>
      <x:c r="Q55" s="153" t="e">
        <x:f>HYPERLINK("https://github.com/kapiltrip/hdlBits/blob/main/images/Day%2003/050-mt2015_eq2.png","Full-size image")</x:f>
        <x:v>HYPERLINK is not implemented. linkLocation=https://github.com/kapiltrip/hdlBits/blob/main/images/Day%2003/050-mt2015_eq2.png, friendlyName=Full-size image</x:v>
      </x:c>
      <x:c r="R55" s="153" t="e">
        <x:f>HYPERLINK("https://github.com/kapiltrip/hdlBits/blob/main/solutions/Day%2003/050-mt2015_eq2.sv","Open solution")</x:f>
        <x:v>HYPERLINK is not implemented. linkLocation=https://github.com/kapiltrip/hdlBits/blob/main/solutions/Day%2003/050-mt2015_eq2.sv, friendlyName=Open solution</x:v>
      </x:c>
      <x:c r="S55" s="153" t="e">
        <x:f>HYPERLINK("https://hdlbits.01xz.net/wiki/mt2015_eq2","HDLBits")</x:f>
        <x:v>HYPERLINK is not implemented. linkLocation=https://hdlbits.01xz.net/wiki/mt2015_eq2, friendlyName=HDLBits</x:v>
      </x:c>
      <x:c r="T55" s="162" t="str">
        <x:v>Compare two 2-bit inputs and assert the output only when both vectors are equal.</x:v>
      </x:c>
      <x:c r="U55" s="168"/>
    </x:row>
    <x:row r="56" ht="42" customHeight="1">
      <x:c r="A56" s="135" t="n">
        <x:v>51</x:v>
      </x:c>
      <x:c r="B56" s="136" t="str">
        <x:v>Circuits</x:v>
      </x:c>
      <x:c r="C56" s="136" t="str">
        <x:v>Combinational Logic</x:v>
      </x:c>
      <x:c r="D56" s="136" t="str">
        <x:v>Basic Gates</x:v>
      </x:c>
      <x:c r="E56" s="136" t="str">
        <x:v>Simple circuit A</x:v>
      </x:c>
      <x:c r="F56" s="136" t="str">
        <x:v>mt2015_q4a</x:v>
      </x:c>
      <x:c r="G56" s="135" t="str">
        <x:v>Completed</x:v>
      </x:c>
      <x:c r="H56" s="135" t="str">
        <x:v>Day 03</x:v>
      </x:c>
      <x:c r="I56" s="137" t="n">
        <x:v>46198.5</x:v>
      </x:c>
      <x:c r="J56" s="135" t="str">
        <x:v>12:15:29 AM</x:v>
      </x:c>
      <x:c r="K56" s="138" t="n">
        <x:v>1</x:v>
      </x:c>
      <x:c r="L56" s="138" t="n">
        <x:v>0</x:v>
      </x:c>
      <x:c r="M56" s="138" t="n">
        <x:v>0</x:v>
      </x:c>
      <x:c r="N56" s="138" t="n">
        <x:v>0</x:v>
      </x:c>
      <x:c r="O56" s="139" t="n">
        <x:v>1</x:v>
      </x:c>
      <x:c r="P56" s="153" t="e">
        <x:f>HYPERLINK("https://github.com/kapiltrip/hdlBits/blob/main/problems/Day%2003/051-mt2015_q4a.md","Open note")</x:f>
        <x:v>HYPERLINK is not implemented. linkLocation=https://github.com/kapiltrip/hdlBits/blob/main/problems/Day%2003/051-mt2015_q4a.md, friendlyName=Open note</x:v>
      </x:c>
      <x:c r="Q56" s="153" t="e">
        <x:f>HYPERLINK("https://github.com/kapiltrip/hdlBits/blob/main/images/Day%2003/051-mt2015_q4a.png","Full-size image")</x:f>
        <x:v>HYPERLINK is not implemented. linkLocation=https://github.com/kapiltrip/hdlBits/blob/main/images/Day%2003/051-mt2015_q4a.png, friendlyName=Full-size image</x:v>
      </x:c>
      <x:c r="R56" s="153" t="e">
        <x:f>HYPERLINK("https://github.com/kapiltrip/hdlBits/blob/main/solutions/Day%2003/051-mt2015_q4a.sv","Open solution")</x:f>
        <x:v>HYPERLINK is not implemented. linkLocation=https://github.com/kapiltrip/hdlBits/blob/main/solutions/Day%2003/051-mt2015_q4a.sv, friendlyName=Open solution</x:v>
      </x:c>
      <x:c r="S56" s="153" t="e">
        <x:f>HYPERLINK("https://hdlbits.01xz.net/wiki/mt2015_q4a","HDLBits")</x:f>
        <x:v>HYPERLINK is not implemented. linkLocation=https://hdlbits.01xz.net/wiki/mt2015_q4a, friendlyName=HDLBits</x:v>
      </x:c>
      <x:c r="T56" s="162" t="str">
        <x:v>Implement the first small combinational circuit exactly as shown in the diagram.</x:v>
      </x:c>
      <x:c r="U56" s="168"/>
    </x:row>
    <x:row r="57" ht="42" customHeight="1">
      <x:c r="A57" s="135" t="n">
        <x:v>52</x:v>
      </x:c>
      <x:c r="B57" s="136" t="str">
        <x:v>Circuits</x:v>
      </x:c>
      <x:c r="C57" s="136" t="str">
        <x:v>Combinational Logic</x:v>
      </x:c>
      <x:c r="D57" s="136" t="str">
        <x:v>Basic Gates</x:v>
      </x:c>
      <x:c r="E57" s="136" t="str">
        <x:v>Simple circuit B</x:v>
      </x:c>
      <x:c r="F57" s="136" t="str">
        <x:v>mt2015_q4b</x:v>
      </x:c>
      <x:c r="G57" s="135" t="str">
        <x:v>Completed</x:v>
      </x:c>
      <x:c r="H57" s="135" t="str">
        <x:v>Day 03</x:v>
      </x:c>
      <x:c r="I57" s="137" t="n">
        <x:v>46198.5</x:v>
      </x:c>
      <x:c r="J57" s="135" t="str">
        <x:v>12:16:24 AM</x:v>
      </x:c>
      <x:c r="K57" s="138" t="n">
        <x:v>1</x:v>
      </x:c>
      <x:c r="L57" s="138" t="n">
        <x:v>0</x:v>
      </x:c>
      <x:c r="M57" s="138" t="n">
        <x:v>0</x:v>
      </x:c>
      <x:c r="N57" s="138" t="n">
        <x:v>0</x:v>
      </x:c>
      <x:c r="O57" s="139" t="n">
        <x:v>1</x:v>
      </x:c>
      <x:c r="P57" s="153" t="e">
        <x:f>HYPERLINK("https://github.com/kapiltrip/hdlBits/blob/main/problems/Day%2003/052-mt2015_q4b.md","Open note")</x:f>
        <x:v>HYPERLINK is not implemented. linkLocation=https://github.com/kapiltrip/hdlBits/blob/main/problems/Day%2003/052-mt2015_q4b.md, friendlyName=Open note</x:v>
      </x:c>
      <x:c r="Q57" s="153" t="e">
        <x:f>HYPERLINK("https://github.com/kapiltrip/hdlBits/blob/main/images/Day%2003/052-mt2015_q4b.png","Full-size image")</x:f>
        <x:v>HYPERLINK is not implemented. linkLocation=https://github.com/kapiltrip/hdlBits/blob/main/images/Day%2003/052-mt2015_q4b.png, friendlyName=Full-size image</x:v>
      </x:c>
      <x:c r="R57" s="153" t="e">
        <x:f>HYPERLINK("https://github.com/kapiltrip/hdlBits/blob/main/solutions/Day%2003/052-mt2015_q4b.sv","Open solution")</x:f>
        <x:v>HYPERLINK is not implemented. linkLocation=https://github.com/kapiltrip/hdlBits/blob/main/solutions/Day%2003/052-mt2015_q4b.sv, friendlyName=Open solution</x:v>
      </x:c>
      <x:c r="S57" s="153" t="e">
        <x:f>HYPERLINK("https://hdlbits.01xz.net/wiki/mt2015_q4b","HDLBits")</x:f>
        <x:v>HYPERLINK is not implemented. linkLocation=https://hdlbits.01xz.net/wiki/mt2015_q4b, friendlyName=HDLBits</x:v>
      </x:c>
      <x:c r="T57" s="162" t="str">
        <x:v>Implement the second small combinational circuit exactly as shown in the diagram.</x:v>
      </x:c>
      <x:c r="U57" s="168"/>
    </x:row>
    <x:row r="58" ht="42" customHeight="1">
      <x:c r="A58" s="135" t="n">
        <x:v>53</x:v>
      </x:c>
      <x:c r="B58" s="136" t="str">
        <x:v>Circuits</x:v>
      </x:c>
      <x:c r="C58" s="136" t="str">
        <x:v>Combinational Logic</x:v>
      </x:c>
      <x:c r="D58" s="136" t="str">
        <x:v>Basic Gates</x:v>
      </x:c>
      <x:c r="E58" s="136" t="str">
        <x:v>Combine circuits A and B</x:v>
      </x:c>
      <x:c r="F58" s="136" t="str">
        <x:v>mt2015_q4</x:v>
      </x:c>
      <x:c r="G58" s="135" t="str">
        <x:v>Completed</x:v>
      </x:c>
      <x:c r="H58" s="135" t="str">
        <x:v>Day 03</x:v>
      </x:c>
      <x:c r="I58" s="137" t="n">
        <x:v>46198.5</x:v>
      </x:c>
      <x:c r="J58" s="135" t="str">
        <x:v>12:33:06 AM</x:v>
      </x:c>
      <x:c r="K58" s="138" t="n">
        <x:v>7</x:v>
      </x:c>
      <x:c r="L58" s="138" t="n">
        <x:v>0</x:v>
      </x:c>
      <x:c r="M58" s="138" t="n">
        <x:v>6</x:v>
      </x:c>
      <x:c r="N58" s="138" t="n">
        <x:v>0</x:v>
      </x:c>
      <x:c r="O58" s="139" t="n">
        <x:v>0.14</x:v>
      </x:c>
      <x:c r="P58" s="153" t="e">
        <x:f>HYPERLINK("https://github.com/kapiltrip/hdlBits/blob/main/problems/Day%2003/053-mt2015_q4.md","Open note")</x:f>
        <x:v>HYPERLINK is not implemented. linkLocation=https://github.com/kapiltrip/hdlBits/blob/main/problems/Day%2003/053-mt2015_q4.md, friendlyName=Open note</x:v>
      </x:c>
      <x:c r="Q58" s="153" t="e">
        <x:f>HYPERLINK("https://github.com/kapiltrip/hdlBits/blob/main/images/Day%2003/053-mt2015_q4.png","Full-size image")</x:f>
        <x:v>HYPERLINK is not implemented. linkLocation=https://github.com/kapiltrip/hdlBits/blob/main/images/Day%2003/053-mt2015_q4.png, friendlyName=Full-size image</x:v>
      </x:c>
      <x:c r="R58" s="153" t="e">
        <x:f>HYPERLINK("https://github.com/kapiltrip/hdlBits/blob/main/solutions/Day%2003/053-mt2015_q4.sv","Open solution")</x:f>
        <x:v>HYPERLINK is not implemented. linkLocation=https://github.com/kapiltrip/hdlBits/blob/main/solutions/Day%2003/053-mt2015_q4.sv, friendlyName=Open solution</x:v>
      </x:c>
      <x:c r="S58" s="153" t="e">
        <x:f>HYPERLINK("https://hdlbits.01xz.net/wiki/mt2015_q4","HDLBits")</x:f>
        <x:v>HYPERLINK is not implemented. linkLocation=https://hdlbits.01xz.net/wiki/mt2015_q4, friendlyName=HDLBits</x:v>
      </x:c>
      <x:c r="T58" s="162" t="str">
        <x:v>Instantiate or combine circuits A and B so they operate together with the requested top-level connections.</x:v>
      </x:c>
      <x:c r="U58" s="168"/>
    </x:row>
    <x:row r="59" ht="42" customHeight="1">
      <x:c r="A59" s="135" t="n">
        <x:v>54</x:v>
      </x:c>
      <x:c r="B59" s="136" t="str">
        <x:v>Circuits</x:v>
      </x:c>
      <x:c r="C59" s="136" t="str">
        <x:v>Combinational Logic</x:v>
      </x:c>
      <x:c r="D59" s="136" t="str">
        <x:v>Basic Gates</x:v>
      </x:c>
      <x:c r="E59" s="136" t="str">
        <x:v>Ring or vibrate?</x:v>
      </x:c>
      <x:c r="F59" s="136" t="str">
        <x:v>ringer</x:v>
      </x:c>
      <x:c r="G59" s="135" t="str">
        <x:v>Completed</x:v>
      </x:c>
      <x:c r="H59" s="135" t="str">
        <x:v>Day 03</x:v>
      </x:c>
      <x:c r="I59" s="137" t="n">
        <x:v>46198.5</x:v>
      </x:c>
      <x:c r="J59" s="135" t="str">
        <x:v>12:48:24 AM</x:v>
      </x:c>
      <x:c r="K59" s="138" t="n">
        <x:v>5</x:v>
      </x:c>
      <x:c r="L59" s="138" t="n">
        <x:v>1</x:v>
      </x:c>
      <x:c r="M59" s="138" t="n">
        <x:v>3</x:v>
      </x:c>
      <x:c r="N59" s="138" t="n">
        <x:v>0</x:v>
      </x:c>
      <x:c r="O59" s="139" t="n">
        <x:v>0.2</x:v>
      </x:c>
      <x:c r="P59" s="153" t="e">
        <x:f>HYPERLINK("https://github.com/kapiltrip/hdlBits/blob/main/problems/Day%2003/054-ringer.md","Open note")</x:f>
        <x:v>HYPERLINK is not implemented. linkLocation=https://github.com/kapiltrip/hdlBits/blob/main/problems/Day%2003/054-ringer.md, friendlyName=Open note</x:v>
      </x:c>
      <x:c r="Q59" s="153" t="e">
        <x:f>HYPERLINK("https://github.com/kapiltrip/hdlBits/blob/main/images/Day%2003/054-ringer.png","Full-size image")</x:f>
        <x:v>HYPERLINK is not implemented. linkLocation=https://github.com/kapiltrip/hdlBits/blob/main/images/Day%2003/054-ringer.png, friendlyName=Full-size image</x:v>
      </x:c>
      <x:c r="R59" s="153" t="e">
        <x:f>HYPERLINK("https://github.com/kapiltrip/hdlBits/blob/main/solutions/Day%2003/054-ringer.sv","Open solution")</x:f>
        <x:v>HYPERLINK is not implemented. linkLocation=https://github.com/kapiltrip/hdlBits/blob/main/solutions/Day%2003/054-ringer.sv, friendlyName=Open solution</x:v>
      </x:c>
      <x:c r="S59" s="153" t="e">
        <x:f>HYPERLINK("https://hdlbits.01xz.net/wiki/ringer","HDLBits")</x:f>
        <x:v>HYPERLINK is not implemented. linkLocation=https://hdlbits.01xz.net/wiki/ringer, friendlyName=HDLBits</x:v>
      </x:c>
      <x:c r="T59" s="162" t="str">
        <x:v>Choose whether a phone should ring or vibrate from the incoming-call and silent-mode control signals.</x:v>
      </x:c>
      <x:c r="U59" s="168"/>
    </x:row>
    <x:row r="60" ht="42" customHeight="1">
      <x:c r="A60" s="135" t="n">
        <x:v>55</x:v>
      </x:c>
      <x:c r="B60" s="136" t="str">
        <x:v>Circuits</x:v>
      </x:c>
      <x:c r="C60" s="136" t="str">
        <x:v>Combinational Logic</x:v>
      </x:c>
      <x:c r="D60" s="136" t="str">
        <x:v>Basic Gates</x:v>
      </x:c>
      <x:c r="E60" s="136" t="str">
        <x:v>Thermostat</x:v>
      </x:c>
      <x:c r="F60" s="136" t="str">
        <x:v>thermostat</x:v>
      </x:c>
      <x:c r="G60" s="135" t="str">
        <x:v>Completed</x:v>
      </x:c>
      <x:c r="H60" s="135" t="str">
        <x:v>Day 03</x:v>
      </x:c>
      <x:c r="I60" s="137" t="n">
        <x:v>46198.5</x:v>
      </x:c>
      <x:c r="J60" s="135" t="str">
        <x:v>4:47:58 PM</x:v>
      </x:c>
      <x:c r="K60" s="138" t="n">
        <x:v>2</x:v>
      </x:c>
      <x:c r="L60" s="138" t="n">
        <x:v>0</x:v>
      </x:c>
      <x:c r="M60" s="138" t="n">
        <x:v>1</x:v>
      </x:c>
      <x:c r="N60" s="138" t="n">
        <x:v>0</x:v>
      </x:c>
      <x:c r="O60" s="139" t="n">
        <x:v>0.5</x:v>
      </x:c>
      <x:c r="P60" s="153" t="e">
        <x:f>HYPERLINK("https://github.com/kapiltrip/hdlBits/blob/main/problems/Day%2003/055-thermostat.md","Open note")</x:f>
        <x:v>HYPERLINK is not implemented. linkLocation=https://github.com/kapiltrip/hdlBits/blob/main/problems/Day%2003/055-thermostat.md, friendlyName=Open note</x:v>
      </x:c>
      <x:c r="Q60" s="153" t="e">
        <x:f>HYPERLINK("https://github.com/kapiltrip/hdlBits/blob/main/images/Day%2003/055-thermostat.png","Full-size image")</x:f>
        <x:v>HYPERLINK is not implemented. linkLocation=https://github.com/kapiltrip/hdlBits/blob/main/images/Day%2003/055-thermostat.png, friendlyName=Full-size image</x:v>
      </x:c>
      <x:c r="R60" s="153" t="e">
        <x:f>HYPERLINK("https://github.com/kapiltrip/hdlBits/blob/main/solutions/Day%2003/055-thermostat.sv","Open solution")</x:f>
        <x:v>HYPERLINK is not implemented. linkLocation=https://github.com/kapiltrip/hdlBits/blob/main/solutions/Day%2003/055-thermostat.sv, friendlyName=Open solution</x:v>
      </x:c>
      <x:c r="S60" s="153" t="e">
        <x:f>HYPERLINK("https://hdlbits.01xz.net/wiki/thermostat","HDLBits")</x:f>
        <x:v>HYPERLINK is not implemented. linkLocation=https://hdlbits.01xz.net/wiki/thermostat, friendlyName=HDLBits</x:v>
      </x:c>
      <x:c r="T60" s="162" t="str">
        <x:v>Implement the thermostat's heater, air-conditioner, and fan control rules from the temperature and mode inputs.</x:v>
      </x:c>
      <x:c r="U60" s="168"/>
    </x:row>
    <x:row r="61" ht="42" customHeight="1">
      <x:c r="A61" s="135" t="n">
        <x:v>56</x:v>
      </x:c>
      <x:c r="B61" s="136" t="str">
        <x:v>Circuits</x:v>
      </x:c>
      <x:c r="C61" s="136" t="str">
        <x:v>Combinational Logic</x:v>
      </x:c>
      <x:c r="D61" s="136" t="str">
        <x:v>Basic Gates</x:v>
      </x:c>
      <x:c r="E61" s="136" t="str">
        <x:v>3-bit population count</x:v>
      </x:c>
      <x:c r="F61" s="136" t="str">
        <x:v>popcount3</x:v>
      </x:c>
      <x:c r="G61" s="135" t="str">
        <x:v>Completed</x:v>
      </x:c>
      <x:c r="H61" s="135" t="str">
        <x:v>Day 03</x:v>
      </x:c>
      <x:c r="I61" s="137" t="n">
        <x:v>46198.5</x:v>
      </x:c>
      <x:c r="J61" s="135" t="str">
        <x:v>12:58:42 AM</x:v>
      </x:c>
      <x:c r="K61" s="138" t="n">
        <x:v>2</x:v>
      </x:c>
      <x:c r="L61" s="138" t="n">
        <x:v>1</x:v>
      </x:c>
      <x:c r="M61" s="138" t="n">
        <x:v>0</x:v>
      </x:c>
      <x:c r="N61" s="138" t="n">
        <x:v>0</x:v>
      </x:c>
      <x:c r="O61" s="139" t="n">
        <x:v>0.5</x:v>
      </x:c>
      <x:c r="P61" s="153" t="e">
        <x:f>HYPERLINK("https://github.com/kapiltrip/hdlBits/blob/main/problems/Day%2003/056-popcount3.md","Open note")</x:f>
        <x:v>HYPERLINK is not implemented. linkLocation=https://github.com/kapiltrip/hdlBits/blob/main/problems/Day%2003/056-popcount3.md, friendlyName=Open note</x:v>
      </x:c>
      <x:c r="Q61" s="153" t="e">
        <x:f>HYPERLINK("https://github.com/kapiltrip/hdlBits/blob/main/images/Day%2003/056-popcount3.png","Full-size image")</x:f>
        <x:v>HYPERLINK is not implemented. linkLocation=https://github.com/kapiltrip/hdlBits/blob/main/images/Day%2003/056-popcount3.png, friendlyName=Full-size image</x:v>
      </x:c>
      <x:c r="R61" s="153" t="e">
        <x:f>HYPERLINK("https://github.com/kapiltrip/hdlBits/blob/main/solutions/Day%2003/056-popcount3.sv","Open solution")</x:f>
        <x:v>HYPERLINK is not implemented. linkLocation=https://github.com/kapiltrip/hdlBits/blob/main/solutions/Day%2003/056-popcount3.sv, friendlyName=Open solution</x:v>
      </x:c>
      <x:c r="S61" s="153" t="e">
        <x:f>HYPERLINK("https://hdlbits.01xz.net/wiki/popcount3","HDLBits")</x:f>
        <x:v>HYPERLINK is not implemented. linkLocation=https://hdlbits.01xz.net/wiki/popcount3, friendlyName=HDLBits</x:v>
      </x:c>
      <x:c r="T61" s="162" t="str">
        <x:v>Count the number of asserted bits in a 3-bit input and return that count as a binary value.</x:v>
      </x:c>
      <x:c r="U61" s="168"/>
    </x:row>
    <x:row r="62" ht="42" customHeight="1">
      <x:c r="A62" s="135" t="n">
        <x:v>57</x:v>
      </x:c>
      <x:c r="B62" s="136" t="str">
        <x:v>Circuits</x:v>
      </x:c>
      <x:c r="C62" s="136" t="str">
        <x:v>Combinational Logic</x:v>
      </x:c>
      <x:c r="D62" s="136" t="str">
        <x:v>Basic Gates</x:v>
      </x:c>
      <x:c r="E62" s="136" t="str">
        <x:v>Gates and vectors</x:v>
      </x:c>
      <x:c r="F62" s="136" t="str">
        <x:v>gatesv</x:v>
      </x:c>
      <x:c r="G62" s="135" t="str">
        <x:v>Completed</x:v>
      </x:c>
      <x:c r="H62" s="135" t="str">
        <x:v>Day 03</x:v>
      </x:c>
      <x:c r="I62" s="137" t="n">
        <x:v>46198.5</x:v>
      </x:c>
      <x:c r="J62" s="135" t="str">
        <x:v>9:45:17 PM</x:v>
      </x:c>
      <x:c r="K62" s="138" t="n">
        <x:v>6</x:v>
      </x:c>
      <x:c r="L62" s="138" t="n">
        <x:v>5</x:v>
      </x:c>
      <x:c r="M62" s="138" t="n">
        <x:v>0</x:v>
      </x:c>
      <x:c r="N62" s="138" t="n">
        <x:v>0</x:v>
      </x:c>
      <x:c r="O62" s="139" t="n">
        <x:v>0.17</x:v>
      </x:c>
      <x:c r="P62" s="153" t="e">
        <x:f>HYPERLINK("https://github.com/kapiltrip/hdlBits/blob/main/problems/Day%2003/057-gatesv.md","Open note")</x:f>
        <x:v>HYPERLINK is not implemented. linkLocation=https://github.com/kapiltrip/hdlBits/blob/main/problems/Day%2003/057-gatesv.md, friendlyName=Open note</x:v>
      </x:c>
      <x:c r="Q62" s="153" t="e">
        <x:f>HYPERLINK("https://github.com/kapiltrip/hdlBits/blob/main/images/Day%2003/057-gatesv.png","Full-size image")</x:f>
        <x:v>HYPERLINK is not implemented. linkLocation=https://github.com/kapiltrip/hdlBits/blob/main/images/Day%2003/057-gatesv.png, friendlyName=Full-size image</x:v>
      </x:c>
      <x:c r="R62" s="153" t="e">
        <x:f>HYPERLINK("https://github.com/kapiltrip/hdlBits/blob/main/solutions/Day%2003/057-gatesv.sv","Open solution")</x:f>
        <x:v>HYPERLINK is not implemented. linkLocation=https://github.com/kapiltrip/hdlBits/blob/main/solutions/Day%2003/057-gatesv.sv, friendlyName=Open solution</x:v>
      </x:c>
      <x:c r="S62" s="153" t="e">
        <x:f>HYPERLINK("https://hdlbits.01xz.net/wiki/gatesv","HDLBits")</x:f>
        <x:v>HYPERLINK is not implemented. linkLocation=https://hdlbits.01xz.net/wiki/gatesv, friendlyName=HDLBits</x:v>
      </x:c>
      <x:c r="T62" s="162" t="str">
        <x:v>For two vectors, compute bitwise gate results and also indicate whether the vectors differ at any or every position.</x:v>
      </x:c>
      <x:c r="U62" s="168"/>
    </x:row>
    <x:row r="63" ht="42" customHeight="1">
      <x:c r="A63" s="135" t="n">
        <x:v>58</x:v>
      </x:c>
      <x:c r="B63" s="136" t="str">
        <x:v>Circuits</x:v>
      </x:c>
      <x:c r="C63" s="136" t="str">
        <x:v>Combinational Logic</x:v>
      </x:c>
      <x:c r="D63" s="136" t="str">
        <x:v>Basic Gates</x:v>
      </x:c>
      <x:c r="E63" s="136" t="str">
        <x:v>Even longer vectors</x:v>
      </x:c>
      <x:c r="F63" s="136" t="str">
        <x:v>gatesv100</x:v>
      </x:c>
      <x:c r="G63" s="135" t="str">
        <x:v>Completed</x:v>
      </x:c>
      <x:c r="H63" s="135" t="str">
        <x:v>Day 03</x:v>
      </x:c>
      <x:c r="I63" s="137" t="n">
        <x:v>46198.5</x:v>
      </x:c>
      <x:c r="J63" s="135" t="str">
        <x:v>10:13:17 PM</x:v>
      </x:c>
      <x:c r="K63" s="138" t="n">
        <x:v>1</x:v>
      </x:c>
      <x:c r="L63" s="138" t="n">
        <x:v>0</x:v>
      </x:c>
      <x:c r="M63" s="138" t="n">
        <x:v>0</x:v>
      </x:c>
      <x:c r="N63" s="138" t="n">
        <x:v>0</x:v>
      </x:c>
      <x:c r="O63" s="139" t="n">
        <x:v>1</x:v>
      </x:c>
      <x:c r="P63" s="153" t="e">
        <x:f>HYPERLINK("https://github.com/kapiltrip/hdlBits/blob/main/problems/Day%2003/058-gatesv100.md","Open note")</x:f>
        <x:v>HYPERLINK is not implemented. linkLocation=https://github.com/kapiltrip/hdlBits/blob/main/problems/Day%2003/058-gatesv100.md, friendlyName=Open note</x:v>
      </x:c>
      <x:c r="Q63" s="153" t="e">
        <x:f>HYPERLINK("https://github.com/kapiltrip/hdlBits/blob/main/images/Day%2003/058-gatesv100.png","Full-size image")</x:f>
        <x:v>HYPERLINK is not implemented. linkLocation=https://github.com/kapiltrip/hdlBits/blob/main/images/Day%2003/058-gatesv100.png, friendlyName=Full-size image</x:v>
      </x:c>
      <x:c r="R63" s="153" t="e">
        <x:f>HYPERLINK("https://github.com/kapiltrip/hdlBits/blob/main/solutions/Day%2003/058-gatesv100.sv","Open solution")</x:f>
        <x:v>HYPERLINK is not implemented. linkLocation=https://github.com/kapiltrip/hdlBits/blob/main/solutions/Day%2003/058-gatesv100.sv, friendlyName=Open solution</x:v>
      </x:c>
      <x:c r="S63" s="153" t="e">
        <x:f>HYPERLINK("https://hdlbits.01xz.net/wiki/gatesv100","HDLBits")</x:f>
        <x:v>HYPERLINK is not implemented. linkLocation=https://hdlbits.01xz.net/wiki/gatesv100, friendlyName=HDLBits</x:v>
      </x:c>
      <x:c r="T63" s="162" t="str">
        <x:v>Extend the vector-gate comparison to 100-bit inputs, including per-bit outputs and wide reduction results.</x:v>
      </x:c>
      <x:c r="U63" s="168"/>
    </x:row>
    <x:row r="64" ht="42" customHeight="1">
      <x:c r="A64" s="135" t="n">
        <x:v>59</x:v>
      </x:c>
      <x:c r="B64" s="136" t="str">
        <x:v>Circuits</x:v>
      </x:c>
      <x:c r="C64" s="136" t="str">
        <x:v>Combinational Logic</x:v>
      </x:c>
      <x:c r="D64" s="136" t="str">
        <x:v>Multiplexers</x:v>
      </x:c>
      <x:c r="E64" s="136" t="str">
        <x:v>2-to-1 multiplexer</x:v>
      </x:c>
      <x:c r="F64" s="136" t="str">
        <x:v>mux2to1</x:v>
      </x:c>
      <x:c r="G64" s="135" t="str">
        <x:v>Completed</x:v>
      </x:c>
      <x:c r="H64" s="135" t="str">
        <x:v>Day 03</x:v>
      </x:c>
      <x:c r="I64" s="137" t="n">
        <x:v>46198.5</x:v>
      </x:c>
      <x:c r="J64" s="135" t="str">
        <x:v>1:06:47 AM</x:v>
      </x:c>
      <x:c r="K64" s="138" t="n">
        <x:v>1</x:v>
      </x:c>
      <x:c r="L64" s="138" t="n">
        <x:v>0</x:v>
      </x:c>
      <x:c r="M64" s="138" t="n">
        <x:v>0</x:v>
      </x:c>
      <x:c r="N64" s="138" t="n">
        <x:v>0</x:v>
      </x:c>
      <x:c r="O64" s="139" t="n">
        <x:v>1</x:v>
      </x:c>
      <x:c r="P64" s="153" t="e">
        <x:f>HYPERLINK("https://github.com/kapiltrip/hdlBits/blob/main/problems/Day%2003/059-mux2to1.md","Open note")</x:f>
        <x:v>HYPERLINK is not implemented. linkLocation=https://github.com/kapiltrip/hdlBits/blob/main/problems/Day%2003/059-mux2to1.md, friendlyName=Open note</x:v>
      </x:c>
      <x:c r="Q64" s="153" t="e">
        <x:f>HYPERLINK("https://github.com/kapiltrip/hdlBits/blob/main/images/Day%2003/059-mux2to1.png","Full-size image")</x:f>
        <x:v>HYPERLINK is not implemented. linkLocation=https://github.com/kapiltrip/hdlBits/blob/main/images/Day%2003/059-mux2to1.png, friendlyName=Full-size image</x:v>
      </x:c>
      <x:c r="R64" s="153" t="e">
        <x:f>HYPERLINK("https://github.com/kapiltrip/hdlBits/blob/main/solutions/Day%2003/059-mux2to1.sv","Open solution")</x:f>
        <x:v>HYPERLINK is not implemented. linkLocation=https://github.com/kapiltrip/hdlBits/blob/main/solutions/Day%2003/059-mux2to1.sv, friendlyName=Open solution</x:v>
      </x:c>
      <x:c r="S64" s="153" t="e">
        <x:f>HYPERLINK("https://hdlbits.01xz.net/wiki/mux2to1","HDLBits")</x:f>
        <x:v>HYPERLINK is not implemented. linkLocation=https://hdlbits.01xz.net/wiki/mux2to1, friendlyName=HDLBits</x:v>
      </x:c>
      <x:c r="T64" s="162" t="str">
        <x:v>Implement a one-bit 2-to-1 multiplexer that selects one input according to the select signal.</x:v>
      </x:c>
      <x:c r="U64" s="168"/>
    </x:row>
    <x:row r="65" ht="42" customHeight="1">
      <x:c r="A65" s="135" t="n">
        <x:v>60</x:v>
      </x:c>
      <x:c r="B65" s="136" t="str">
        <x:v>Circuits</x:v>
      </x:c>
      <x:c r="C65" s="136" t="str">
        <x:v>Combinational Logic</x:v>
      </x:c>
      <x:c r="D65" s="136" t="str">
        <x:v>Multiplexers</x:v>
      </x:c>
      <x:c r="E65" s="136" t="str">
        <x:v>2-to-1 bus multiplexer</x:v>
      </x:c>
      <x:c r="F65" s="136" t="str">
        <x:v>mux2to1v</x:v>
      </x:c>
      <x:c r="G65" s="135" t="str">
        <x:v>Completed</x:v>
      </x:c>
      <x:c r="H65" s="135" t="str">
        <x:v>Day 03</x:v>
      </x:c>
      <x:c r="I65" s="137" t="n">
        <x:v>46198.5</x:v>
      </x:c>
      <x:c r="J65" s="135" t="str">
        <x:v>1:07:52 AM</x:v>
      </x:c>
      <x:c r="K65" s="138" t="n">
        <x:v>1</x:v>
      </x:c>
      <x:c r="L65" s="138" t="n">
        <x:v>0</x:v>
      </x:c>
      <x:c r="M65" s="138" t="n">
        <x:v>0</x:v>
      </x:c>
      <x:c r="N65" s="138" t="n">
        <x:v>0</x:v>
      </x:c>
      <x:c r="O65" s="139" t="n">
        <x:v>1</x:v>
      </x:c>
      <x:c r="P65" s="153" t="e">
        <x:f>HYPERLINK("https://github.com/kapiltrip/hdlBits/blob/main/problems/Day%2003/060-mux2to1v.md","Open note")</x:f>
        <x:v>HYPERLINK is not implemented. linkLocation=https://github.com/kapiltrip/hdlBits/blob/main/problems/Day%2003/060-mux2to1v.md, friendlyName=Open note</x:v>
      </x:c>
      <x:c r="Q65" s="153" t="e">
        <x:f>HYPERLINK("https://github.com/kapiltrip/hdlBits/blob/main/images/Day%2003/060-mux2to1v.png","Full-size image")</x:f>
        <x:v>HYPERLINK is not implemented. linkLocation=https://github.com/kapiltrip/hdlBits/blob/main/images/Day%2003/060-mux2to1v.png, friendlyName=Full-size image</x:v>
      </x:c>
      <x:c r="R65" s="153" t="e">
        <x:f>HYPERLINK("https://github.com/kapiltrip/hdlBits/blob/main/solutions/Day%2003/060-mux2to1v.sv","Open solution")</x:f>
        <x:v>HYPERLINK is not implemented. linkLocation=https://github.com/kapiltrip/hdlBits/blob/main/solutions/Day%2003/060-mux2to1v.sv, friendlyName=Open solution</x:v>
      </x:c>
      <x:c r="S65" s="153" t="e">
        <x:f>HYPERLINK("https://hdlbits.01xz.net/wiki/mux2to1v","HDLBits")</x:f>
        <x:v>HYPERLINK is not implemented. linkLocation=https://hdlbits.01xz.net/wiki/mux2to1v, friendlyName=HDLBits</x:v>
      </x:c>
      <x:c r="T65" s="162" t="str">
        <x:v>Implement a 2-to-1 multiplexer that selects an entire vector rather than a single bit.</x:v>
      </x:c>
      <x:c r="U65" s="168"/>
    </x:row>
    <x:row r="66" ht="42" customHeight="1">
      <x:c r="A66" s="135" t="n">
        <x:v>61</x:v>
      </x:c>
      <x:c r="B66" s="136" t="str">
        <x:v>Circuits</x:v>
      </x:c>
      <x:c r="C66" s="136" t="str">
        <x:v>Combinational Logic</x:v>
      </x:c>
      <x:c r="D66" s="136" t="str">
        <x:v>Multiplexers</x:v>
      </x:c>
      <x:c r="E66" s="136" t="str">
        <x:v>9-to-1 multiplexer</x:v>
      </x:c>
      <x:c r="F66" s="136" t="str">
        <x:v>mux9to1v</x:v>
      </x:c>
      <x:c r="G66" s="135" t="str">
        <x:v>Completed</x:v>
      </x:c>
      <x:c r="H66" s="135" t="str">
        <x:v>Day 03</x:v>
      </x:c>
      <x:c r="I66" s="137" t="n">
        <x:v>46198.5</x:v>
      </x:c>
      <x:c r="J66" s="135" t="str">
        <x:v>2:44:03 PM</x:v>
      </x:c>
      <x:c r="K66" s="138" t="n">
        <x:v>10</x:v>
      </x:c>
      <x:c r="L66" s="138" t="n">
        <x:v>7</x:v>
      </x:c>
      <x:c r="M66" s="138" t="n">
        <x:v>2</x:v>
      </x:c>
      <x:c r="N66" s="138" t="n">
        <x:v>0</x:v>
      </x:c>
      <x:c r="O66" s="139" t="n">
        <x:v>0.1</x:v>
      </x:c>
      <x:c r="P66" s="153" t="e">
        <x:f>HYPERLINK("https://github.com/kapiltrip/hdlBits/blob/main/problems/Day%2003/061-mux9to1v.md","Open note")</x:f>
        <x:v>HYPERLINK is not implemented. linkLocation=https://github.com/kapiltrip/hdlBits/blob/main/problems/Day%2003/061-mux9to1v.md, friendlyName=Open note</x:v>
      </x:c>
      <x:c r="Q66" s="153" t="e">
        <x:f>HYPERLINK("https://github.com/kapiltrip/hdlBits/blob/main/images/Day%2003/061-mux9to1v.png","Full-size image")</x:f>
        <x:v>HYPERLINK is not implemented. linkLocation=https://github.com/kapiltrip/hdlBits/blob/main/images/Day%2003/061-mux9to1v.png, friendlyName=Full-size image</x:v>
      </x:c>
      <x:c r="R66" s="153" t="e">
        <x:f>HYPERLINK("https://github.com/kapiltrip/hdlBits/blob/main/solutions/Day%2003/061-mux9to1v.sv","Open solution")</x:f>
        <x:v>HYPERLINK is not implemented. linkLocation=https://github.com/kapiltrip/hdlBits/blob/main/solutions/Day%2003/061-mux9to1v.sv, friendlyName=Open solution</x:v>
      </x:c>
      <x:c r="S66" s="153" t="e">
        <x:f>HYPERLINK("https://hdlbits.01xz.net/wiki/mux9to1v","HDLBits")</x:f>
        <x:v>HYPERLINK is not implemented. linkLocation=https://hdlbits.01xz.net/wiki/mux9to1v, friendlyName=HDLBits</x:v>
      </x:c>
      <x:c r="T66" s="162" t="str">
        <x:v>Select one of nine 16-bit inputs; produce the required default value when the selector is outside the valid range.</x:v>
      </x:c>
      <x:c r="U66" s="168"/>
    </x:row>
    <x:row r="67" ht="42" customHeight="1">
      <x:c r="A67" s="135" t="n">
        <x:v>62</x:v>
      </x:c>
      <x:c r="B67" s="136" t="str">
        <x:v>Circuits</x:v>
      </x:c>
      <x:c r="C67" s="136" t="str">
        <x:v>Combinational Logic</x:v>
      </x:c>
      <x:c r="D67" s="136" t="str">
        <x:v>Multiplexers</x:v>
      </x:c>
      <x:c r="E67" s="136" t="str">
        <x:v>256-to-1 multiplexer</x:v>
      </x:c>
      <x:c r="F67" s="136" t="str">
        <x:v>mux256to1</x:v>
      </x:c>
      <x:c r="G67" s="135" t="str">
        <x:v>Completed</x:v>
      </x:c>
      <x:c r="H67" s="135" t="str">
        <x:v>Day 03</x:v>
      </x:c>
      <x:c r="I67" s="137" t="n">
        <x:v>46198.5</x:v>
      </x:c>
      <x:c r="J67" s="135" t="str">
        <x:v>2:42:55 PM</x:v>
      </x:c>
      <x:c r="K67" s="138" t="n">
        <x:v>1</x:v>
      </x:c>
      <x:c r="L67" s="138" t="n">
        <x:v>0</x:v>
      </x:c>
      <x:c r="M67" s="138" t="n">
        <x:v>0</x:v>
      </x:c>
      <x:c r="N67" s="138" t="n">
        <x:v>0</x:v>
      </x:c>
      <x:c r="O67" s="139" t="n">
        <x:v>1</x:v>
      </x:c>
      <x:c r="P67" s="153" t="e">
        <x:f>HYPERLINK("https://github.com/kapiltrip/hdlBits/blob/main/problems/Day%2003/062-mux256to1.md","Open note")</x:f>
        <x:v>HYPERLINK is not implemented. linkLocation=https://github.com/kapiltrip/hdlBits/blob/main/problems/Day%2003/062-mux256to1.md, friendlyName=Open note</x:v>
      </x:c>
      <x:c r="Q67" s="153" t="e">
        <x:f>HYPERLINK("https://github.com/kapiltrip/hdlBits/blob/main/images/Day%2003/062-mux256to1.png","Full-size image")</x:f>
        <x:v>HYPERLINK is not implemented. linkLocation=https://github.com/kapiltrip/hdlBits/blob/main/images/Day%2003/062-mux256to1.png, friendlyName=Full-size image</x:v>
      </x:c>
      <x:c r="R67" s="153" t="e">
        <x:f>HYPERLINK("https://github.com/kapiltrip/hdlBits/blob/main/solutions/Day%2003/062-mux256to1.sv","Open solution")</x:f>
        <x:v>HYPERLINK is not implemented. linkLocation=https://github.com/kapiltrip/hdlBits/blob/main/solutions/Day%2003/062-mux256to1.sv, friendlyName=Open solution</x:v>
      </x:c>
      <x:c r="S67" s="153" t="e">
        <x:f>HYPERLINK("https://hdlbits.01xz.net/wiki/mux256to1","HDLBits")</x:f>
        <x:v>HYPERLINK is not implemented. linkLocation=https://hdlbits.01xz.net/wiki/mux256to1, friendlyName=HDLBits</x:v>
      </x:c>
      <x:c r="T67" s="162" t="str">
        <x:v>Select one bit from a 256-bit input vector using an 8-bit selector as the index.</x:v>
      </x:c>
      <x:c r="U67" s="168"/>
    </x:row>
    <x:row r="68" ht="42" customHeight="1">
      <x:c r="A68" s="135" t="n">
        <x:v>63</x:v>
      </x:c>
      <x:c r="B68" s="136" t="str">
        <x:v>Circuits</x:v>
      </x:c>
      <x:c r="C68" s="136" t="str">
        <x:v>Combinational Logic</x:v>
      </x:c>
      <x:c r="D68" s="136" t="str">
        <x:v>Multiplexers</x:v>
      </x:c>
      <x:c r="E68" s="136" t="str">
        <x:v>256-to-1 4-bit multiplexer</x:v>
      </x:c>
      <x:c r="F68" s="136" t="str">
        <x:v>mux256to1v</x:v>
      </x:c>
      <x:c r="G68" s="135" t="str">
        <x:v>Completed</x:v>
      </x:c>
      <x:c r="H68" s="135" t="str">
        <x:v>Day 03</x:v>
      </x:c>
      <x:c r="I68" s="137" t="n">
        <x:v>46198.5</x:v>
      </x:c>
      <x:c r="J68" s="135" t="str">
        <x:v>2:46:53 PM</x:v>
      </x:c>
      <x:c r="K68" s="138" t="n">
        <x:v>1</x:v>
      </x:c>
      <x:c r="L68" s="138" t="n">
        <x:v>0</x:v>
      </x:c>
      <x:c r="M68" s="138" t="n">
        <x:v>0</x:v>
      </x:c>
      <x:c r="N68" s="138" t="n">
        <x:v>0</x:v>
      </x:c>
      <x:c r="O68" s="139" t="n">
        <x:v>1</x:v>
      </x:c>
      <x:c r="P68" s="153" t="e">
        <x:f>HYPERLINK("https://github.com/kapiltrip/hdlBits/blob/main/problems/Day%2003/063-mux256to1v.md","Open note")</x:f>
        <x:v>HYPERLINK is not implemented. linkLocation=https://github.com/kapiltrip/hdlBits/blob/main/problems/Day%2003/063-mux256to1v.md, friendlyName=Open note</x:v>
      </x:c>
      <x:c r="Q68" s="153" t="e">
        <x:f>HYPERLINK("https://github.com/kapiltrip/hdlBits/blob/main/images/Day%2003/063-mux256to1v.png","Full-size image")</x:f>
        <x:v>HYPERLINK is not implemented. linkLocation=https://github.com/kapiltrip/hdlBits/blob/main/images/Day%2003/063-mux256to1v.png, friendlyName=Full-size image</x:v>
      </x:c>
      <x:c r="R68" s="153" t="e">
        <x:f>HYPERLINK("https://github.com/kapiltrip/hdlBits/blob/main/solutions/Day%2003/063-mux256to1v.sv","Open solution")</x:f>
        <x:v>HYPERLINK is not implemented. linkLocation=https://github.com/kapiltrip/hdlBits/blob/main/solutions/Day%2003/063-mux256to1v.sv, friendlyName=Open solution</x:v>
      </x:c>
      <x:c r="S68" s="153" t="e">
        <x:f>HYPERLINK("https://hdlbits.01xz.net/wiki/mux256to1v","HDLBits")</x:f>
        <x:v>HYPERLINK is not implemented. linkLocation=https://hdlbits.01xz.net/wiki/mux256to1v, friendlyName=HDLBits</x:v>
      </x:c>
      <x:c r="T68" s="162" t="str">
        <x:v>Select one 4-bit word from 256 packed words by calculating the correct vector slice from the selector.</x:v>
      </x:c>
      <x:c r="U68" s="168"/>
    </x:row>
    <x:row r="69" ht="42" customHeight="1">
      <x:c r="A69" s="135" t="n">
        <x:v>64</x:v>
      </x:c>
      <x:c r="B69" s="136" t="str">
        <x:v>Circuits</x:v>
      </x:c>
      <x:c r="C69" s="136" t="str">
        <x:v>Combinational Logic</x:v>
      </x:c>
      <x:c r="D69" s="136" t="str">
        <x:v>Arithmetic Circuits</x:v>
      </x:c>
      <x:c r="E69" s="136" t="str">
        <x:v>Half adder</x:v>
      </x:c>
      <x:c r="F69" s="136" t="str">
        <x:v>hadd</x:v>
      </x:c>
      <x:c r="G69" s="135" t="str">
        <x:v>Completed</x:v>
      </x:c>
      <x:c r="H69" s="135" t="str">
        <x:v>Day 03</x:v>
      </x:c>
      <x:c r="I69" s="137" t="n">
        <x:v>46198.5</x:v>
      </x:c>
      <x:c r="J69" s="135" t="str">
        <x:v>3:25:33 PM</x:v>
      </x:c>
      <x:c r="K69" s="138" t="n">
        <x:v>1</x:v>
      </x:c>
      <x:c r="L69" s="138" t="n">
        <x:v>0</x:v>
      </x:c>
      <x:c r="M69" s="138" t="n">
        <x:v>0</x:v>
      </x:c>
      <x:c r="N69" s="138" t="n">
        <x:v>0</x:v>
      </x:c>
      <x:c r="O69" s="139" t="n">
        <x:v>1</x:v>
      </x:c>
      <x:c r="P69" s="153" t="e">
        <x:f>HYPERLINK("https://github.com/kapiltrip/hdlBits/blob/main/problems/Day%2003/064-hadd.md","Open note")</x:f>
        <x:v>HYPERLINK is not implemented. linkLocation=https://github.com/kapiltrip/hdlBits/blob/main/problems/Day%2003/064-hadd.md, friendlyName=Open note</x:v>
      </x:c>
      <x:c r="Q69" s="153" t="e">
        <x:f>HYPERLINK("https://github.com/kapiltrip/hdlBits/blob/main/images/Day%2003/064-hadd.png","Full-size image")</x:f>
        <x:v>HYPERLINK is not implemented. linkLocation=https://github.com/kapiltrip/hdlBits/blob/main/images/Day%2003/064-hadd.png, friendlyName=Full-size image</x:v>
      </x:c>
      <x:c r="R69" s="153" t="e">
        <x:f>HYPERLINK("https://github.com/kapiltrip/hdlBits/blob/main/solutions/Day%2003/064-hadd.sv","Open solution")</x:f>
        <x:v>HYPERLINK is not implemented. linkLocation=https://github.com/kapiltrip/hdlBits/blob/main/solutions/Day%2003/064-hadd.sv, friendlyName=Open solution</x:v>
      </x:c>
      <x:c r="S69" s="153" t="e">
        <x:f>HYPERLINK("https://hdlbits.01xz.net/wiki/hadd","HDLBits")</x:f>
        <x:v>HYPERLINK is not implemented. linkLocation=https://hdlbits.01xz.net/wiki/hadd, friendlyName=HDLBits</x:v>
      </x:c>
      <x:c r="T69" s="162" t="str">
        <x:v>Implement a half adder that produces a one-bit sum and carry from two input bits.</x:v>
      </x:c>
      <x:c r="U69" s="168"/>
    </x:row>
    <x:row r="70" ht="42" customHeight="1">
      <x:c r="A70" s="135" t="n">
        <x:v>65</x:v>
      </x:c>
      <x:c r="B70" s="136" t="str">
        <x:v>Circuits</x:v>
      </x:c>
      <x:c r="C70" s="136" t="str">
        <x:v>Combinational Logic</x:v>
      </x:c>
      <x:c r="D70" s="136" t="str">
        <x:v>Arithmetic Circuits</x:v>
      </x:c>
      <x:c r="E70" s="136" t="str">
        <x:v>Full adder</x:v>
      </x:c>
      <x:c r="F70" s="136" t="str">
        <x:v>fadd</x:v>
      </x:c>
      <x:c r="G70" s="135" t="str">
        <x:v>Completed</x:v>
      </x:c>
      <x:c r="H70" s="135" t="str">
        <x:v>Day 02</x:v>
      </x:c>
      <x:c r="I70" s="137" t="n">
        <x:v>46197.5</x:v>
      </x:c>
      <x:c r="J70" s="135" t="str">
        <x:v>10:21:26 PM</x:v>
      </x:c>
      <x:c r="K70" s="138" t="n">
        <x:v>1</x:v>
      </x:c>
      <x:c r="L70" s="138" t="n">
        <x:v>0</x:v>
      </x:c>
      <x:c r="M70" s="138" t="n">
        <x:v>0</x:v>
      </x:c>
      <x:c r="N70" s="138" t="n">
        <x:v>0</x:v>
      </x:c>
      <x:c r="O70" s="139" t="n">
        <x:v>1</x:v>
      </x:c>
      <x:c r="P70" s="153" t="e">
        <x:f>HYPERLINK("https://github.com/kapiltrip/hdlBits/blob/main/problems/Day%2002/065-fadd.md","Open note")</x:f>
        <x:v>HYPERLINK is not implemented. linkLocation=https://github.com/kapiltrip/hdlBits/blob/main/problems/Day%2002/065-fadd.md, friendlyName=Open note</x:v>
      </x:c>
      <x:c r="Q70" s="153" t="e">
        <x:f>HYPERLINK("https://github.com/kapiltrip/hdlBits/blob/main/images/Day%2002/065-fadd.png","Full-size image")</x:f>
        <x:v>HYPERLINK is not implemented. linkLocation=https://github.com/kapiltrip/hdlBits/blob/main/images/Day%2002/065-fadd.png, friendlyName=Full-size image</x:v>
      </x:c>
      <x:c r="R70" s="153" t="e">
        <x:f>HYPERLINK("https://github.com/kapiltrip/hdlBits/blob/main/solutions/Day%2002/065-fadd.sv","Open solution")</x:f>
        <x:v>HYPERLINK is not implemented. linkLocation=https://github.com/kapiltrip/hdlBits/blob/main/solutions/Day%2002/065-fadd.sv, friendlyName=Open solution</x:v>
      </x:c>
      <x:c r="S70" s="153" t="e">
        <x:f>HYPERLINK("https://hdlbits.01xz.net/wiki/fadd","HDLBits")</x:f>
        <x:v>HYPERLINK is not implemented. linkLocation=https://hdlbits.01xz.net/wiki/fadd, friendlyName=HDLBits</x:v>
      </x:c>
      <x:c r="T70" s="162" t="str">
        <x:v>Implement a full adder that includes carry-in and produces both sum and carry-out.</x:v>
      </x:c>
      <x:c r="U70" s="168"/>
    </x:row>
    <x:row r="71" ht="42" customHeight="1">
      <x:c r="A71" s="135" t="n">
        <x:v>66</x:v>
      </x:c>
      <x:c r="B71" s="136" t="str">
        <x:v>Circuits</x:v>
      </x:c>
      <x:c r="C71" s="136" t="str">
        <x:v>Combinational Logic</x:v>
      </x:c>
      <x:c r="D71" s="136" t="str">
        <x:v>Arithmetic Circuits</x:v>
      </x:c>
      <x:c r="E71" s="136" t="str">
        <x:v>3-bit binary adder</x:v>
      </x:c>
      <x:c r="F71" s="136" t="str">
        <x:v>adder3</x:v>
      </x:c>
      <x:c r="G71" s="135" t="str">
        <x:v>Completed</x:v>
      </x:c>
      <x:c r="H71" s="135" t="str">
        <x:v>Day 03</x:v>
      </x:c>
      <x:c r="I71" s="137" t="n">
        <x:v>46198.5</x:v>
      </x:c>
      <x:c r="J71" s="135" t="str">
        <x:v>3:24:38 PM</x:v>
      </x:c>
      <x:c r="K71" s="138" t="n">
        <x:v>3</x:v>
      </x:c>
      <x:c r="L71" s="138" t="n">
        <x:v>1</x:v>
      </x:c>
      <x:c r="M71" s="138" t="n">
        <x:v>1</x:v>
      </x:c>
      <x:c r="N71" s="138" t="n">
        <x:v>0</x:v>
      </x:c>
      <x:c r="O71" s="139" t="n">
        <x:v>0.33</x:v>
      </x:c>
      <x:c r="P71" s="153" t="e">
        <x:f>HYPERLINK("https://github.com/kapiltrip/hdlBits/blob/main/problems/Day%2003/066-adder3.md","Open note")</x:f>
        <x:v>HYPERLINK is not implemented. linkLocation=https://github.com/kapiltrip/hdlBits/blob/main/problems/Day%2003/066-adder3.md, friendlyName=Open note</x:v>
      </x:c>
      <x:c r="Q71" s="153" t="e">
        <x:f>HYPERLINK("https://github.com/kapiltrip/hdlBits/blob/main/images/Day%2003/066-adder3.png","Full-size image")</x:f>
        <x:v>HYPERLINK is not implemented. linkLocation=https://github.com/kapiltrip/hdlBits/blob/main/images/Day%2003/066-adder3.png, friendlyName=Full-size image</x:v>
      </x:c>
      <x:c r="R71" s="153" t="e">
        <x:f>HYPERLINK("https://github.com/kapiltrip/hdlBits/blob/main/solutions/Day%2003/066-adder3.sv","Open solution")</x:f>
        <x:v>HYPERLINK is not implemented. linkLocation=https://github.com/kapiltrip/hdlBits/blob/main/solutions/Day%2003/066-adder3.sv, friendlyName=Open solution</x:v>
      </x:c>
      <x:c r="S71" s="153" t="e">
        <x:f>HYPERLINK("https://hdlbits.01xz.net/wiki/adder3","HDLBits")</x:f>
        <x:v>HYPERLINK is not implemented. linkLocation=https://hdlbits.01xz.net/wiki/adder3, friendlyName=HDLBits</x:v>
      </x:c>
      <x:c r="T71" s="162" t="str">
        <x:v>Chain three full adders to add two 3-bit numbers and expose the intermediate carry signals.</x:v>
      </x:c>
      <x:c r="U71" s="168"/>
    </x:row>
    <x:row r="72" ht="42" customHeight="1">
      <x:c r="A72" s="135" t="n">
        <x:v>67</x:v>
      </x:c>
      <x:c r="B72" s="136" t="str">
        <x:v>Circuits</x:v>
      </x:c>
      <x:c r="C72" s="136" t="str">
        <x:v>Combinational Logic</x:v>
      </x:c>
      <x:c r="D72" s="136" t="str">
        <x:v>Arithmetic Circuits</x:v>
      </x:c>
      <x:c r="E72" s="136" t="str">
        <x:v>Adder</x:v>
      </x:c>
      <x:c r="F72" s="136" t="str">
        <x:v>exams/m2014_q4j</x:v>
      </x:c>
      <x:c r="G72" s="135" t="str">
        <x:v>Completed</x:v>
      </x:c>
      <x:c r="H72" s="135" t="str">
        <x:v>Day 03</x:v>
      </x:c>
      <x:c r="I72" s="137" t="n">
        <x:v>46198.5</x:v>
      </x:c>
      <x:c r="J72" s="135" t="str">
        <x:v>3:20:07 PM</x:v>
      </x:c>
      <x:c r="K72" s="138" t="n">
        <x:v>4</x:v>
      </x:c>
      <x:c r="L72" s="138" t="n">
        <x:v>0</x:v>
      </x:c>
      <x:c r="M72" s="138" t="n">
        <x:v>3</x:v>
      </x:c>
      <x:c r="N72" s="138" t="n">
        <x:v>0</x:v>
      </x:c>
      <x:c r="O72" s="139" t="n">
        <x:v>0.25</x:v>
      </x:c>
      <x:c r="P72" s="153" t="e">
        <x:f>HYPERLINK("https://github.com/kapiltrip/hdlBits/blob/main/problems/Day%2003/067-exams__m2014_q4j.md","Open note")</x:f>
        <x:v>HYPERLINK is not implemented. linkLocation=https://github.com/kapiltrip/hdlBits/blob/main/problems/Day%2003/067-exams__m2014_q4j.md, friendlyName=Open note</x:v>
      </x:c>
      <x:c r="Q72" s="153" t="e">
        <x:f>HYPERLINK("https://github.com/kapiltrip/hdlBits/blob/main/images/Day%2003/067-exams__m2014_q4j.png","Full-size image")</x:f>
        <x:v>HYPERLINK is not implemented. linkLocation=https://github.com/kapiltrip/hdlBits/blob/main/images/Day%2003/067-exams__m2014_q4j.png, friendlyName=Full-size image</x:v>
      </x:c>
      <x:c r="R72" s="153" t="e">
        <x:f>HYPERLINK("https://github.com/kapiltrip/hdlBits/blob/main/solutions/Day%2003/067-exams__m2014_q4j.sv","Open solution")</x:f>
        <x:v>HYPERLINK is not implemented. linkLocation=https://github.com/kapiltrip/hdlBits/blob/main/solutions/Day%2003/067-exams__m2014_q4j.sv, friendlyName=Open solution</x:v>
      </x:c>
      <x:c r="S72" s="153" t="e">
        <x:f>HYPERLINK("https://hdlbits.01xz.net/wiki/exams/m2014_q4j","HDLBits")</x:f>
        <x:v>HYPERLINK is not implemented. linkLocation=https://hdlbits.01xz.net/wiki/exams/m2014_q4j, friendlyName=HDLBits</x:v>
      </x:c>
      <x:c r="T72" s="162" t="str">
        <x:v>Implement the adder circuit shown in the exam diagram with the requested sum and carry behaviour.</x:v>
      </x:c>
      <x:c r="U72" s="168"/>
    </x:row>
    <x:row r="73" ht="42" customHeight="1">
      <x:c r="A73" s="135" t="n">
        <x:v>68</x:v>
      </x:c>
      <x:c r="B73" s="136" t="str">
        <x:v>Circuits</x:v>
      </x:c>
      <x:c r="C73" s="136" t="str">
        <x:v>Combinational Logic</x:v>
      </x:c>
      <x:c r="D73" s="136" t="str">
        <x:v>Arithmetic Circuits</x:v>
      </x:c>
      <x:c r="E73" s="136" t="str">
        <x:v>Signed addition overflow</x:v>
      </x:c>
      <x:c r="F73" s="136" t="str">
        <x:v>exams/ece241_2014_q1c</x:v>
      </x:c>
      <x:c r="G73" s="135" t="str">
        <x:v>Completed</x:v>
      </x:c>
      <x:c r="H73" s="135" t="str">
        <x:v>Day 03</x:v>
      </x:c>
      <x:c r="I73" s="137" t="n">
        <x:v>46198.5</x:v>
      </x:c>
      <x:c r="J73" s="135" t="str">
        <x:v>5:28:33 PM</x:v>
      </x:c>
      <x:c r="K73" s="138" t="n">
        <x:v>1</x:v>
      </x:c>
      <x:c r="L73" s="138" t="n">
        <x:v>0</x:v>
      </x:c>
      <x:c r="M73" s="138" t="n">
        <x:v>0</x:v>
      </x:c>
      <x:c r="N73" s="138" t="n">
        <x:v>0</x:v>
      </x:c>
      <x:c r="O73" s="139" t="n">
        <x:v>1</x:v>
      </x:c>
      <x:c r="P73" s="153" t="e">
        <x:f>HYPERLINK("https://github.com/kapiltrip/hdlBits/blob/main/problems/Day%2003/068-exams__ece241_2014_q1c.md","Open note")</x:f>
        <x:v>HYPERLINK is not implemented. linkLocation=https://github.com/kapiltrip/hdlBits/blob/main/problems/Day%2003/068-exams__ece241_2014_q1c.md, friendlyName=Open note</x:v>
      </x:c>
      <x:c r="Q73" s="153" t="e">
        <x:f>HYPERLINK("https://github.com/kapiltrip/hdlBits/blob/main/images/Day%2003/068-exams__ece241_2014_q1c.png","Full-size image")</x:f>
        <x:v>HYPERLINK is not implemented. linkLocation=https://github.com/kapiltrip/hdlBits/blob/main/images/Day%2003/068-exams__ece241_2014_q1c.png, friendlyName=Full-size image</x:v>
      </x:c>
      <x:c r="R73" s="153" t="e">
        <x:f>HYPERLINK("https://github.com/kapiltrip/hdlBits/blob/main/solutions/Day%2003/068-exams__ece241_2014_q1c.sv","Open solution")</x:f>
        <x:v>HYPERLINK is not implemented. linkLocation=https://github.com/kapiltrip/hdlBits/blob/main/solutions/Day%2003/068-exams__ece241_2014_q1c.sv, friendlyName=Open solution</x:v>
      </x:c>
      <x:c r="S73" s="153" t="e">
        <x:f>HYPERLINK("https://hdlbits.01xz.net/wiki/exams/ece241_2014_q1c","HDLBits")</x:f>
        <x:v>HYPERLINK is not implemented. linkLocation=https://hdlbits.01xz.net/wiki/exams/ece241_2014_q1c, friendlyName=HDLBits</x:v>
      </x:c>
      <x:c r="T73" s="162" t="str">
        <x:v>Add two signed values and assert overflow when the mathematical result cannot fit in the signed output width.</x:v>
      </x:c>
      <x:c r="U73" s="168"/>
    </x:row>
    <x:row r="74" ht="42" customHeight="1">
      <x:c r="A74" s="135" t="n">
        <x:v>69</x:v>
      </x:c>
      <x:c r="B74" s="136" t="str">
        <x:v>Circuits</x:v>
      </x:c>
      <x:c r="C74" s="136" t="str">
        <x:v>Combinational Logic</x:v>
      </x:c>
      <x:c r="D74" s="136" t="str">
        <x:v>Arithmetic Circuits</x:v>
      </x:c>
      <x:c r="E74" s="136" t="str">
        <x:v>100-bit binary adder</x:v>
      </x:c>
      <x:c r="F74" s="136" t="str">
        <x:v>adder100</x:v>
      </x:c>
      <x:c r="G74" s="135" t="str">
        <x:v>Completed</x:v>
      </x:c>
      <x:c r="H74" s="135" t="str">
        <x:v>Day 03</x:v>
      </x:c>
      <x:c r="I74" s="137" t="n">
        <x:v>46198.5</x:v>
      </x:c>
      <x:c r="J74" s="135" t="str">
        <x:v>5:26:53 PM</x:v>
      </x:c>
      <x:c r="K74" s="138" t="n">
        <x:v>2</x:v>
      </x:c>
      <x:c r="L74" s="138" t="n">
        <x:v>1</x:v>
      </x:c>
      <x:c r="M74" s="138" t="n">
        <x:v>0</x:v>
      </x:c>
      <x:c r="N74" s="138" t="n">
        <x:v>0</x:v>
      </x:c>
      <x:c r="O74" s="139" t="n">
        <x:v>0.5</x:v>
      </x:c>
      <x:c r="P74" s="153" t="e">
        <x:f>HYPERLINK("https://github.com/kapiltrip/hdlBits/blob/main/problems/Day%2003/069-adder100.md","Open note")</x:f>
        <x:v>HYPERLINK is not implemented. linkLocation=https://github.com/kapiltrip/hdlBits/blob/main/problems/Day%2003/069-adder100.md, friendlyName=Open note</x:v>
      </x:c>
      <x:c r="Q74" s="153" t="e">
        <x:f>HYPERLINK("https://github.com/kapiltrip/hdlBits/blob/main/images/Day%2003/069-adder100.png","Full-size image")</x:f>
        <x:v>HYPERLINK is not implemented. linkLocation=https://github.com/kapiltrip/hdlBits/blob/main/images/Day%2003/069-adder100.png, friendlyName=Full-size image</x:v>
      </x:c>
      <x:c r="R74" s="153" t="e">
        <x:f>HYPERLINK("https://github.com/kapiltrip/hdlBits/blob/main/solutions/Day%2003/069-adder100.sv","Open solution")</x:f>
        <x:v>HYPERLINK is not implemented. linkLocation=https://github.com/kapiltrip/hdlBits/blob/main/solutions/Day%2003/069-adder100.sv, friendlyName=Open solution</x:v>
      </x:c>
      <x:c r="S74" s="153" t="e">
        <x:f>HYPERLINK("https://hdlbits.01xz.net/wiki/adder100","HDLBits")</x:f>
        <x:v>HYPERLINK is not implemented. linkLocation=https://hdlbits.01xz.net/wiki/adder100, friendlyName=HDLBits</x:v>
      </x:c>
      <x:c r="T74" s="162" t="str">
        <x:v>Implement a 100-bit combinational adder and return the final carry-out together with the sum.</x:v>
      </x:c>
      <x:c r="U74" s="168"/>
    </x:row>
    <x:row r="75" ht="42" customHeight="1">
      <x:c r="A75" s="135" t="n">
        <x:v>70</x:v>
      </x:c>
      <x:c r="B75" s="136" t="str">
        <x:v>Circuits</x:v>
      </x:c>
      <x:c r="C75" s="136" t="str">
        <x:v>Combinational Logic</x:v>
      </x:c>
      <x:c r="D75" s="136" t="str">
        <x:v>Arithmetic Circuits</x:v>
      </x:c>
      <x:c r="E75" s="136" t="str">
        <x:v>4-digit BCD adder</x:v>
      </x:c>
      <x:c r="F75" s="136" t="str">
        <x:v>bcdadd4</x:v>
      </x:c>
      <x:c r="G75" s="135" t="str">
        <x:v>Completed</x:v>
      </x:c>
      <x:c r="H75" s="135" t="str">
        <x:v>Day 03</x:v>
      </x:c>
      <x:c r="I75" s="137" t="n">
        <x:v>46198.5</x:v>
      </x:c>
      <x:c r="J75" s="135" t="str">
        <x:v>5:16:55 PM</x:v>
      </x:c>
      <x:c r="K75" s="138" t="n">
        <x:v>2</x:v>
      </x:c>
      <x:c r="L75" s="138" t="n">
        <x:v>0</x:v>
      </x:c>
      <x:c r="M75" s="138" t="n">
        <x:v>1</x:v>
      </x:c>
      <x:c r="N75" s="138" t="n">
        <x:v>0</x:v>
      </x:c>
      <x:c r="O75" s="139" t="n">
        <x:v>0.5</x:v>
      </x:c>
      <x:c r="P75" s="153" t="e">
        <x:f>HYPERLINK("https://github.com/kapiltrip/hdlBits/blob/main/problems/Day%2003/070-bcdadd4.md","Open note")</x:f>
        <x:v>HYPERLINK is not implemented. linkLocation=https://github.com/kapiltrip/hdlBits/blob/main/problems/Day%2003/070-bcdadd4.md, friendlyName=Open note</x:v>
      </x:c>
      <x:c r="Q75" s="153" t="e">
        <x:f>HYPERLINK("https://github.com/kapiltrip/hdlBits/blob/main/images/Day%2003/070-bcdadd4.png","Full-size image")</x:f>
        <x:v>HYPERLINK is not implemented. linkLocation=https://github.com/kapiltrip/hdlBits/blob/main/images/Day%2003/070-bcdadd4.png, friendlyName=Full-size image</x:v>
      </x:c>
      <x:c r="R75" s="153" t="e">
        <x:f>HYPERLINK("https://github.com/kapiltrip/hdlBits/blob/main/solutions/Day%2003/070-bcdadd4.sv","Open solution")</x:f>
        <x:v>HYPERLINK is not implemented. linkLocation=https://github.com/kapiltrip/hdlBits/blob/main/solutions/Day%2003/070-bcdadd4.sv, friendlyName=Open solution</x:v>
      </x:c>
      <x:c r="S75" s="153" t="e">
        <x:f>HYPERLINK("https://hdlbits.01xz.net/wiki/bcdadd4","HDLBits")</x:f>
        <x:v>HYPERLINK is not implemented. linkLocation=https://hdlbits.01xz.net/wiki/bcdadd4, friendlyName=HDLBits</x:v>
      </x:c>
      <x:c r="T75" s="162" t="str">
        <x:v>Chain four BCD full adders to add two four-digit decimal values and propagate decimal carry between digits.</x:v>
      </x:c>
      <x:c r="U75" s="168"/>
    </x:row>
    <x:row r="76" ht="42" customHeight="1">
      <x:c r="A76" s="135" t="n">
        <x:v>71</x:v>
      </x:c>
      <x:c r="B76" s="136" t="str">
        <x:v>Circuits</x:v>
      </x:c>
      <x:c r="C76" s="136" t="str">
        <x:v>Combinational Logic</x:v>
      </x:c>
      <x:c r="D76" s="136" t="str">
        <x:v>Karnaugh Map to Circuit</x:v>
      </x:c>
      <x:c r="E76" s="136" t="str">
        <x:v>3-variable</x:v>
      </x:c>
      <x:c r="F76" s="136" t="str">
        <x:v>kmap1</x:v>
      </x:c>
      <x:c r="G76" s="135" t="str">
        <x:v>Completed</x:v>
      </x:c>
      <x:c r="H76" s="135" t="str">
        <x:v>Day 03</x:v>
      </x:c>
      <x:c r="I76" s="137" t="n">
        <x:v>46198.5</x:v>
      </x:c>
      <x:c r="J76" s="135" t="str">
        <x:v>5:31:33 PM</x:v>
      </x:c>
      <x:c r="K76" s="138" t="n">
        <x:v>1</x:v>
      </x:c>
      <x:c r="L76" s="138" t="n">
        <x:v>0</x:v>
      </x:c>
      <x:c r="M76" s="138" t="n">
        <x:v>0</x:v>
      </x:c>
      <x:c r="N76" s="138" t="n">
        <x:v>0</x:v>
      </x:c>
      <x:c r="O76" s="139" t="n">
        <x:v>1</x:v>
      </x:c>
      <x:c r="P76" s="153" t="e">
        <x:f>HYPERLINK("https://github.com/kapiltrip/hdlBits/blob/main/problems/Day%2003/071-kmap1.md","Open note")</x:f>
        <x:v>HYPERLINK is not implemented. linkLocation=https://github.com/kapiltrip/hdlBits/blob/main/problems/Day%2003/071-kmap1.md, friendlyName=Open note</x:v>
      </x:c>
      <x:c r="Q76" s="153" t="e">
        <x:f>HYPERLINK("https://github.com/kapiltrip/hdlBits/blob/main/images/Day%2003/071-kmap1.png","Full-size image")</x:f>
        <x:v>HYPERLINK is not implemented. linkLocation=https://github.com/kapiltrip/hdlBits/blob/main/images/Day%2003/071-kmap1.png, friendlyName=Full-size image</x:v>
      </x:c>
      <x:c r="R76" s="153" t="e">
        <x:f>HYPERLINK("https://github.com/kapiltrip/hdlBits/blob/main/solutions/Day%2003/071-kmap1.sv","Open solution")</x:f>
        <x:v>HYPERLINK is not implemented. linkLocation=https://github.com/kapiltrip/hdlBits/blob/main/solutions/Day%2003/071-kmap1.sv, friendlyName=Open solution</x:v>
      </x:c>
      <x:c r="S76" s="153" t="e">
        <x:f>HYPERLINK("https://hdlbits.01xz.net/wiki/kmap1","HDLBits")</x:f>
        <x:v>HYPERLINK is not implemented. linkLocation=https://hdlbits.01xz.net/wiki/kmap1, friendlyName=HDLBits</x:v>
      </x:c>
      <x:c r="T76" s="162" t="str">
        <x:v>Derive and implement the simplified logic function represented by the supplied 3-variable Karnaugh map.</x:v>
      </x:c>
      <x:c r="U76" s="168"/>
    </x:row>
    <x:row r="77" ht="42" customHeight="1">
      <x:c r="A77" s="135" t="n">
        <x:v>72</x:v>
      </x:c>
      <x:c r="B77" s="136" t="str">
        <x:v>Circuits</x:v>
      </x:c>
      <x:c r="C77" s="136" t="str">
        <x:v>Combinational Logic</x:v>
      </x:c>
      <x:c r="D77" s="136" t="str">
        <x:v>Karnaugh Map to Circuit</x:v>
      </x:c>
      <x:c r="E77" s="136" t="str">
        <x:v>4-variable</x:v>
      </x:c>
      <x:c r="F77" s="136" t="str">
        <x:v>kmap2</x:v>
      </x:c>
      <x:c r="G77" s="135" t="str">
        <x:v>Completed</x:v>
      </x:c>
      <x:c r="H77" s="135" t="str">
        <x:v>Day 03</x:v>
      </x:c>
      <x:c r="I77" s="137" t="n">
        <x:v>46198.5</x:v>
      </x:c>
      <x:c r="J77" s="135" t="str">
        <x:v>5:35:18 PM</x:v>
      </x:c>
      <x:c r="K77" s="138" t="n">
        <x:v>1</x:v>
      </x:c>
      <x:c r="L77" s="138" t="n">
        <x:v>0</x:v>
      </x:c>
      <x:c r="M77" s="138" t="n">
        <x:v>0</x:v>
      </x:c>
      <x:c r="N77" s="138" t="n">
        <x:v>0</x:v>
      </x:c>
      <x:c r="O77" s="139" t="n">
        <x:v>1</x:v>
      </x:c>
      <x:c r="P77" s="153" t="e">
        <x:f>HYPERLINK("https://github.com/kapiltrip/hdlBits/blob/main/problems/Day%2003/072-kmap2.md","Open note")</x:f>
        <x:v>HYPERLINK is not implemented. linkLocation=https://github.com/kapiltrip/hdlBits/blob/main/problems/Day%2003/072-kmap2.md, friendlyName=Open note</x:v>
      </x:c>
      <x:c r="Q77" s="153" t="e">
        <x:f>HYPERLINK("https://github.com/kapiltrip/hdlBits/blob/main/images/Day%2003/072-kmap2.png","Full-size image")</x:f>
        <x:v>HYPERLINK is not implemented. linkLocation=https://github.com/kapiltrip/hdlBits/blob/main/images/Day%2003/072-kmap2.png, friendlyName=Full-size image</x:v>
      </x:c>
      <x:c r="R77" s="153" t="e">
        <x:f>HYPERLINK("https://github.com/kapiltrip/hdlBits/blob/main/solutions/Day%2003/072-kmap2.sv","Open solution")</x:f>
        <x:v>HYPERLINK is not implemented. linkLocation=https://github.com/kapiltrip/hdlBits/blob/main/solutions/Day%2003/072-kmap2.sv, friendlyName=Open solution</x:v>
      </x:c>
      <x:c r="S77" s="153" t="e">
        <x:f>HYPERLINK("https://hdlbits.01xz.net/wiki/kmap2","HDLBits")</x:f>
        <x:v>HYPERLINK is not implemented. linkLocation=https://hdlbits.01xz.net/wiki/kmap2, friendlyName=HDLBits</x:v>
      </x:c>
      <x:c r="T77" s="162" t="str">
        <x:v>Derive a minimal combinational expression from the supplied 4-variable Karnaugh map.</x:v>
      </x:c>
      <x:c r="U77" s="168"/>
    </x:row>
    <x:row r="78" ht="42" customHeight="1">
      <x:c r="A78" s="135" t="n">
        <x:v>73</x:v>
      </x:c>
      <x:c r="B78" s="136" t="str">
        <x:v>Circuits</x:v>
      </x:c>
      <x:c r="C78" s="136" t="str">
        <x:v>Combinational Logic</x:v>
      </x:c>
      <x:c r="D78" s="136" t="str">
        <x:v>Karnaugh Map to Circuit</x:v>
      </x:c>
      <x:c r="E78" s="136" t="str">
        <x:v>4-variable</x:v>
      </x:c>
      <x:c r="F78" s="136" t="str">
        <x:v>kmap3</x:v>
      </x:c>
      <x:c r="G78" s="135" t="str">
        <x:v>Completed</x:v>
      </x:c>
      <x:c r="H78" s="135" t="str">
        <x:v>Day 03</x:v>
      </x:c>
      <x:c r="I78" s="137" t="n">
        <x:v>46198.5</x:v>
      </x:c>
      <x:c r="J78" s="135" t="str">
        <x:v>3:39:22 PM</x:v>
      </x:c>
      <x:c r="K78" s="138" t="n">
        <x:v>4</x:v>
      </x:c>
      <x:c r="L78" s="138" t="n">
        <x:v>2</x:v>
      </x:c>
      <x:c r="M78" s="138" t="n">
        <x:v>1</x:v>
      </x:c>
      <x:c r="N78" s="138" t="n">
        <x:v>0</x:v>
      </x:c>
      <x:c r="O78" s="139" t="n">
        <x:v>0.25</x:v>
      </x:c>
      <x:c r="P78" s="153" t="e">
        <x:f>HYPERLINK("https://github.com/kapiltrip/hdlBits/blob/main/problems/Day%2003/073-kmap3.md","Open note")</x:f>
        <x:v>HYPERLINK is not implemented. linkLocation=https://github.com/kapiltrip/hdlBits/blob/main/problems/Day%2003/073-kmap3.md, friendlyName=Open note</x:v>
      </x:c>
      <x:c r="Q78" s="153" t="e">
        <x:f>HYPERLINK("https://github.com/kapiltrip/hdlBits/blob/main/images/Day%2003/073-kmap3.png","Full-size image")</x:f>
        <x:v>HYPERLINK is not implemented. linkLocation=https://github.com/kapiltrip/hdlBits/blob/main/images/Day%2003/073-kmap3.png, friendlyName=Full-size image</x:v>
      </x:c>
      <x:c r="R78" s="153" t="e">
        <x:f>HYPERLINK("https://github.com/kapiltrip/hdlBits/blob/main/solutions/Day%2003/073-kmap3.sv","Open solution")</x:f>
        <x:v>HYPERLINK is not implemented. linkLocation=https://github.com/kapiltrip/hdlBits/blob/main/solutions/Day%2003/073-kmap3.sv, friendlyName=Open solution</x:v>
      </x:c>
      <x:c r="S78" s="153" t="e">
        <x:f>HYPERLINK("https://hdlbits.01xz.net/wiki/kmap3","HDLBits")</x:f>
        <x:v>HYPERLINK is not implemented. linkLocation=https://hdlbits.01xz.net/wiki/kmap3, friendlyName=HDLBits</x:v>
      </x:c>
      <x:c r="T78" s="162" t="str">
        <x:v>Implement the 4-variable Karnaugh-map function while using the indicated don't-care cells for simplification.</x:v>
      </x:c>
      <x:c r="U78" s="168"/>
    </x:row>
    <x:row r="79" ht="42" customHeight="1">
      <x:c r="A79" s="135" t="n">
        <x:v>74</x:v>
      </x:c>
      <x:c r="B79" s="136" t="str">
        <x:v>Circuits</x:v>
      </x:c>
      <x:c r="C79" s="136" t="str">
        <x:v>Combinational Logic</x:v>
      </x:c>
      <x:c r="D79" s="136" t="str">
        <x:v>Karnaugh Map to Circuit</x:v>
      </x:c>
      <x:c r="E79" s="136" t="str">
        <x:v>4-variable</x:v>
      </x:c>
      <x:c r="F79" s="136" t="str">
        <x:v>kmap4</x:v>
      </x:c>
      <x:c r="G79" s="135" t="str">
        <x:v>Completed</x:v>
      </x:c>
      <x:c r="H79" s="135" t="str">
        <x:v>Day 03</x:v>
      </x:c>
      <x:c r="I79" s="137" t="n">
        <x:v>46198.5</x:v>
      </x:c>
      <x:c r="J79" s="135" t="str">
        <x:v>3:49:07 PM</x:v>
      </x:c>
      <x:c r="K79" s="138" t="n">
        <x:v>1</x:v>
      </x:c>
      <x:c r="L79" s="138" t="n">
        <x:v>0</x:v>
      </x:c>
      <x:c r="M79" s="138" t="n">
        <x:v>0</x:v>
      </x:c>
      <x:c r="N79" s="138" t="n">
        <x:v>0</x:v>
      </x:c>
      <x:c r="O79" s="139" t="n">
        <x:v>1</x:v>
      </x:c>
      <x:c r="P79" s="153" t="e">
        <x:f>HYPERLINK("https://github.com/kapiltrip/hdlBits/blob/main/problems/Day%2003/074-kmap4.md","Open note")</x:f>
        <x:v>HYPERLINK is not implemented. linkLocation=https://github.com/kapiltrip/hdlBits/blob/main/problems/Day%2003/074-kmap4.md, friendlyName=Open note</x:v>
      </x:c>
      <x:c r="Q79" s="153" t="e">
        <x:f>HYPERLINK("https://github.com/kapiltrip/hdlBits/blob/main/images/Day%2003/074-kmap4.png","Full-size image")</x:f>
        <x:v>HYPERLINK is not implemented. linkLocation=https://github.com/kapiltrip/hdlBits/blob/main/images/Day%2003/074-kmap4.png, friendlyName=Full-size image</x:v>
      </x:c>
      <x:c r="R79" s="153" t="e">
        <x:f>HYPERLINK("https://github.com/kapiltrip/hdlBits/blob/main/solutions/Day%2003/074-kmap4.sv","Open solution")</x:f>
        <x:v>HYPERLINK is not implemented. linkLocation=https://github.com/kapiltrip/hdlBits/blob/main/solutions/Day%2003/074-kmap4.sv, friendlyName=Open solution</x:v>
      </x:c>
      <x:c r="S79" s="153" t="e">
        <x:f>HYPERLINK("https://hdlbits.01xz.net/wiki/kmap4","HDLBits")</x:f>
        <x:v>HYPERLINK is not implemented. linkLocation=https://hdlbits.01xz.net/wiki/kmap4, friendlyName=HDLBits</x:v>
      </x:c>
      <x:c r="T79" s="162" t="str">
        <x:v>Translate the supplied 4-variable Karnaugh map into a correct simplified Verilog expression.</x:v>
      </x:c>
      <x:c r="U79" s="168"/>
    </x:row>
    <x:row r="80" ht="42" customHeight="1">
      <x:c r="A80" s="135" t="n">
        <x:v>75</x:v>
      </x:c>
      <x:c r="B80" s="136" t="str">
        <x:v>Circuits</x:v>
      </x:c>
      <x:c r="C80" s="136" t="str">
        <x:v>Combinational Logic</x:v>
      </x:c>
      <x:c r="D80" s="136" t="str">
        <x:v>Karnaugh Map to Circuit</x:v>
      </x:c>
      <x:c r="E80" s="136" t="str">
        <x:v>Minimum SOP and POS</x:v>
      </x:c>
      <x:c r="F80" s="136" t="str">
        <x:v>exams/ece241_2013_q2</x:v>
      </x:c>
      <x:c r="G80" s="135" t="str">
        <x:v>Completed</x:v>
      </x:c>
      <x:c r="H80" s="135" t="str">
        <x:v>Day 03</x:v>
      </x:c>
      <x:c r="I80" s="137" t="n">
        <x:v>46198.5</x:v>
      </x:c>
      <x:c r="J80" s="135" t="str">
        <x:v>6:04:35 PM</x:v>
      </x:c>
      <x:c r="K80" s="138" t="n">
        <x:v>5</x:v>
      </x:c>
      <x:c r="L80" s="138" t="n">
        <x:v>3</x:v>
      </x:c>
      <x:c r="M80" s="138" t="n">
        <x:v>1</x:v>
      </x:c>
      <x:c r="N80" s="138" t="n">
        <x:v>0</x:v>
      </x:c>
      <x:c r="O80" s="139" t="n">
        <x:v>0.2</x:v>
      </x:c>
      <x:c r="P80" s="153" t="e">
        <x:f>HYPERLINK("https://github.com/kapiltrip/hdlBits/blob/main/problems/Day%2003/075-exams__ece241_2013_q2.md","Open note")</x:f>
        <x:v>HYPERLINK is not implemented. linkLocation=https://github.com/kapiltrip/hdlBits/blob/main/problems/Day%2003/075-exams__ece241_2013_q2.md, friendlyName=Open note</x:v>
      </x:c>
      <x:c r="Q80" s="153" t="e">
        <x:f>HYPERLINK("https://github.com/kapiltrip/hdlBits/blob/main/images/Day%2003/075-exams__ece241_2013_q2.png","Full-size image")</x:f>
        <x:v>HYPERLINK is not implemented. linkLocation=https://github.com/kapiltrip/hdlBits/blob/main/images/Day%2003/075-exams__ece241_2013_q2.png, friendlyName=Full-size image</x:v>
      </x:c>
      <x:c r="R80" s="153" t="e">
        <x:f>HYPERLINK("https://github.com/kapiltrip/hdlBits/blob/main/solutions/Day%2003/075-exams__ece241_2013_q2.sv","Open solution")</x:f>
        <x:v>HYPERLINK is not implemented. linkLocation=https://github.com/kapiltrip/hdlBits/blob/main/solutions/Day%2003/075-exams__ece241_2013_q2.sv, friendlyName=Open solution</x:v>
      </x:c>
      <x:c r="S80" s="153" t="e">
        <x:f>HYPERLINK("https://hdlbits.01xz.net/wiki/exams/ece241_2013_q2","HDLBits")</x:f>
        <x:v>HYPERLINK is not implemented. linkLocation=https://hdlbits.01xz.net/wiki/exams/ece241_2013_q2, friendlyName=HDLBits</x:v>
      </x:c>
      <x:c r="T80" s="162" t="str">
        <x:v>Implement both the minimum sum-of-products and minimum product-of-sums forms for the given logic function.</x:v>
      </x:c>
      <x:c r="U80" s="168"/>
    </x:row>
    <x:row r="81" ht="42" customHeight="1">
      <x:c r="A81" s="135" t="n">
        <x:v>76</x:v>
      </x:c>
      <x:c r="B81" s="136" t="str">
        <x:v>Circuits</x:v>
      </x:c>
      <x:c r="C81" s="136" t="str">
        <x:v>Combinational Logic</x:v>
      </x:c>
      <x:c r="D81" s="136" t="str">
        <x:v>Karnaugh Map to Circuit</x:v>
      </x:c>
      <x:c r="E81" s="136" t="str">
        <x:v>Karnaugh map</x:v>
      </x:c>
      <x:c r="F81" s="136" t="str">
        <x:v>exams/m2014_q3</x:v>
      </x:c>
      <x:c r="G81" s="135" t="str">
        <x:v>Completed</x:v>
      </x:c>
      <x:c r="H81" s="135" t="str">
        <x:v>Day 03</x:v>
      </x:c>
      <x:c r="I81" s="137" t="n">
        <x:v>46198.5</x:v>
      </x:c>
      <x:c r="J81" s="135" t="str">
        <x:v>5:39:50 PM</x:v>
      </x:c>
      <x:c r="K81" s="138" t="n">
        <x:v>2</x:v>
      </x:c>
      <x:c r="L81" s="138" t="n">
        <x:v>1</x:v>
      </x:c>
      <x:c r="M81" s="138" t="n">
        <x:v>0</x:v>
      </x:c>
      <x:c r="N81" s="138" t="n">
        <x:v>0</x:v>
      </x:c>
      <x:c r="O81" s="139" t="n">
        <x:v>0.5</x:v>
      </x:c>
      <x:c r="P81" s="153" t="e">
        <x:f>HYPERLINK("https://github.com/kapiltrip/hdlBits/blob/main/problems/Day%2003/076-exams__m2014_q3.md","Open note")</x:f>
        <x:v>HYPERLINK is not implemented. linkLocation=https://github.com/kapiltrip/hdlBits/blob/main/problems/Day%2003/076-exams__m2014_q3.md, friendlyName=Open note</x:v>
      </x:c>
      <x:c r="Q81" s="153" t="e">
        <x:f>HYPERLINK("https://github.com/kapiltrip/hdlBits/blob/main/images/Day%2003/076-exams__m2014_q3.png","Full-size image")</x:f>
        <x:v>HYPERLINK is not implemented. linkLocation=https://github.com/kapiltrip/hdlBits/blob/main/images/Day%2003/076-exams__m2014_q3.png, friendlyName=Full-size image</x:v>
      </x:c>
      <x:c r="R81" s="153" t="e">
        <x:f>HYPERLINK("https://github.com/kapiltrip/hdlBits/blob/main/solutions/Day%2003/076-exams__m2014_q3.sv","Open solution")</x:f>
        <x:v>HYPERLINK is not implemented. linkLocation=https://github.com/kapiltrip/hdlBits/blob/main/solutions/Day%2003/076-exams__m2014_q3.sv, friendlyName=Open solution</x:v>
      </x:c>
      <x:c r="S81" s="153" t="e">
        <x:f>HYPERLINK("https://hdlbits.01xz.net/wiki/exams/m2014_q3","HDLBits")</x:f>
        <x:v>HYPERLINK is not implemented. linkLocation=https://hdlbits.01xz.net/wiki/exams/m2014_q3, friendlyName=HDLBits</x:v>
      </x:c>
      <x:c r="T81" s="162" t="str">
        <x:v>Simplify the exam Karnaugh map and implement the resulting combinational output.</x:v>
      </x:c>
      <x:c r="U81" s="168"/>
    </x:row>
    <x:row r="82" ht="42" customHeight="1">
      <x:c r="A82" s="135" t="n">
        <x:v>77</x:v>
      </x:c>
      <x:c r="B82" s="136" t="str">
        <x:v>Circuits</x:v>
      </x:c>
      <x:c r="C82" s="136" t="str">
        <x:v>Combinational Logic</x:v>
      </x:c>
      <x:c r="D82" s="136" t="str">
        <x:v>Karnaugh Map to Circuit</x:v>
      </x:c>
      <x:c r="E82" s="136" t="str">
        <x:v>Karnaugh map</x:v>
      </x:c>
      <x:c r="F82" s="136" t="str">
        <x:v>exams/2012_q1g</x:v>
      </x:c>
      <x:c r="G82" s="135" t="str">
        <x:v>Completed</x:v>
      </x:c>
      <x:c r="H82" s="135" t="str">
        <x:v>Day 03</x:v>
      </x:c>
      <x:c r="I82" s="137" t="n">
        <x:v>46198.5</x:v>
      </x:c>
      <x:c r="J82" s="135" t="str">
        <x:v>10:17:24 PM</x:v>
      </x:c>
      <x:c r="K82" s="138" t="n">
        <x:v>1</x:v>
      </x:c>
      <x:c r="L82" s="138" t="n">
        <x:v>0</x:v>
      </x:c>
      <x:c r="M82" s="138" t="n">
        <x:v>0</x:v>
      </x:c>
      <x:c r="N82" s="138" t="n">
        <x:v>0</x:v>
      </x:c>
      <x:c r="O82" s="139" t="n">
        <x:v>1</x:v>
      </x:c>
      <x:c r="P82" s="153" t="e">
        <x:f>HYPERLINK("https://github.com/kapiltrip/hdlBits/blob/main/problems/Day%2003/077-exams__2012_q1g.md","Open note")</x:f>
        <x:v>HYPERLINK is not implemented. linkLocation=https://github.com/kapiltrip/hdlBits/blob/main/problems/Day%2003/077-exams__2012_q1g.md, friendlyName=Open note</x:v>
      </x:c>
      <x:c r="Q82" s="153" t="e">
        <x:f>HYPERLINK("https://github.com/kapiltrip/hdlBits/blob/main/images/Day%2003/077-exams__2012_q1g.png","Full-size image")</x:f>
        <x:v>HYPERLINK is not implemented. linkLocation=https://github.com/kapiltrip/hdlBits/blob/main/images/Day%2003/077-exams__2012_q1g.png, friendlyName=Full-size image</x:v>
      </x:c>
      <x:c r="R82" s="153" t="e">
        <x:f>HYPERLINK("https://github.com/kapiltrip/hdlBits/blob/main/solutions/Day%2003/077-exams__2012_q1g.sv","Open solution")</x:f>
        <x:v>HYPERLINK is not implemented. linkLocation=https://github.com/kapiltrip/hdlBits/blob/main/solutions/Day%2003/077-exams__2012_q1g.sv, friendlyName=Open solution</x:v>
      </x:c>
      <x:c r="S82" s="153" t="e">
        <x:f>HYPERLINK("https://hdlbits.01xz.net/wiki/exams/2012_q1g","HDLBits")</x:f>
        <x:v>HYPERLINK is not implemented. linkLocation=https://hdlbits.01xz.net/wiki/exams/2012_q1g, friendlyName=HDLBits</x:v>
      </x:c>
      <x:c r="T82" s="162" t="str">
        <x:v>Convert the supplied Karnaugh map, including any don't-care conditions, into simplified logic.</x:v>
      </x:c>
      <x:c r="U82" s="168"/>
    </x:row>
    <x:row r="83" ht="42" customHeight="1">
      <x:c r="A83" s="135" t="n">
        <x:v>78</x:v>
      </x:c>
      <x:c r="B83" s="136" t="str">
        <x:v>Circuits</x:v>
      </x:c>
      <x:c r="C83" s="136" t="str">
        <x:v>Combinational Logic</x:v>
      </x:c>
      <x:c r="D83" s="136" t="str">
        <x:v>Karnaugh Map to Circuit</x:v>
      </x:c>
      <x:c r="E83" s="136" t="str">
        <x:v>K-map implemented with a multiplexer</x:v>
      </x:c>
      <x:c r="F83" s="136" t="str">
        <x:v>exams/ece241_2014_q3</x:v>
      </x:c>
      <x:c r="G83" s="135" t="str">
        <x:v>Completed</x:v>
      </x:c>
      <x:c r="H83" s="135" t="str">
        <x:v>Day 03</x:v>
      </x:c>
      <x:c r="I83" s="137" t="n">
        <x:v>46198.5</x:v>
      </x:c>
      <x:c r="J83" s="135" t="str">
        <x:v>10:07:59 PM</x:v>
      </x:c>
      <x:c r="K83" s="138" t="n">
        <x:v>4</x:v>
      </x:c>
      <x:c r="L83" s="138" t="n">
        <x:v>2</x:v>
      </x:c>
      <x:c r="M83" s="138" t="n">
        <x:v>1</x:v>
      </x:c>
      <x:c r="N83" s="138" t="n">
        <x:v>0</x:v>
      </x:c>
      <x:c r="O83" s="139" t="n">
        <x:v>0.25</x:v>
      </x:c>
      <x:c r="P83" s="153" t="e">
        <x:f>HYPERLINK("https://github.com/kapiltrip/hdlBits/blob/main/problems/Day%2003/078-exams__ece241_2014_q3.md","Open note")</x:f>
        <x:v>HYPERLINK is not implemented. linkLocation=https://github.com/kapiltrip/hdlBits/blob/main/problems/Day%2003/078-exams__ece241_2014_q3.md, friendlyName=Open note</x:v>
      </x:c>
      <x:c r="Q83" s="153" t="e">
        <x:f>HYPERLINK("https://github.com/kapiltrip/hdlBits/blob/main/images/Day%2003/078-exams__ece241_2014_q3.png","Full-size image")</x:f>
        <x:v>HYPERLINK is not implemented. linkLocation=https://github.com/kapiltrip/hdlBits/blob/main/images/Day%2003/078-exams__ece241_2014_q3.png, friendlyName=Full-size image</x:v>
      </x:c>
      <x:c r="R83" s="153" t="e">
        <x:f>HYPERLINK("https://github.com/kapiltrip/hdlBits/blob/main/solutions/Day%2003/078-exams__ece241_2014_q3.sv","Open solution")</x:f>
        <x:v>HYPERLINK is not implemented. linkLocation=https://github.com/kapiltrip/hdlBits/blob/main/solutions/Day%2003/078-exams__ece241_2014_q3.sv, friendlyName=Open solution</x:v>
      </x:c>
      <x:c r="S83" s="153" t="e">
        <x:f>HYPERLINK("https://hdlbits.01xz.net/wiki/exams/ece241_2014_q3","HDLBits")</x:f>
        <x:v>HYPERLINK is not implemented. linkLocation=https://hdlbits.01xz.net/wiki/exams/ece241_2014_q3, friendlyName=HDLBits</x:v>
      </x:c>
      <x:c r="T83" s="162" t="str">
        <x:v>Implement the Karnaugh-map function using the specified multiplexer structure and input assignments.</x:v>
      </x:c>
      <x:c r="U83" s="168"/>
    </x:row>
    <x:row r="84" ht="42" customHeight="1">
      <x:c r="A84" s="135" t="n">
        <x:v>79</x:v>
      </x:c>
      <x:c r="B84" s="136" t="str">
        <x:v>Circuits</x:v>
      </x:c>
      <x:c r="C84" s="136" t="str">
        <x:v>Sequential Logic</x:v>
      </x:c>
      <x:c r="D84" s="136" t="str">
        <x:v>Latches and Flip-Flops</x:v>
      </x:c>
      <x:c r="E84" s="136" t="str">
        <x:v>D flip-flop</x:v>
      </x:c>
      <x:c r="F84" s="136" t="str">
        <x:v>dff</x:v>
      </x:c>
      <x:c r="G84" s="135" t="str">
        <x:v>Completed</x:v>
      </x:c>
      <x:c r="H84" s="135" t="str">
        <x:v>Day 03</x:v>
      </x:c>
      <x:c r="I84" s="137" t="n">
        <x:v>46198.5</x:v>
      </x:c>
      <x:c r="J84" s="135" t="str">
        <x:v>10:21:47 PM</x:v>
      </x:c>
      <x:c r="K84" s="138" t="n">
        <x:v>1</x:v>
      </x:c>
      <x:c r="L84" s="138" t="n">
        <x:v>0</x:v>
      </x:c>
      <x:c r="M84" s="138" t="n">
        <x:v>0</x:v>
      </x:c>
      <x:c r="N84" s="138" t="n">
        <x:v>0</x:v>
      </x:c>
      <x:c r="O84" s="139" t="n">
        <x:v>1</x:v>
      </x:c>
      <x:c r="P84" s="153" t="e">
        <x:f>HYPERLINK("https://github.com/kapiltrip/hdlBits/blob/main/problems/Day%2003/079-dff.md","Open note")</x:f>
        <x:v>HYPERLINK is not implemented. linkLocation=https://github.com/kapiltrip/hdlBits/blob/main/problems/Day%2003/079-dff.md, friendlyName=Open note</x:v>
      </x:c>
      <x:c r="Q84" s="153" t="e">
        <x:f>HYPERLINK("https://github.com/kapiltrip/hdlBits/blob/main/images/Day%2003/079-dff.png","Full-size image")</x:f>
        <x:v>HYPERLINK is not implemented. linkLocation=https://github.com/kapiltrip/hdlBits/blob/main/images/Day%2003/079-dff.png, friendlyName=Full-size image</x:v>
      </x:c>
      <x:c r="R84" s="153" t="e">
        <x:f>HYPERLINK("https://github.com/kapiltrip/hdlBits/blob/main/solutions/Day%2003/079-dff.sv","Open solution")</x:f>
        <x:v>HYPERLINK is not implemented. linkLocation=https://github.com/kapiltrip/hdlBits/blob/main/solutions/Day%2003/079-dff.sv, friendlyName=Open solution</x:v>
      </x:c>
      <x:c r="S84" s="153" t="e">
        <x:f>HYPERLINK("https://hdlbits.01xz.net/wiki/dff","HDLBits")</x:f>
        <x:v>HYPERLINK is not implemented. linkLocation=https://hdlbits.01xz.net/wiki/dff, friendlyName=HDLBits</x:v>
      </x:c>
      <x:c r="T84" s="162" t="str">
        <x:v>Create a positive-edge-triggered D flip-flop that stores the input value on each rising clock edge.</x:v>
      </x:c>
      <x:c r="U84" s="168"/>
    </x:row>
    <x:row r="85" ht="42" customHeight="1">
      <x:c r="A85" s="135" t="n">
        <x:v>80</x:v>
      </x:c>
      <x:c r="B85" s="136" t="str">
        <x:v>Circuits</x:v>
      </x:c>
      <x:c r="C85" s="136" t="str">
        <x:v>Sequential Logic</x:v>
      </x:c>
      <x:c r="D85" s="136" t="str">
        <x:v>Latches and Flip-Flops</x:v>
      </x:c>
      <x:c r="E85" s="136" t="str">
        <x:v>D flip-flops</x:v>
      </x:c>
      <x:c r="F85" s="136" t="str">
        <x:v>dff8</x:v>
      </x:c>
      <x:c r="G85" s="135" t="str">
        <x:v>Completed</x:v>
      </x:c>
      <x:c r="H85" s="135" t="str">
        <x:v>Day 03</x:v>
      </x:c>
      <x:c r="I85" s="137" t="n">
        <x:v>46198.5</x:v>
      </x:c>
      <x:c r="J85" s="135" t="str">
        <x:v>10:22:47 PM</x:v>
      </x:c>
      <x:c r="K85" s="138" t="n">
        <x:v>1</x:v>
      </x:c>
      <x:c r="L85" s="138" t="n">
        <x:v>0</x:v>
      </x:c>
      <x:c r="M85" s="138" t="n">
        <x:v>0</x:v>
      </x:c>
      <x:c r="N85" s="138" t="n">
        <x:v>0</x:v>
      </x:c>
      <x:c r="O85" s="139" t="n">
        <x:v>1</x:v>
      </x:c>
      <x:c r="P85" s="153" t="e">
        <x:f>HYPERLINK("https://github.com/kapiltrip/hdlBits/blob/main/problems/Day%2003/080-dff8.md","Open note")</x:f>
        <x:v>HYPERLINK is not implemented. linkLocation=https://github.com/kapiltrip/hdlBits/blob/main/problems/Day%2003/080-dff8.md, friendlyName=Open note</x:v>
      </x:c>
      <x:c r="Q85" s="153" t="e">
        <x:f>HYPERLINK("https://github.com/kapiltrip/hdlBits/blob/main/images/Day%2003/080-dff8.png","Full-size image")</x:f>
        <x:v>HYPERLINK is not implemented. linkLocation=https://github.com/kapiltrip/hdlBits/blob/main/images/Day%2003/080-dff8.png, friendlyName=Full-size image</x:v>
      </x:c>
      <x:c r="R85" s="153" t="e">
        <x:f>HYPERLINK("https://github.com/kapiltrip/hdlBits/blob/main/solutions/Day%2003/080-dff8.sv","Open solution")</x:f>
        <x:v>HYPERLINK is not implemented. linkLocation=https://github.com/kapiltrip/hdlBits/blob/main/solutions/Day%2003/080-dff8.sv, friendlyName=Open solution</x:v>
      </x:c>
      <x:c r="S85" s="153" t="e">
        <x:f>HYPERLINK("https://hdlbits.01xz.net/wiki/dff8","HDLBits")</x:f>
        <x:v>HYPERLINK is not implemented. linkLocation=https://hdlbits.01xz.net/wiki/dff8, friendlyName=HDLBits</x:v>
      </x:c>
      <x:c r="T85" s="162" t="str">
        <x:v>Create eight D flip-flops in parallel so an entire 8-bit vector is registered on the rising clock edge.</x:v>
      </x:c>
      <x:c r="U85" s="168"/>
    </x:row>
    <x:row r="86" ht="42" customHeight="1">
      <x:c r="A86" s="135" t="n">
        <x:v>81</x:v>
      </x:c>
      <x:c r="B86" s="136" t="str">
        <x:v>Circuits</x:v>
      </x:c>
      <x:c r="C86" s="136" t="str">
        <x:v>Sequential Logic</x:v>
      </x:c>
      <x:c r="D86" s="136" t="str">
        <x:v>Latches and Flip-Flops</x:v>
      </x:c>
      <x:c r="E86" s="136" t="str">
        <x:v>DFF with reset</x:v>
      </x:c>
      <x:c r="F86" s="136" t="str">
        <x:v>dff8r</x:v>
      </x:c>
      <x:c r="G86" s="135" t="str">
        <x:v>Completed</x:v>
      </x:c>
      <x:c r="H86" s="135" t="str">
        <x:v>Day 03</x:v>
      </x:c>
      <x:c r="I86" s="137" t="n">
        <x:v>46198.5</x:v>
      </x:c>
      <x:c r="J86" s="135" t="str">
        <x:v>10:25:54 PM</x:v>
      </x:c>
      <x:c r="K86" s="138" t="n">
        <x:v>2</x:v>
      </x:c>
      <x:c r="L86" s="138" t="n">
        <x:v>1</x:v>
      </x:c>
      <x:c r="M86" s="138" t="n">
        <x:v>0</x:v>
      </x:c>
      <x:c r="N86" s="138" t="n">
        <x:v>0</x:v>
      </x:c>
      <x:c r="O86" s="139" t="n">
        <x:v>0.5</x:v>
      </x:c>
      <x:c r="P86" s="153" t="e">
        <x:f>HYPERLINK("https://github.com/kapiltrip/hdlBits/blob/main/problems/Day%2003/081-dff8r.md","Open note")</x:f>
        <x:v>HYPERLINK is not implemented. linkLocation=https://github.com/kapiltrip/hdlBits/blob/main/problems/Day%2003/081-dff8r.md, friendlyName=Open note</x:v>
      </x:c>
      <x:c r="Q86" s="153" t="e">
        <x:f>HYPERLINK("https://github.com/kapiltrip/hdlBits/blob/main/images/Day%2003/081-dff8r.png","Full-size image")</x:f>
        <x:v>HYPERLINK is not implemented. linkLocation=https://github.com/kapiltrip/hdlBits/blob/main/images/Day%2003/081-dff8r.png, friendlyName=Full-size image</x:v>
      </x:c>
      <x:c r="R86" s="153" t="e">
        <x:f>HYPERLINK("https://github.com/kapiltrip/hdlBits/blob/main/solutions/Day%2003/081-dff8r.sv","Open solution")</x:f>
        <x:v>HYPERLINK is not implemented. linkLocation=https://github.com/kapiltrip/hdlBits/blob/main/solutions/Day%2003/081-dff8r.sv, friendlyName=Open solution</x:v>
      </x:c>
      <x:c r="S86" s="153" t="e">
        <x:f>HYPERLINK("https://hdlbits.01xz.net/wiki/dff8r","HDLBits")</x:f>
        <x:v>HYPERLINK is not implemented. linkLocation=https://hdlbits.01xz.net/wiki/dff8r, friendlyName=HDLBits</x:v>
      </x:c>
      <x:c r="T86" s="162" t="str">
        <x:v>Add a synchronous reset to an 8-bit register so reset is sampled on the active clock edge.</x:v>
      </x:c>
      <x:c r="U86" s="168"/>
    </x:row>
    <x:row r="87" ht="42" customHeight="1">
      <x:c r="A87" s="135" t="n">
        <x:v>82</x:v>
      </x:c>
      <x:c r="B87" s="136" t="str">
        <x:v>Circuits</x:v>
      </x:c>
      <x:c r="C87" s="136" t="str">
        <x:v>Sequential Logic</x:v>
      </x:c>
      <x:c r="D87" s="136" t="str">
        <x:v>Latches and Flip-Flops</x:v>
      </x:c>
      <x:c r="E87" s="136" t="str">
        <x:v>DFF with reset value</x:v>
      </x:c>
      <x:c r="F87" s="136" t="str">
        <x:v>dff8p</x:v>
      </x:c>
      <x:c r="G87" s="135" t="str">
        <x:v>Completed</x:v>
      </x:c>
      <x:c r="H87" s="135" t="str">
        <x:v>Day 03</x:v>
      </x:c>
      <x:c r="I87" s="137" t="n">
        <x:v>46198.5</x:v>
      </x:c>
      <x:c r="J87" s="135" t="str">
        <x:v>10:28:00 PM</x:v>
      </x:c>
      <x:c r="K87" s="138" t="n">
        <x:v>2</x:v>
      </x:c>
      <x:c r="L87" s="138" t="n">
        <x:v>1</x:v>
      </x:c>
      <x:c r="M87" s="138" t="n">
        <x:v>0</x:v>
      </x:c>
      <x:c r="N87" s="138" t="n">
        <x:v>0</x:v>
      </x:c>
      <x:c r="O87" s="139" t="n">
        <x:v>0.5</x:v>
      </x:c>
      <x:c r="P87" s="153" t="e">
        <x:f>HYPERLINK("https://github.com/kapiltrip/hdlBits/blob/main/problems/Day%2003/082-dff8p.md","Open note")</x:f>
        <x:v>HYPERLINK is not implemented. linkLocation=https://github.com/kapiltrip/hdlBits/blob/main/problems/Day%2003/082-dff8p.md, friendlyName=Open note</x:v>
      </x:c>
      <x:c r="Q87" s="153" t="e">
        <x:f>HYPERLINK("https://github.com/kapiltrip/hdlBits/blob/main/images/Day%2003/082-dff8p.png","Full-size image")</x:f>
        <x:v>HYPERLINK is not implemented. linkLocation=https://github.com/kapiltrip/hdlBits/blob/main/images/Day%2003/082-dff8p.png, friendlyName=Full-size image</x:v>
      </x:c>
      <x:c r="R87" s="153" t="e">
        <x:f>HYPERLINK("https://github.com/kapiltrip/hdlBits/blob/main/solutions/Day%2003/082-dff8p.sv","Open solution")</x:f>
        <x:v>HYPERLINK is not implemented. linkLocation=https://github.com/kapiltrip/hdlBits/blob/main/solutions/Day%2003/082-dff8p.sv, friendlyName=Open solution</x:v>
      </x:c>
      <x:c r="S87" s="153" t="e">
        <x:f>HYPERLINK("https://hdlbits.01xz.net/wiki/dff8p","HDLBits")</x:f>
        <x:v>HYPERLINK is not implemented. linkLocation=https://hdlbits.01xz.net/wiki/dff8p, friendlyName=HDLBits</x:v>
      </x:c>
      <x:c r="T87" s="162" t="str">
        <x:v>Create an 8-bit register whose synchronous reset loads the specified non-zero reset value.</x:v>
      </x:c>
      <x:c r="U87" s="168"/>
    </x:row>
    <x:row r="88" ht="42" customHeight="1">
      <x:c r="A88" s="135" t="n">
        <x:v>83</x:v>
      </x:c>
      <x:c r="B88" s="136" t="str">
        <x:v>Circuits</x:v>
      </x:c>
      <x:c r="C88" s="136" t="str">
        <x:v>Sequential Logic</x:v>
      </x:c>
      <x:c r="D88" s="136" t="str">
        <x:v>Latches and Flip-Flops</x:v>
      </x:c>
      <x:c r="E88" s="136" t="str">
        <x:v>DFF with asynchronous reset</x:v>
      </x:c>
      <x:c r="F88" s="136" t="str">
        <x:v>dff8ar</x:v>
      </x:c>
      <x:c r="G88" s="135" t="str">
        <x:v>Completed</x:v>
      </x:c>
      <x:c r="H88" s="135" t="str">
        <x:v>Day 03</x:v>
      </x:c>
      <x:c r="I88" s="137" t="n">
        <x:v>46198.5</x:v>
      </x:c>
      <x:c r="J88" s="135" t="str">
        <x:v>10:29:11 PM</x:v>
      </x:c>
      <x:c r="K88" s="138" t="n">
        <x:v>2</x:v>
      </x:c>
      <x:c r="L88" s="138" t="n">
        <x:v>0</x:v>
      </x:c>
      <x:c r="M88" s="138" t="n">
        <x:v>1</x:v>
      </x:c>
      <x:c r="N88" s="138" t="n">
        <x:v>0</x:v>
      </x:c>
      <x:c r="O88" s="139" t="n">
        <x:v>0.5</x:v>
      </x:c>
      <x:c r="P88" s="153" t="e">
        <x:f>HYPERLINK("https://github.com/kapiltrip/hdlBits/blob/main/problems/Day%2003/083-dff8ar.md","Open note")</x:f>
        <x:v>HYPERLINK is not implemented. linkLocation=https://github.com/kapiltrip/hdlBits/blob/main/problems/Day%2003/083-dff8ar.md, friendlyName=Open note</x:v>
      </x:c>
      <x:c r="Q88" s="153" t="e">
        <x:f>HYPERLINK("https://github.com/kapiltrip/hdlBits/blob/main/images/Day%2003/083-dff8ar.png","Full-size image")</x:f>
        <x:v>HYPERLINK is not implemented. linkLocation=https://github.com/kapiltrip/hdlBits/blob/main/images/Day%2003/083-dff8ar.png, friendlyName=Full-size image</x:v>
      </x:c>
      <x:c r="R88" s="153" t="e">
        <x:f>HYPERLINK("https://github.com/kapiltrip/hdlBits/blob/main/solutions/Day%2003/083-dff8ar.sv","Open solution")</x:f>
        <x:v>HYPERLINK is not implemented. linkLocation=https://github.com/kapiltrip/hdlBits/blob/main/solutions/Day%2003/083-dff8ar.sv, friendlyName=Open solution</x:v>
      </x:c>
      <x:c r="S88" s="153" t="e">
        <x:f>HYPERLINK("https://hdlbits.01xz.net/wiki/dff8ar","HDLBits")</x:f>
        <x:v>HYPERLINK is not implemented. linkLocation=https://hdlbits.01xz.net/wiki/dff8ar, friendlyName=HDLBits</x:v>
      </x:c>
      <x:c r="T88" s="162" t="str">
        <x:v>Create an 8-bit register with asynchronous reset, allowing reset to change the output without waiting for a clock edge.</x:v>
      </x:c>
      <x:c r="U88" s="168"/>
    </x:row>
    <x:row r="89" ht="42" customHeight="1">
      <x:c r="A89" s="135" t="n">
        <x:v>84</x:v>
      </x:c>
      <x:c r="B89" s="136" t="str">
        <x:v>Circuits</x:v>
      </x:c>
      <x:c r="C89" s="136" t="str">
        <x:v>Sequential Logic</x:v>
      </x:c>
      <x:c r="D89" s="136" t="str">
        <x:v>Latches and Flip-Flops</x:v>
      </x:c>
      <x:c r="E89" s="136" t="str">
        <x:v>DFF with byte enable</x:v>
      </x:c>
      <x:c r="F89" s="136" t="str">
        <x:v>dff16e</x:v>
      </x:c>
      <x:c r="G89" s="135" t="str">
        <x:v>Completed</x:v>
      </x:c>
      <x:c r="H89" s="135" t="str">
        <x:v>Day 03</x:v>
      </x:c>
      <x:c r="I89" s="137" t="n">
        <x:v>46198.5</x:v>
      </x:c>
      <x:c r="J89" s="135" t="str">
        <x:v>10:53:33 PM</x:v>
      </x:c>
      <x:c r="K89" s="138" t="n">
        <x:v>9</x:v>
      </x:c>
      <x:c r="L89" s="138" t="n">
        <x:v>8</x:v>
      </x:c>
      <x:c r="M89" s="138" t="n">
        <x:v>0</x:v>
      </x:c>
      <x:c r="N89" s="138" t="n">
        <x:v>0</x:v>
      </x:c>
      <x:c r="O89" s="139" t="n">
        <x:v>0.11</x:v>
      </x:c>
      <x:c r="P89" s="153" t="e">
        <x:f>HYPERLINK("https://github.com/kapiltrip/hdlBits/blob/main/problems/Day%2003/084-dff16e.md","Open note")</x:f>
        <x:v>HYPERLINK is not implemented. linkLocation=https://github.com/kapiltrip/hdlBits/blob/main/problems/Day%2003/084-dff16e.md, friendlyName=Open note</x:v>
      </x:c>
      <x:c r="Q89" s="153" t="e">
        <x:f>HYPERLINK("https://github.com/kapiltrip/hdlBits/blob/main/images/Day%2003/084-dff16e.png","Full-size image")</x:f>
        <x:v>HYPERLINK is not implemented. linkLocation=https://github.com/kapiltrip/hdlBits/blob/main/images/Day%2003/084-dff16e.png, friendlyName=Full-size image</x:v>
      </x:c>
      <x:c r="R89" s="153" t="e">
        <x:f>HYPERLINK("https://github.com/kapiltrip/hdlBits/blob/main/solutions/Day%2003/084-dff16e.sv","Open solution")</x:f>
        <x:v>HYPERLINK is not implemented. linkLocation=https://github.com/kapiltrip/hdlBits/blob/main/solutions/Day%2003/084-dff16e.sv, friendlyName=Open solution</x:v>
      </x:c>
      <x:c r="S89" s="153" t="e">
        <x:f>HYPERLINK("https://hdlbits.01xz.net/wiki/dff16e","HDLBits")</x:f>
        <x:v>HYPERLINK is not implemented. linkLocation=https://hdlbits.01xz.net/wiki/dff16e, friendlyName=HDLBits</x:v>
      </x:c>
      <x:c r="T89" s="162" t="str">
        <x:v>Build a 16-bit register with synchronous reset and independent byte-enable controls for its upper and lower bytes.</x:v>
      </x:c>
      <x:c r="U89" s="168"/>
    </x:row>
    <x:row r="90" ht="42" customHeight="1">
      <x:c r="A90" s="135" t="n">
        <x:v>85</x:v>
      </x:c>
      <x:c r="B90" s="136" t="str">
        <x:v>Circuits</x:v>
      </x:c>
      <x:c r="C90" s="136" t="str">
        <x:v>Sequential Logic</x:v>
      </x:c>
      <x:c r="D90" s="136" t="str">
        <x:v>Latches and Flip-Flops</x:v>
      </x:c>
      <x:c r="E90" s="136" t="str">
        <x:v>D Latch</x:v>
      </x:c>
      <x:c r="F90" s="136" t="str">
        <x:v>exams/m2014_q4a</x:v>
      </x:c>
      <x:c r="G90" s="135" t="str">
        <x:v>Completed</x:v>
      </x:c>
      <x:c r="H90" s="135" t="str">
        <x:v>Day 03</x:v>
      </x:c>
      <x:c r="I90" s="137" t="n">
        <x:v>46198.5</x:v>
      </x:c>
      <x:c r="J90" s="135" t="str">
        <x:v>11:13:53 PM</x:v>
      </x:c>
      <x:c r="K90" s="138" t="n">
        <x:v>8</x:v>
      </x:c>
      <x:c r="L90" s="138" t="n">
        <x:v>7</x:v>
      </x:c>
      <x:c r="M90" s="138" t="n">
        <x:v>0</x:v>
      </x:c>
      <x:c r="N90" s="138" t="n">
        <x:v>0</x:v>
      </x:c>
      <x:c r="O90" s="139" t="n">
        <x:v>0.13</x:v>
      </x:c>
      <x:c r="P90" s="153" t="e">
        <x:f>HYPERLINK("https://github.com/kapiltrip/hdlBits/blob/main/problems/Day%2003/085-exams__m2014_q4a.md","Open note")</x:f>
        <x:v>HYPERLINK is not implemented. linkLocation=https://github.com/kapiltrip/hdlBits/blob/main/problems/Day%2003/085-exams__m2014_q4a.md, friendlyName=Open note</x:v>
      </x:c>
      <x:c r="Q90" s="153" t="e">
        <x:f>HYPERLINK("https://github.com/kapiltrip/hdlBits/blob/main/images/Day%2003/085-exams__m2014_q4a.png","Full-size image")</x:f>
        <x:v>HYPERLINK is not implemented. linkLocation=https://github.com/kapiltrip/hdlBits/blob/main/images/Day%2003/085-exams__m2014_q4a.png, friendlyName=Full-size image</x:v>
      </x:c>
      <x:c r="R90" s="153" t="e">
        <x:f>HYPERLINK("https://github.com/kapiltrip/hdlBits/blob/main/solutions/Day%2003/085-exams__m2014_q4a.sv","Open solution")</x:f>
        <x:v>HYPERLINK is not implemented. linkLocation=https://github.com/kapiltrip/hdlBits/blob/main/solutions/Day%2003/085-exams__m2014_q4a.sv, friendlyName=Open solution</x:v>
      </x:c>
      <x:c r="S90" s="153" t="e">
        <x:f>HYPERLINK("https://hdlbits.01xz.net/wiki/exams/m2014_q4a","HDLBits")</x:f>
        <x:v>HYPERLINK is not implemented. linkLocation=https://hdlbits.01xz.net/wiki/exams/m2014_q4a, friendlyName=HDLBits</x:v>
      </x:c>
      <x:c r="T90" s="162" t="str">
        <x:v>Model the level-sensitive D latch shown in the exam circuit.</x:v>
      </x:c>
      <x:c r="U90" s="168"/>
    </x:row>
    <x:row r="91" ht="42" customHeight="1">
      <x:c r="A91" s="135" t="n">
        <x:v>86</x:v>
      </x:c>
      <x:c r="B91" s="136" t="str">
        <x:v>Circuits</x:v>
      </x:c>
      <x:c r="C91" s="136" t="str">
        <x:v>Sequential Logic</x:v>
      </x:c>
      <x:c r="D91" s="136" t="str">
        <x:v>Latches and Flip-Flops</x:v>
      </x:c>
      <x:c r="E91" s="136" t="str">
        <x:v>DFF</x:v>
      </x:c>
      <x:c r="F91" s="136" t="str">
        <x:v>exams/m2014_q4b</x:v>
      </x:c>
      <x:c r="G91" s="135" t="str">
        <x:v>Completed</x:v>
      </x:c>
      <x:c r="H91" s="135" t="str">
        <x:v>Day 03</x:v>
      </x:c>
      <x:c r="I91" s="137" t="n">
        <x:v>46198.5</x:v>
      </x:c>
      <x:c r="J91" s="135" t="str">
        <x:v>10:43:06 PM</x:v>
      </x:c>
      <x:c r="K91" s="138" t="n">
        <x:v>1</x:v>
      </x:c>
      <x:c r="L91" s="138" t="n">
        <x:v>0</x:v>
      </x:c>
      <x:c r="M91" s="138" t="n">
        <x:v>0</x:v>
      </x:c>
      <x:c r="N91" s="138" t="n">
        <x:v>0</x:v>
      </x:c>
      <x:c r="O91" s="139" t="n">
        <x:v>1</x:v>
      </x:c>
      <x:c r="P91" s="153" t="e">
        <x:f>HYPERLINK("https://github.com/kapiltrip/hdlBits/blob/main/problems/Day%2003/086-exams__m2014_q4b.md","Open note")</x:f>
        <x:v>HYPERLINK is not implemented. linkLocation=https://github.com/kapiltrip/hdlBits/blob/main/problems/Day%2003/086-exams__m2014_q4b.md, friendlyName=Open note</x:v>
      </x:c>
      <x:c r="Q91" s="153" t="e">
        <x:f>HYPERLINK("https://github.com/kapiltrip/hdlBits/blob/main/images/Day%2003/086-exams__m2014_q4b.png","Full-size image")</x:f>
        <x:v>HYPERLINK is not implemented. linkLocation=https://github.com/kapiltrip/hdlBits/blob/main/images/Day%2003/086-exams__m2014_q4b.png, friendlyName=Full-size image</x:v>
      </x:c>
      <x:c r="R91" s="153" t="e">
        <x:f>HYPERLINK("https://github.com/kapiltrip/hdlBits/blob/main/solutions/Day%2003/086-exams__m2014_q4b.sv","Open solution")</x:f>
        <x:v>HYPERLINK is not implemented. linkLocation=https://github.com/kapiltrip/hdlBits/blob/main/solutions/Day%2003/086-exams__m2014_q4b.sv, friendlyName=Open solution</x:v>
      </x:c>
      <x:c r="S91" s="153" t="e">
        <x:f>HYPERLINK("https://hdlbits.01xz.net/wiki/exams/m2014_q4b","HDLBits")</x:f>
        <x:v>HYPERLINK is not implemented. linkLocation=https://hdlbits.01xz.net/wiki/exams/m2014_q4b, friendlyName=HDLBits</x:v>
      </x:c>
      <x:c r="T91" s="162" t="str">
        <x:v>Model the positive-edge-triggered D flip-flop shown in the exam circuit.</x:v>
      </x:c>
      <x:c r="U91" s="168"/>
    </x:row>
    <x:row r="92" ht="42" customHeight="1">
      <x:c r="A92" s="135" t="n">
        <x:v>87</x:v>
      </x:c>
      <x:c r="B92" s="136" t="str">
        <x:v>Circuits</x:v>
      </x:c>
      <x:c r="C92" s="136" t="str">
        <x:v>Sequential Logic</x:v>
      </x:c>
      <x:c r="D92" s="136" t="str">
        <x:v>Latches and Flip-Flops</x:v>
      </x:c>
      <x:c r="E92" s="136" t="str">
        <x:v>DFF</x:v>
      </x:c>
      <x:c r="F92" s="136" t="str">
        <x:v>exams/m2014_q4c</x:v>
      </x:c>
      <x:c r="G92" s="135" t="str">
        <x:v>Completed</x:v>
      </x:c>
      <x:c r="H92" s="135" t="str">
        <x:v>Day 03</x:v>
      </x:c>
      <x:c r="I92" s="137" t="n">
        <x:v>46198.5</x:v>
      </x:c>
      <x:c r="J92" s="135" t="str">
        <x:v>10:56:24 PM</x:v>
      </x:c>
      <x:c r="K92" s="138" t="n">
        <x:v>1</x:v>
      </x:c>
      <x:c r="L92" s="138" t="n">
        <x:v>0</x:v>
      </x:c>
      <x:c r="M92" s="138" t="n">
        <x:v>0</x:v>
      </x:c>
      <x:c r="N92" s="138" t="n">
        <x:v>0</x:v>
      </x:c>
      <x:c r="O92" s="139" t="n">
        <x:v>1</x:v>
      </x:c>
      <x:c r="P92" s="153" t="e">
        <x:f>HYPERLINK("https://github.com/kapiltrip/hdlBits/blob/main/problems/Day%2003/087-exams__m2014_q4c.md","Open note")</x:f>
        <x:v>HYPERLINK is not implemented. linkLocation=https://github.com/kapiltrip/hdlBits/blob/main/problems/Day%2003/087-exams__m2014_q4c.md, friendlyName=Open note</x:v>
      </x:c>
      <x:c r="Q92" s="153" t="e">
        <x:f>HYPERLINK("https://github.com/kapiltrip/hdlBits/blob/main/images/Day%2003/087-exams__m2014_q4c.png","Full-size image")</x:f>
        <x:v>HYPERLINK is not implemented. linkLocation=https://github.com/kapiltrip/hdlBits/blob/main/images/Day%2003/087-exams__m2014_q4c.png, friendlyName=Full-size image</x:v>
      </x:c>
      <x:c r="R92" s="153" t="e">
        <x:f>HYPERLINK("https://github.com/kapiltrip/hdlBits/blob/main/solutions/Day%2003/087-exams__m2014_q4c.sv","Open solution")</x:f>
        <x:v>HYPERLINK is not implemented. linkLocation=https://github.com/kapiltrip/hdlBits/blob/main/solutions/Day%2003/087-exams__m2014_q4c.sv, friendlyName=Open solution</x:v>
      </x:c>
      <x:c r="S92" s="153" t="e">
        <x:f>HYPERLINK("https://hdlbits.01xz.net/wiki/exams/m2014_q4c","HDLBits")</x:f>
        <x:v>HYPERLINK is not implemented. linkLocation=https://hdlbits.01xz.net/wiki/exams/m2014_q4c, friendlyName=HDLBits</x:v>
      </x:c>
      <x:c r="T92" s="162" t="str">
        <x:v>Model the specified D flip-flop behaviour and its control connection from the diagram.</x:v>
      </x:c>
      <x:c r="U92" s="168"/>
    </x:row>
    <x:row r="93" ht="42" customHeight="1">
      <x:c r="A93" s="135" t="n">
        <x:v>88</x:v>
      </x:c>
      <x:c r="B93" s="136" t="str">
        <x:v>Circuits</x:v>
      </x:c>
      <x:c r="C93" s="136" t="str">
        <x:v>Sequential Logic</x:v>
      </x:c>
      <x:c r="D93" s="136" t="str">
        <x:v>Latches and Flip-Flops</x:v>
      </x:c>
      <x:c r="E93" s="136" t="str">
        <x:v>DFF+gate</x:v>
      </x:c>
      <x:c r="F93" s="136" t="str">
        <x:v>exams/m2014_q4d</x:v>
      </x:c>
      <x:c r="G93" s="135" t="str">
        <x:v>Completed</x:v>
      </x:c>
      <x:c r="H93" s="135" t="str">
        <x:v>Day 03</x:v>
      </x:c>
      <x:c r="I93" s="137" t="n">
        <x:v>46198.5</x:v>
      </x:c>
      <x:c r="J93" s="135" t="str">
        <x:v>11:16:12 PM</x:v>
      </x:c>
      <x:c r="K93" s="138" t="n">
        <x:v>5</x:v>
      </x:c>
      <x:c r="L93" s="138" t="n">
        <x:v>3</x:v>
      </x:c>
      <x:c r="M93" s="138" t="n">
        <x:v>1</x:v>
      </x:c>
      <x:c r="N93" s="138" t="n">
        <x:v>0</x:v>
      </x:c>
      <x:c r="O93" s="139" t="n">
        <x:v>0.2</x:v>
      </x:c>
      <x:c r="P93" s="153" t="e">
        <x:f>HYPERLINK("https://github.com/kapiltrip/hdlBits/blob/main/problems/Day%2003/088-exams__m2014_q4d.md","Open note")</x:f>
        <x:v>HYPERLINK is not implemented. linkLocation=https://github.com/kapiltrip/hdlBits/blob/main/problems/Day%2003/088-exams__m2014_q4d.md, friendlyName=Open note</x:v>
      </x:c>
      <x:c r="Q93" s="153" t="e">
        <x:f>HYPERLINK("https://github.com/kapiltrip/hdlBits/blob/main/images/Day%2003/088-exams__m2014_q4d.png","Full-size image")</x:f>
        <x:v>HYPERLINK is not implemented. linkLocation=https://github.com/kapiltrip/hdlBits/blob/main/images/Day%2003/088-exams__m2014_q4d.png, friendlyName=Full-size image</x:v>
      </x:c>
      <x:c r="R93" s="153" t="e">
        <x:f>HYPERLINK("https://github.com/kapiltrip/hdlBits/blob/main/solutions/Day%2003/088-exams__m2014_q4d.sv","Open solution")</x:f>
        <x:v>HYPERLINK is not implemented. linkLocation=https://github.com/kapiltrip/hdlBits/blob/main/solutions/Day%2003/088-exams__m2014_q4d.sv, friendlyName=Open solution</x:v>
      </x:c>
      <x:c r="S93" s="153" t="e">
        <x:f>HYPERLINK("https://hdlbits.01xz.net/wiki/exams/m2014_q4d","HDLBits")</x:f>
        <x:v>HYPERLINK is not implemented. linkLocation=https://hdlbits.01xz.net/wiki/exams/m2014_q4d, friendlyName=HDLBits</x:v>
      </x:c>
      <x:c r="T93" s="162" t="str">
        <x:v>Implement the shown combination of a D flip-flop and combinational gate.</x:v>
      </x:c>
      <x:c r="U93" s="168"/>
    </x:row>
    <x:row r="94" ht="42" customHeight="1">
      <x:c r="A94" s="135" t="n">
        <x:v>89</x:v>
      </x:c>
      <x:c r="B94" s="136" t="str">
        <x:v>Circuits</x:v>
      </x:c>
      <x:c r="C94" s="136" t="str">
        <x:v>Sequential Logic</x:v>
      </x:c>
      <x:c r="D94" s="136" t="str">
        <x:v>Latches and Flip-Flops</x:v>
      </x:c>
      <x:c r="E94" s="136" t="str">
        <x:v>Mux and DFF</x:v>
      </x:c>
      <x:c r="F94" s="136" t="str">
        <x:v>mt2015_muxdff</x:v>
      </x:c>
      <x:c r="G94" s="135" t="str">
        <x:v>Completed</x:v>
      </x:c>
      <x:c r="H94" s="135" t="str">
        <x:v>Day 04</x:v>
      </x:c>
      <x:c r="I94" s="137" t="n">
        <x:v>46199.5</x:v>
      </x:c>
      <x:c r="J94" s="135" t="str">
        <x:v>12:09:54 AM</x:v>
      </x:c>
      <x:c r="K94" s="138" t="n">
        <x:v>2</x:v>
      </x:c>
      <x:c r="L94" s="138" t="n">
        <x:v>0</x:v>
      </x:c>
      <x:c r="M94" s="138" t="n">
        <x:v>1</x:v>
      </x:c>
      <x:c r="N94" s="138" t="n">
        <x:v>0</x:v>
      </x:c>
      <x:c r="O94" s="139" t="n">
        <x:v>0.5</x:v>
      </x:c>
      <x:c r="P94" s="153" t="e">
        <x:f>HYPERLINK("https://github.com/kapiltrip/hdlBits/blob/main/problems/Day%2004/089-mt2015_muxdff.md","Open note")</x:f>
        <x:v>HYPERLINK is not implemented. linkLocation=https://github.com/kapiltrip/hdlBits/blob/main/problems/Day%2004/089-mt2015_muxdff.md, friendlyName=Open note</x:v>
      </x:c>
      <x:c r="Q94" s="153" t="e">
        <x:f>HYPERLINK("https://github.com/kapiltrip/hdlBits/blob/main/images/Day%2004/089-mt2015_muxdff.png","Full-size image")</x:f>
        <x:v>HYPERLINK is not implemented. linkLocation=https://github.com/kapiltrip/hdlBits/blob/main/images/Day%2004/089-mt2015_muxdff.png, friendlyName=Full-size image</x:v>
      </x:c>
      <x:c r="R94" s="153" t="e">
        <x:f>HYPERLINK("https://github.com/kapiltrip/hdlBits/blob/main/solutions/Day%2004/089-mt2015_muxdff.sv","Open solution")</x:f>
        <x:v>HYPERLINK is not implemented. linkLocation=https://github.com/kapiltrip/hdlBits/blob/main/solutions/Day%2004/089-mt2015_muxdff.sv, friendlyName=Open solution</x:v>
      </x:c>
      <x:c r="S94" s="153" t="e">
        <x:f>HYPERLINK("https://hdlbits.01xz.net/wiki/mt2015_muxdff","HDLBits")</x:f>
        <x:v>HYPERLINK is not implemented. linkLocation=https://hdlbits.01xz.net/wiki/mt2015_muxdff, friendlyName=HDLBits</x:v>
      </x:c>
      <x:c r="T94" s="162" t="str">
        <x:v>Implement the circuit in which a multiplexer chooses the value captured by a D flip-flop.</x:v>
      </x:c>
      <x:c r="U94" s="168"/>
    </x:row>
    <x:row r="95" ht="42" customHeight="1">
      <x:c r="A95" s="135" t="n">
        <x:v>90</x:v>
      </x:c>
      <x:c r="B95" s="136" t="str">
        <x:v>Circuits</x:v>
      </x:c>
      <x:c r="C95" s="136" t="str">
        <x:v>Sequential Logic</x:v>
      </x:c>
      <x:c r="D95" s="136" t="str">
        <x:v>Latches and Flip-Flops</x:v>
      </x:c>
      <x:c r="E95" s="136" t="str">
        <x:v>Mux and DFF</x:v>
      </x:c>
      <x:c r="F95" s="136" t="str">
        <x:v>exams/2014_q4a</x:v>
      </x:c>
      <x:c r="G95" s="135" t="str">
        <x:v>Completed</x:v>
      </x:c>
      <x:c r="H95" s="135" t="str">
        <x:v>Day 04</x:v>
      </x:c>
      <x:c r="I95" s="137" t="n">
        <x:v>46199.5</x:v>
      </x:c>
      <x:c r="J95" s="135" t="str">
        <x:v>12:25:46 AM</x:v>
      </x:c>
      <x:c r="K95" s="138" t="n">
        <x:v>5</x:v>
      </x:c>
      <x:c r="L95" s="138" t="n">
        <x:v>4</x:v>
      </x:c>
      <x:c r="M95" s="138" t="n">
        <x:v>0</x:v>
      </x:c>
      <x:c r="N95" s="138" t="n">
        <x:v>0</x:v>
      </x:c>
      <x:c r="O95" s="139" t="n">
        <x:v>0.2</x:v>
      </x:c>
      <x:c r="P95" s="153" t="e">
        <x:f>HYPERLINK("https://github.com/kapiltrip/hdlBits/blob/main/problems/Day%2004/090-exams__2014_q4a.md","Open note")</x:f>
        <x:v>HYPERLINK is not implemented. linkLocation=https://github.com/kapiltrip/hdlBits/blob/main/problems/Day%2004/090-exams__2014_q4a.md, friendlyName=Open note</x:v>
      </x:c>
      <x:c r="Q95" s="153" t="e">
        <x:f>HYPERLINK("https://github.com/kapiltrip/hdlBits/blob/main/images/Day%2004/090-exams__2014_q4a.png","Full-size image")</x:f>
        <x:v>HYPERLINK is not implemented. linkLocation=https://github.com/kapiltrip/hdlBits/blob/main/images/Day%2004/090-exams__2014_q4a.png, friendlyName=Full-size image</x:v>
      </x:c>
      <x:c r="R95" s="153" t="e">
        <x:f>HYPERLINK("https://github.com/kapiltrip/hdlBits/blob/main/solutions/Day%2004/090-exams__2014_q4a.sv","Open solution")</x:f>
        <x:v>HYPERLINK is not implemented. linkLocation=https://github.com/kapiltrip/hdlBits/blob/main/solutions/Day%2004/090-exams__2014_q4a.sv, friendlyName=Open solution</x:v>
      </x:c>
      <x:c r="S95" s="153" t="e">
        <x:f>HYPERLINK("https://hdlbits.01xz.net/wiki/exams/2014_q4a","HDLBits")</x:f>
        <x:v>HYPERLINK is not implemented. linkLocation=https://hdlbits.01xz.net/wiki/exams/2014_q4a, friendlyName=HDLBits</x:v>
      </x:c>
      <x:c r="T95" s="162" t="str">
        <x:v>Translate the exam's multiplexer-and-DFF schematic into equivalent sequential Verilog.</x:v>
      </x:c>
      <x:c r="U95" s="168"/>
    </x:row>
    <x:row r="96" ht="42" customHeight="1">
      <x:c r="A96" s="135" t="n">
        <x:v>91</x:v>
      </x:c>
      <x:c r="B96" s="136" t="str">
        <x:v>Circuits</x:v>
      </x:c>
      <x:c r="C96" s="136" t="str">
        <x:v>Sequential Logic</x:v>
      </x:c>
      <x:c r="D96" s="136" t="str">
        <x:v>Latches and Flip-Flops</x:v>
      </x:c>
      <x:c r="E96" s="136" t="str">
        <x:v>DFFs and gates</x:v>
      </x:c>
      <x:c r="F96" s="136" t="str">
        <x:v>exams/ece241_2014_q4</x:v>
      </x:c>
      <x:c r="G96" s="135" t="str">
        <x:v>Completed</x:v>
      </x:c>
      <x:c r="H96" s="135" t="str">
        <x:v>Day 04</x:v>
      </x:c>
      <x:c r="I96" s="137" t="n">
        <x:v>46199.5</x:v>
      </x:c>
      <x:c r="J96" s="135" t="str">
        <x:v>12:00:31 AM</x:v>
      </x:c>
      <x:c r="K96" s="138" t="n">
        <x:v>3</x:v>
      </x:c>
      <x:c r="L96" s="138" t="n">
        <x:v>0</x:v>
      </x:c>
      <x:c r="M96" s="138" t="n">
        <x:v>2</x:v>
      </x:c>
      <x:c r="N96" s="138" t="n">
        <x:v>0</x:v>
      </x:c>
      <x:c r="O96" s="139" t="n">
        <x:v>0.33</x:v>
      </x:c>
      <x:c r="P96" s="153" t="e">
        <x:f>HYPERLINK("https://github.com/kapiltrip/hdlBits/blob/main/problems/Day%2004/091-exams__ece241_2014_q4.md","Open note")</x:f>
        <x:v>HYPERLINK is not implemented. linkLocation=https://github.com/kapiltrip/hdlBits/blob/main/problems/Day%2004/091-exams__ece241_2014_q4.md, friendlyName=Open note</x:v>
      </x:c>
      <x:c r="Q96" s="153" t="e">
        <x:f>HYPERLINK("https://github.com/kapiltrip/hdlBits/blob/main/images/Day%2004/091-exams__ece241_2014_q4.png","Full-size image")</x:f>
        <x:v>HYPERLINK is not implemented. linkLocation=https://github.com/kapiltrip/hdlBits/blob/main/images/Day%2004/091-exams__ece241_2014_q4.png, friendlyName=Full-size image</x:v>
      </x:c>
      <x:c r="R96" s="153" t="e">
        <x:f>HYPERLINK("https://github.com/kapiltrip/hdlBits/blob/main/solutions/Day%2004/091-exams__ece241_2014_q4.sv","Open solution")</x:f>
        <x:v>HYPERLINK is not implemented. linkLocation=https://github.com/kapiltrip/hdlBits/blob/main/solutions/Day%2004/091-exams__ece241_2014_q4.sv, friendlyName=Open solution</x:v>
      </x:c>
      <x:c r="S96" s="153" t="e">
        <x:f>HYPERLINK("https://hdlbits.01xz.net/wiki/exams/ece241_2014_q4","HDLBits")</x:f>
        <x:v>HYPERLINK is not implemented. linkLocation=https://hdlbits.01xz.net/wiki/exams/ece241_2014_q4, friendlyName=HDLBits</x:v>
      </x:c>
      <x:c r="T96" s="162" t="str">
        <x:v>Implement the shown network of D flip-flops and logic gates with the correct cycle-to-cycle behaviour.</x:v>
      </x:c>
      <x:c r="U96" s="168"/>
    </x:row>
    <x:row r="97" ht="42" customHeight="1">
      <x:c r="A97" s="135" t="n">
        <x:v>92</x:v>
      </x:c>
      <x:c r="B97" s="136" t="str">
        <x:v>Circuits</x:v>
      </x:c>
      <x:c r="C97" s="136" t="str">
        <x:v>Sequential Logic</x:v>
      </x:c>
      <x:c r="D97" s="136" t="str">
        <x:v>Latches and Flip-Flops</x:v>
      </x:c>
      <x:c r="E97" s="136" t="str">
        <x:v>Create circuit from truth table</x:v>
      </x:c>
      <x:c r="F97" s="136" t="str">
        <x:v>exams/ece241_2013_q7</x:v>
      </x:c>
      <x:c r="G97" s="135" t="str">
        <x:v>Completed</x:v>
      </x:c>
      <x:c r="H97" s="135" t="str">
        <x:v>Day 04</x:v>
      </x:c>
      <x:c r="I97" s="137" t="n">
        <x:v>46199.5</x:v>
      </x:c>
      <x:c r="J97" s="135" t="str">
        <x:v>2:12:29 PM</x:v>
      </x:c>
      <x:c r="K97" s="138" t="n">
        <x:v>1</x:v>
      </x:c>
      <x:c r="L97" s="138" t="n">
        <x:v>0</x:v>
      </x:c>
      <x:c r="M97" s="138" t="n">
        <x:v>0</x:v>
      </x:c>
      <x:c r="N97" s="138" t="n">
        <x:v>0</x:v>
      </x:c>
      <x:c r="O97" s="139" t="n">
        <x:v>1</x:v>
      </x:c>
      <x:c r="P97" s="153" t="e">
        <x:f>HYPERLINK("https://github.com/kapiltrip/hdlBits/blob/main/problems/Day%2004/092-exams__ece241_2013_q7.md","Open note")</x:f>
        <x:v>HYPERLINK is not implemented. linkLocation=https://github.com/kapiltrip/hdlBits/blob/main/problems/Day%2004/092-exams__ece241_2013_q7.md, friendlyName=Open note</x:v>
      </x:c>
      <x:c r="Q97" s="153" t="e">
        <x:f>HYPERLINK("https://github.com/kapiltrip/hdlBits/blob/main/images/Day%2004/092-exams__ece241_2013_q7.png","Full-size image")</x:f>
        <x:v>HYPERLINK is not implemented. linkLocation=https://github.com/kapiltrip/hdlBits/blob/main/images/Day%2004/092-exams__ece241_2013_q7.png, friendlyName=Full-size image</x:v>
      </x:c>
      <x:c r="R97" s="153" t="e">
        <x:f>HYPERLINK("https://github.com/kapiltrip/hdlBits/blob/main/solutions/Day%2004/092-exams__ece241_2013_q7.sv","Open solution")</x:f>
        <x:v>HYPERLINK is not implemented. linkLocation=https://github.com/kapiltrip/hdlBits/blob/main/solutions/Day%2004/092-exams__ece241_2013_q7.sv, friendlyName=Open solution</x:v>
      </x:c>
      <x:c r="S97" s="153" t="e">
        <x:f>HYPERLINK("https://hdlbits.01xz.net/wiki/exams/ece241_2013_q7","HDLBits")</x:f>
        <x:v>HYPERLINK is not implemented. linkLocation=https://hdlbits.01xz.net/wiki/exams/ece241_2013_q7, friendlyName=HDLBits</x:v>
      </x:c>
      <x:c r="T97" s="162" t="str">
        <x:v>Build the sequential circuit described by the state/output truth table, including its registered state.</x:v>
      </x:c>
      <x:c r="U97" s="168"/>
    </x:row>
    <x:row r="98" ht="42" customHeight="1">
      <x:c r="A98" s="135" t="n">
        <x:v>93</x:v>
      </x:c>
      <x:c r="B98" s="136" t="str">
        <x:v>Circuits</x:v>
      </x:c>
      <x:c r="C98" s="136" t="str">
        <x:v>Sequential Logic</x:v>
      </x:c>
      <x:c r="D98" s="136" t="str">
        <x:v>Latches and Flip-Flops</x:v>
      </x:c>
      <x:c r="E98" s="136" t="str">
        <x:v>Detect an edge</x:v>
      </x:c>
      <x:c r="F98" s="136" t="str">
        <x:v>edgedetect</x:v>
      </x:c>
      <x:c r="G98" s="135" t="str">
        <x:v>Completed</x:v>
      </x:c>
      <x:c r="H98" s="135" t="str">
        <x:v>Day 04</x:v>
      </x:c>
      <x:c r="I98" s="137" t="n">
        <x:v>46199.5</x:v>
      </x:c>
      <x:c r="J98" s="135" t="str">
        <x:v>2:28:20 PM</x:v>
      </x:c>
      <x:c r="K98" s="138" t="n">
        <x:v>1</x:v>
      </x:c>
      <x:c r="L98" s="138" t="n">
        <x:v>0</x:v>
      </x:c>
      <x:c r="M98" s="138" t="n">
        <x:v>0</x:v>
      </x:c>
      <x:c r="N98" s="138" t="n">
        <x:v>0</x:v>
      </x:c>
      <x:c r="O98" s="139" t="n">
        <x:v>1</x:v>
      </x:c>
      <x:c r="P98" s="153" t="e">
        <x:f>HYPERLINK("https://github.com/kapiltrip/hdlBits/blob/main/problems/Day%2004/093-edgedetect.md","Open note")</x:f>
        <x:v>HYPERLINK is not implemented. linkLocation=https://github.com/kapiltrip/hdlBits/blob/main/problems/Day%2004/093-edgedetect.md, friendlyName=Open note</x:v>
      </x:c>
      <x:c r="Q98" s="153" t="e">
        <x:f>HYPERLINK("https://github.com/kapiltrip/hdlBits/blob/main/images/Day%2004/093-edgedetect.png","Full-size image")</x:f>
        <x:v>HYPERLINK is not implemented. linkLocation=https://github.com/kapiltrip/hdlBits/blob/main/images/Day%2004/093-edgedetect.png, friendlyName=Full-size image</x:v>
      </x:c>
      <x:c r="R98" s="153" t="e">
        <x:f>HYPERLINK("https://github.com/kapiltrip/hdlBits/blob/main/solutions/Day%2004/093-edgedetect.sv","Open solution")</x:f>
        <x:v>HYPERLINK is not implemented. linkLocation=https://github.com/kapiltrip/hdlBits/blob/main/solutions/Day%2004/093-edgedetect.sv, friendlyName=Open solution</x:v>
      </x:c>
      <x:c r="S98" s="153" t="e">
        <x:f>HYPERLINK("https://hdlbits.01xz.net/wiki/edgedetect","HDLBits")</x:f>
        <x:v>HYPERLINK is not implemented. linkLocation=https://hdlbits.01xz.net/wiki/edgedetect, friendlyName=HDLBits</x:v>
      </x:c>
      <x:c r="T98" s="162" t="str">
        <x:v>Generate a one-cycle pulse whenever each input bit makes a 0-to-1 transition.</x:v>
      </x:c>
      <x:c r="U98" s="168"/>
    </x:row>
    <x:row r="99" ht="42" customHeight="1">
      <x:c r="A99" s="135" t="n">
        <x:v>94</x:v>
      </x:c>
      <x:c r="B99" s="136" t="str">
        <x:v>Circuits</x:v>
      </x:c>
      <x:c r="C99" s="136" t="str">
        <x:v>Sequential Logic</x:v>
      </x:c>
      <x:c r="D99" s="136" t="str">
        <x:v>Latches and Flip-Flops</x:v>
      </x:c>
      <x:c r="E99" s="136" t="str">
        <x:v>Detect both edges</x:v>
      </x:c>
      <x:c r="F99" s="136" t="str">
        <x:v>edgedetect2</x:v>
      </x:c>
      <x:c r="G99" s="135" t="str">
        <x:v>Completed</x:v>
      </x:c>
      <x:c r="H99" s="135" t="str">
        <x:v>Day 04</x:v>
      </x:c>
      <x:c r="I99" s="137" t="n">
        <x:v>46199.5</x:v>
      </x:c>
      <x:c r="J99" s="135" t="str">
        <x:v>2:31:22 PM</x:v>
      </x:c>
      <x:c r="K99" s="138" t="n">
        <x:v>1</x:v>
      </x:c>
      <x:c r="L99" s="138" t="n">
        <x:v>0</x:v>
      </x:c>
      <x:c r="M99" s="138" t="n">
        <x:v>0</x:v>
      </x:c>
      <x:c r="N99" s="138" t="n">
        <x:v>0</x:v>
      </x:c>
      <x:c r="O99" s="139" t="n">
        <x:v>1</x:v>
      </x:c>
      <x:c r="P99" s="153" t="e">
        <x:f>HYPERLINK("https://github.com/kapiltrip/hdlBits/blob/main/problems/Day%2004/094-edgedetect2.md","Open note")</x:f>
        <x:v>HYPERLINK is not implemented. linkLocation=https://github.com/kapiltrip/hdlBits/blob/main/problems/Day%2004/094-edgedetect2.md, friendlyName=Open note</x:v>
      </x:c>
      <x:c r="Q99" s="153" t="e">
        <x:f>HYPERLINK("https://github.com/kapiltrip/hdlBits/blob/main/images/Day%2004/094-edgedetect2.png","Full-size image")</x:f>
        <x:v>HYPERLINK is not implemented. linkLocation=https://github.com/kapiltrip/hdlBits/blob/main/images/Day%2004/094-edgedetect2.png, friendlyName=Full-size image</x:v>
      </x:c>
      <x:c r="R99" s="153" t="e">
        <x:f>HYPERLINK("https://github.com/kapiltrip/hdlBits/blob/main/solutions/Day%2004/094-edgedetect2.sv","Open solution")</x:f>
        <x:v>HYPERLINK is not implemented. linkLocation=https://github.com/kapiltrip/hdlBits/blob/main/solutions/Day%2004/094-edgedetect2.sv, friendlyName=Open solution</x:v>
      </x:c>
      <x:c r="S99" s="153" t="e">
        <x:f>HYPERLINK("https://hdlbits.01xz.net/wiki/edgedetect2","HDLBits")</x:f>
        <x:v>HYPERLINK is not implemented. linkLocation=https://hdlbits.01xz.net/wiki/edgedetect2, friendlyName=HDLBits</x:v>
      </x:c>
      <x:c r="T99" s="162" t="str">
        <x:v>Generate a one-cycle pulse whenever each input bit changes in either direction.</x:v>
      </x:c>
      <x:c r="U99" s="168"/>
    </x:row>
    <x:row r="100" ht="42" customHeight="1">
      <x:c r="A100" s="135" t="n">
        <x:v>95</x:v>
      </x:c>
      <x:c r="B100" s="136" t="str">
        <x:v>Circuits</x:v>
      </x:c>
      <x:c r="C100" s="136" t="str">
        <x:v>Sequential Logic</x:v>
      </x:c>
      <x:c r="D100" s="136" t="str">
        <x:v>Latches and Flip-Flops</x:v>
      </x:c>
      <x:c r="E100" s="136" t="str">
        <x:v>Edge capture register</x:v>
      </x:c>
      <x:c r="F100" s="136" t="str">
        <x:v>edgecapture</x:v>
      </x:c>
      <x:c r="G100" s="135" t="str">
        <x:v>Completed</x:v>
      </x:c>
      <x:c r="H100" s="135" t="str">
        <x:v>Day 04</x:v>
      </x:c>
      <x:c r="I100" s="137" t="n">
        <x:v>46199.5</x:v>
      </x:c>
      <x:c r="J100" s="135" t="str">
        <x:v>2:50:42 PM</x:v>
      </x:c>
      <x:c r="K100" s="138" t="n">
        <x:v>7</x:v>
      </x:c>
      <x:c r="L100" s="138" t="n">
        <x:v>5</x:v>
      </x:c>
      <x:c r="M100" s="138" t="n">
        <x:v>1</x:v>
      </x:c>
      <x:c r="N100" s="138" t="n">
        <x:v>0</x:v>
      </x:c>
      <x:c r="O100" s="139" t="n">
        <x:v>0.14</x:v>
      </x:c>
      <x:c r="P100" s="153" t="e">
        <x:f>HYPERLINK("https://github.com/kapiltrip/hdlBits/blob/main/problems/Day%2004/095-edgecapture.md","Open note")</x:f>
        <x:v>HYPERLINK is not implemented. linkLocation=https://github.com/kapiltrip/hdlBits/blob/main/problems/Day%2004/095-edgecapture.md, friendlyName=Open note</x:v>
      </x:c>
      <x:c r="Q100" s="153" t="e">
        <x:f>HYPERLINK("https://github.com/kapiltrip/hdlBits/blob/main/images/Day%2004/095-edgecapture.png","Full-size image")</x:f>
        <x:v>HYPERLINK is not implemented. linkLocation=https://github.com/kapiltrip/hdlBits/blob/main/images/Day%2004/095-edgecapture.png, friendlyName=Full-size image</x:v>
      </x:c>
      <x:c r="R100" s="153" t="e">
        <x:f>HYPERLINK("https://github.com/kapiltrip/hdlBits/blob/main/solutions/Day%2004/095-edgecapture.sv","Open solution")</x:f>
        <x:v>HYPERLINK is not implemented. linkLocation=https://github.com/kapiltrip/hdlBits/blob/main/solutions/Day%2004/095-edgecapture.sv, friendlyName=Open solution</x:v>
      </x:c>
      <x:c r="S100" s="153" t="e">
        <x:f>HYPERLINK("https://hdlbits.01xz.net/wiki/edgecapture","HDLBits")</x:f>
        <x:v>HYPERLINK is not implemented. linkLocation=https://hdlbits.01xz.net/wiki/edgecapture, friendlyName=HDLBits</x:v>
      </x:c>
      <x:c r="T100" s="162" t="str">
        <x:v>Set a register bit when a falling edge occurs and keep it set until a synchronous reset clears it.</x:v>
      </x:c>
      <x:c r="U100" s="168"/>
    </x:row>
    <x:row r="101" ht="42" customHeight="1">
      <x:c r="A101" s="135" t="n">
        <x:v>96</x:v>
      </x:c>
      <x:c r="B101" s="136" t="str">
        <x:v>Circuits</x:v>
      </x:c>
      <x:c r="C101" s="136" t="str">
        <x:v>Sequential Logic</x:v>
      </x:c>
      <x:c r="D101" s="136" t="str">
        <x:v>Latches and Flip-Flops</x:v>
      </x:c>
      <x:c r="E101" s="136" t="str">
        <x:v>Dual-edge triggered flip-flop</x:v>
      </x:c>
      <x:c r="F101" s="136" t="str">
        <x:v>dualedge</x:v>
      </x:c>
      <x:c r="G101" s="135" t="str">
        <x:v>Completed</x:v>
      </x:c>
      <x:c r="H101" s="135" t="str">
        <x:v>Day 04</x:v>
      </x:c>
      <x:c r="I101" s="137" t="n">
        <x:v>46199.5</x:v>
      </x:c>
      <x:c r="J101" s="135" t="str">
        <x:v>3:07:56 PM</x:v>
      </x:c>
      <x:c r="K101" s="138" t="n">
        <x:v>7</x:v>
      </x:c>
      <x:c r="L101" s="138" t="n">
        <x:v>4</x:v>
      </x:c>
      <x:c r="M101" s="138" t="n">
        <x:v>2</x:v>
      </x:c>
      <x:c r="N101" s="138" t="n">
        <x:v>0</x:v>
      </x:c>
      <x:c r="O101" s="139" t="n">
        <x:v>0.14</x:v>
      </x:c>
      <x:c r="P101" s="153" t="e">
        <x:f>HYPERLINK("https://github.com/kapiltrip/hdlBits/blob/main/problems/Day%2004/096-dualedge.md","Open note")</x:f>
        <x:v>HYPERLINK is not implemented. linkLocation=https://github.com/kapiltrip/hdlBits/blob/main/problems/Day%2004/096-dualedge.md, friendlyName=Open note</x:v>
      </x:c>
      <x:c r="Q101" s="153" t="e">
        <x:f>HYPERLINK("https://github.com/kapiltrip/hdlBits/blob/main/images/Day%2004/096-dualedge.png","Full-size image")</x:f>
        <x:v>HYPERLINK is not implemented. linkLocation=https://github.com/kapiltrip/hdlBits/blob/main/images/Day%2004/096-dualedge.png, friendlyName=Full-size image</x:v>
      </x:c>
      <x:c r="R101" s="153" t="e">
        <x:f>HYPERLINK("https://github.com/kapiltrip/hdlBits/blob/main/solutions/Day%2004/096-dualedge.sv","Open solution")</x:f>
        <x:v>HYPERLINK is not implemented. linkLocation=https://github.com/kapiltrip/hdlBits/blob/main/solutions/Day%2004/096-dualedge.sv, friendlyName=Open solution</x:v>
      </x:c>
      <x:c r="S101" s="153" t="e">
        <x:f>HYPERLINK("https://hdlbits.01xz.net/wiki/dualedge","HDLBits")</x:f>
        <x:v>HYPERLINK is not implemented. linkLocation=https://hdlbits.01xz.net/wiki/dualedge, friendlyName=HDLBits</x:v>
      </x:c>
      <x:c r="T101" s="162" t="str">
        <x:v>Emulate dual-edge-triggered storage using logic that captures data on both rising and falling clock edges.</x:v>
      </x:c>
      <x:c r="U101" s="168"/>
    </x:row>
    <x:row r="102" ht="42" customHeight="1">
      <x:c r="A102" s="135" t="n">
        <x:v>97</x:v>
      </x:c>
      <x:c r="B102" s="136" t="str">
        <x:v>Circuits</x:v>
      </x:c>
      <x:c r="C102" s="136" t="str">
        <x:v>Sequential Logic</x:v>
      </x:c>
      <x:c r="D102" s="136" t="str">
        <x:v>Counters</x:v>
      </x:c>
      <x:c r="E102" s="136" t="str">
        <x:v>Four-bit binary counter</x:v>
      </x:c>
      <x:c r="F102" s="136" t="str">
        <x:v>count15</x:v>
      </x:c>
      <x:c r="G102" s="135" t="str">
        <x:v>Completed</x:v>
      </x:c>
      <x:c r="H102" s="135" t="str">
        <x:v>Day 04</x:v>
      </x:c>
      <x:c r="I102" s="137" t="n">
        <x:v>46199.5</x:v>
      </x:c>
      <x:c r="J102" s="135" t="str">
        <x:v>1:01:36 AM</x:v>
      </x:c>
      <x:c r="K102" s="138" t="n">
        <x:v>5</x:v>
      </x:c>
      <x:c r="L102" s="138" t="n">
        <x:v>4</x:v>
      </x:c>
      <x:c r="M102" s="138" t="n">
        <x:v>0</x:v>
      </x:c>
      <x:c r="N102" s="138" t="n">
        <x:v>0</x:v>
      </x:c>
      <x:c r="O102" s="139" t="n">
        <x:v>0.2</x:v>
      </x:c>
      <x:c r="P102" s="153" t="e">
        <x:f>HYPERLINK("https://github.com/kapiltrip/hdlBits/blob/main/problems/Day%2004/097-count15.md","Open note")</x:f>
        <x:v>HYPERLINK is not implemented. linkLocation=https://github.com/kapiltrip/hdlBits/blob/main/problems/Day%2004/097-count15.md, friendlyName=Open note</x:v>
      </x:c>
      <x:c r="Q102" s="153" t="e">
        <x:f>HYPERLINK("https://github.com/kapiltrip/hdlBits/blob/main/images/Day%2004/097-count15.png","Full-size image")</x:f>
        <x:v>HYPERLINK is not implemented. linkLocation=https://github.com/kapiltrip/hdlBits/blob/main/images/Day%2004/097-count15.png, friendlyName=Full-size image</x:v>
      </x:c>
      <x:c r="R102" s="153" t="e">
        <x:f>HYPERLINK("https://github.com/kapiltrip/hdlBits/blob/main/solutions/Day%2004/097-count15.sv","Open solution")</x:f>
        <x:v>HYPERLINK is not implemented. linkLocation=https://github.com/kapiltrip/hdlBits/blob/main/solutions/Day%2004/097-count15.sv, friendlyName=Open solution</x:v>
      </x:c>
      <x:c r="S102" s="153" t="e">
        <x:f>HYPERLINK("https://hdlbits.01xz.net/wiki/count15","HDLBits")</x:f>
        <x:v>HYPERLINK is not implemented. linkLocation=https://hdlbits.01xz.net/wiki/count15, friendlyName=HDLBits</x:v>
      </x:c>
      <x:c r="T102" s="162" t="str">
        <x:v>Implement a 4-bit binary counter with synchronous reset that naturally wraps after 15.</x:v>
      </x:c>
      <x:c r="U102" s="168"/>
    </x:row>
    <x:row r="103" ht="42" customHeight="1">
      <x:c r="A103" s="135" t="n">
        <x:v>98</x:v>
      </x:c>
      <x:c r="B103" s="136" t="str">
        <x:v>Circuits</x:v>
      </x:c>
      <x:c r="C103" s="136" t="str">
        <x:v>Sequential Logic</x:v>
      </x:c>
      <x:c r="D103" s="136" t="str">
        <x:v>Counters</x:v>
      </x:c>
      <x:c r="E103" s="136" t="str">
        <x:v>Decade counter</x:v>
      </x:c>
      <x:c r="F103" s="136" t="str">
        <x:v>count10</x:v>
      </x:c>
      <x:c r="G103" s="135" t="str">
        <x:v>Completed</x:v>
      </x:c>
      <x:c r="H103" s="135" t="str">
        <x:v>Day 04</x:v>
      </x:c>
      <x:c r="I103" s="137" t="n">
        <x:v>46199.5</x:v>
      </x:c>
      <x:c r="J103" s="135" t="str">
        <x:v>1:12:51 AM</x:v>
      </x:c>
      <x:c r="K103" s="138" t="n">
        <x:v>3</x:v>
      </x:c>
      <x:c r="L103" s="138" t="n">
        <x:v>2</x:v>
      </x:c>
      <x:c r="M103" s="138" t="n">
        <x:v>0</x:v>
      </x:c>
      <x:c r="N103" s="138" t="n">
        <x:v>0</x:v>
      </x:c>
      <x:c r="O103" s="139" t="n">
        <x:v>0.33</x:v>
      </x:c>
      <x:c r="P103" s="153" t="e">
        <x:f>HYPERLINK("https://github.com/kapiltrip/hdlBits/blob/main/problems/Day%2004/098-count10.md","Open note")</x:f>
        <x:v>HYPERLINK is not implemented. linkLocation=https://github.com/kapiltrip/hdlBits/blob/main/problems/Day%2004/098-count10.md, friendlyName=Open note</x:v>
      </x:c>
      <x:c r="Q103" s="153" t="e">
        <x:f>HYPERLINK("https://github.com/kapiltrip/hdlBits/blob/main/images/Day%2004/098-count10.png","Full-size image")</x:f>
        <x:v>HYPERLINK is not implemented. linkLocation=https://github.com/kapiltrip/hdlBits/blob/main/images/Day%2004/098-count10.png, friendlyName=Full-size image</x:v>
      </x:c>
      <x:c r="R103" s="153" t="e">
        <x:f>HYPERLINK("https://github.com/kapiltrip/hdlBits/blob/main/solutions/Day%2004/098-count10.sv","Open solution")</x:f>
        <x:v>HYPERLINK is not implemented. linkLocation=https://github.com/kapiltrip/hdlBits/blob/main/solutions/Day%2004/098-count10.sv, friendlyName=Open solution</x:v>
      </x:c>
      <x:c r="S103" s="153" t="e">
        <x:f>HYPERLINK("https://hdlbits.01xz.net/wiki/count10","HDLBits")</x:f>
        <x:v>HYPERLINK is not implemented. linkLocation=https://hdlbits.01xz.net/wiki/count10, friendlyName=HDLBits</x:v>
      </x:c>
      <x:c r="T103" s="162" t="str">
        <x:v>Implement a decade counter that counts from 0 through 9 and then wraps to 0.</x:v>
      </x:c>
      <x:c r="U103" s="168"/>
    </x:row>
    <x:row r="104" ht="42" customHeight="1">
      <x:c r="A104" s="135" t="n">
        <x:v>99</x:v>
      </x:c>
      <x:c r="B104" s="136" t="str">
        <x:v>Circuits</x:v>
      </x:c>
      <x:c r="C104" s="136" t="str">
        <x:v>Sequential Logic</x:v>
      </x:c>
      <x:c r="D104" s="136" t="str">
        <x:v>Counters</x:v>
      </x:c>
      <x:c r="E104" s="136" t="str">
        <x:v>Decade counter again</x:v>
      </x:c>
      <x:c r="F104" s="136" t="str">
        <x:v>count1to10</x:v>
      </x:c>
      <x:c r="G104" s="135" t="str">
        <x:v>Completed</x:v>
      </x:c>
      <x:c r="H104" s="135" t="str">
        <x:v>Day 04</x:v>
      </x:c>
      <x:c r="I104" s="137" t="n">
        <x:v>46199.5</x:v>
      </x:c>
      <x:c r="J104" s="135" t="str">
        <x:v>1:21:20 AM</x:v>
      </x:c>
      <x:c r="K104" s="138" t="n">
        <x:v>3</x:v>
      </x:c>
      <x:c r="L104" s="138" t="n">
        <x:v>1</x:v>
      </x:c>
      <x:c r="M104" s="138" t="n">
        <x:v>1</x:v>
      </x:c>
      <x:c r="N104" s="138" t="n">
        <x:v>0</x:v>
      </x:c>
      <x:c r="O104" s="139" t="n">
        <x:v>0.33</x:v>
      </x:c>
      <x:c r="P104" s="153" t="e">
        <x:f>HYPERLINK("https://github.com/kapiltrip/hdlBits/blob/main/problems/Day%2004/099-count1to10.md","Open note")</x:f>
        <x:v>HYPERLINK is not implemented. linkLocation=https://github.com/kapiltrip/hdlBits/blob/main/problems/Day%2004/099-count1to10.md, friendlyName=Open note</x:v>
      </x:c>
      <x:c r="Q104" s="153" t="e">
        <x:f>HYPERLINK("https://github.com/kapiltrip/hdlBits/blob/main/images/Day%2004/099-count1to10.png","Full-size image")</x:f>
        <x:v>HYPERLINK is not implemented. linkLocation=https://github.com/kapiltrip/hdlBits/blob/main/images/Day%2004/099-count1to10.png, friendlyName=Full-size image</x:v>
      </x:c>
      <x:c r="R104" s="153" t="e">
        <x:f>HYPERLINK("https://github.com/kapiltrip/hdlBits/blob/main/solutions/Day%2004/099-count1to10.sv","Open solution")</x:f>
        <x:v>HYPERLINK is not implemented. linkLocation=https://github.com/kapiltrip/hdlBits/blob/main/solutions/Day%2004/099-count1to10.sv, friendlyName=Open solution</x:v>
      </x:c>
      <x:c r="S104" s="153" t="e">
        <x:f>HYPERLINK("https://hdlbits.01xz.net/wiki/count1to10","HDLBits")</x:f>
        <x:v>HYPERLINK is not implemented. linkLocation=https://hdlbits.01xz.net/wiki/count1to10, friendlyName=HDLBits</x:v>
      </x:c>
      <x:c r="T104" s="162" t="str">
        <x:v>Implement the specified 1-to-10 decade count sequence with the required reset and enable behaviour.</x:v>
      </x:c>
      <x:c r="U104" s="168"/>
    </x:row>
    <x:row r="105" ht="42" customHeight="1">
      <x:c r="A105" s="135" t="n">
        <x:v>100</x:v>
      </x:c>
      <x:c r="B105" s="136" t="str">
        <x:v>Circuits</x:v>
      </x:c>
      <x:c r="C105" s="136" t="str">
        <x:v>Sequential Logic</x:v>
      </x:c>
      <x:c r="D105" s="136" t="str">
        <x:v>Counters</x:v>
      </x:c>
      <x:c r="E105" s="136" t="str">
        <x:v>Slow decade counter</x:v>
      </x:c>
      <x:c r="F105" s="136" t="str">
        <x:v>countslow</x:v>
      </x:c>
      <x:c r="G105" s="135" t="str">
        <x:v>Completed</x:v>
      </x:c>
      <x:c r="H105" s="135" t="str">
        <x:v>Day 04</x:v>
      </x:c>
      <x:c r="I105" s="137" t="n">
        <x:v>46199.5</x:v>
      </x:c>
      <x:c r="J105" s="135" t="str">
        <x:v>1:31:52 AM</x:v>
      </x:c>
      <x:c r="K105" s="138" t="n">
        <x:v>3</x:v>
      </x:c>
      <x:c r="L105" s="138" t="n">
        <x:v>1</x:v>
      </x:c>
      <x:c r="M105" s="138" t="n">
        <x:v>0</x:v>
      </x:c>
      <x:c r="N105" s="138" t="n">
        <x:v>0</x:v>
      </x:c>
      <x:c r="O105" s="139" t="n">
        <x:v>0.67</x:v>
      </x:c>
      <x:c r="P105" s="153" t="e">
        <x:f>HYPERLINK("https://github.com/kapiltrip/hdlBits/blob/main/problems/Day%2004/100-countslow.md","Open note")</x:f>
        <x:v>HYPERLINK is not implemented. linkLocation=https://github.com/kapiltrip/hdlBits/blob/main/problems/Day%2004/100-countslow.md, friendlyName=Open note</x:v>
      </x:c>
      <x:c r="Q105" s="153" t="e">
        <x:f>HYPERLINK("https://github.com/kapiltrip/hdlBits/blob/main/images/Day%2004/100-countslow.png","Full-size image")</x:f>
        <x:v>HYPERLINK is not implemented. linkLocation=https://github.com/kapiltrip/hdlBits/blob/main/images/Day%2004/100-countslow.png, friendlyName=Full-size image</x:v>
      </x:c>
      <x:c r="R105" s="153" t="e">
        <x:f>HYPERLINK("https://github.com/kapiltrip/hdlBits/blob/main/solutions/Day%2004/100-countslow.sv","Open solution")</x:f>
        <x:v>HYPERLINK is not implemented. linkLocation=https://github.com/kapiltrip/hdlBits/blob/main/solutions/Day%2004/100-countslow.sv, friendlyName=Open solution</x:v>
      </x:c>
      <x:c r="S105" s="153" t="e">
        <x:f>HYPERLINK("https://hdlbits.01xz.net/wiki/countslow","HDLBits")</x:f>
        <x:v>HYPERLINK is not implemented. linkLocation=https://hdlbits.01xz.net/wiki/countslow, friendlyName=HDLBits</x:v>
      </x:c>
      <x:c r="T105" s="162" t="str">
        <x:v>Create a decade counter that advances only when the slow-enable input is asserted.</x:v>
      </x:c>
      <x:c r="U105" s="168"/>
    </x:row>
    <x:row r="106" ht="42" customHeight="1">
      <x:c r="A106" s="135" t="n">
        <x:v>101</x:v>
      </x:c>
      <x:c r="B106" s="136" t="str">
        <x:v>Circuits</x:v>
      </x:c>
      <x:c r="C106" s="136" t="str">
        <x:v>Sequential Logic</x:v>
      </x:c>
      <x:c r="D106" s="136" t="str">
        <x:v>Shift Registers</x:v>
      </x:c>
      <x:c r="E106" s="136" t="str">
        <x:v>4-bit shift register</x:v>
      </x:c>
      <x:c r="F106" s="136" t="str">
        <x:v>shift4</x:v>
      </x:c>
      <x:c r="G106" s="135" t="str">
        <x:v>Completed</x:v>
      </x:c>
      <x:c r="H106" s="135" t="str">
        <x:v>Day 04</x:v>
      </x:c>
      <x:c r="I106" s="137" t="n">
        <x:v>46199.5</x:v>
      </x:c>
      <x:c r="J106" s="135" t="str">
        <x:v>4:10:18 PM</x:v>
      </x:c>
      <x:c r="K106" s="138" t="n">
        <x:v>4</x:v>
      </x:c>
      <x:c r="L106" s="138" t="n">
        <x:v>3</x:v>
      </x:c>
      <x:c r="M106" s="138" t="n">
        <x:v>0</x:v>
      </x:c>
      <x:c r="N106" s="138" t="n">
        <x:v>0</x:v>
      </x:c>
      <x:c r="O106" s="139" t="n">
        <x:v>0.25</x:v>
      </x:c>
      <x:c r="P106" s="153" t="e">
        <x:f>HYPERLINK("https://github.com/kapiltrip/hdlBits/blob/main/problems/Day%2004/101-shift4.md","Open note")</x:f>
        <x:v>HYPERLINK is not implemented. linkLocation=https://github.com/kapiltrip/hdlBits/blob/main/problems/Day%2004/101-shift4.md, friendlyName=Open note</x:v>
      </x:c>
      <x:c r="Q106" s="153" t="e">
        <x:f>HYPERLINK("https://github.com/kapiltrip/hdlBits/blob/main/images/Day%2004/101-shift4.png","Full-size image")</x:f>
        <x:v>HYPERLINK is not implemented. linkLocation=https://github.com/kapiltrip/hdlBits/blob/main/images/Day%2004/101-shift4.png, friendlyName=Full-size image</x:v>
      </x:c>
      <x:c r="R106" s="153" t="e">
        <x:f>HYPERLINK("https://github.com/kapiltrip/hdlBits/blob/main/solutions/Day%2004/101-shift4.sv","Open solution")</x:f>
        <x:v>HYPERLINK is not implemented. linkLocation=https://github.com/kapiltrip/hdlBits/blob/main/solutions/Day%2004/101-shift4.sv, friendlyName=Open solution</x:v>
      </x:c>
      <x:c r="S106" s="153" t="e">
        <x:f>HYPERLINK("https://hdlbits.01xz.net/wiki/shift4","HDLBits")</x:f>
        <x:v>HYPERLINK is not implemented. linkLocation=https://hdlbits.01xz.net/wiki/shift4, friendlyName=HDLBits</x:v>
      </x:c>
      <x:c r="T106" s="162" t="str">
        <x:v>Build a 4-bit shift register with the specified load/shift controls and expose the requested stage output.</x:v>
      </x:c>
      <x:c r="U106" s="168"/>
    </x:row>
    <x:row r="107" ht="42" customHeight="1">
      <x:c r="A107" s="135" t="n">
        <x:v>102</x:v>
      </x:c>
      <x:c r="B107" s="136" t="str">
        <x:v>Circuits</x:v>
      </x:c>
      <x:c r="C107" s="136" t="str">
        <x:v>Sequential Logic</x:v>
      </x:c>
      <x:c r="D107" s="136" t="str">
        <x:v>Shift Registers</x:v>
      </x:c>
      <x:c r="E107" s="136" t="str">
        <x:v>Left/right rotator</x:v>
      </x:c>
      <x:c r="F107" s="136" t="str">
        <x:v>rotate100</x:v>
      </x:c>
      <x:c r="G107" s="135" t="str">
        <x:v>Completed</x:v>
      </x:c>
      <x:c r="H107" s="135" t="str">
        <x:v>Day 04</x:v>
      </x:c>
      <x:c r="I107" s="137" t="n">
        <x:v>46199.5</x:v>
      </x:c>
      <x:c r="J107" s="135" t="str">
        <x:v>4:23:55 PM</x:v>
      </x:c>
      <x:c r="K107" s="138" t="n">
        <x:v>2</x:v>
      </x:c>
      <x:c r="L107" s="138" t="n">
        <x:v>0</x:v>
      </x:c>
      <x:c r="M107" s="138" t="n">
        <x:v>1</x:v>
      </x:c>
      <x:c r="N107" s="138" t="n">
        <x:v>0</x:v>
      </x:c>
      <x:c r="O107" s="139" t="n">
        <x:v>0.5</x:v>
      </x:c>
      <x:c r="P107" s="153" t="e">
        <x:f>HYPERLINK("https://github.com/kapiltrip/hdlBits/blob/main/problems/Day%2004/102-rotate100.md","Open note")</x:f>
        <x:v>HYPERLINK is not implemented. linkLocation=https://github.com/kapiltrip/hdlBits/blob/main/problems/Day%2004/102-rotate100.md, friendlyName=Open note</x:v>
      </x:c>
      <x:c r="Q107" s="153" t="e">
        <x:f>HYPERLINK("https://github.com/kapiltrip/hdlBits/blob/main/images/Day%2004/102-rotate100.png","Full-size image")</x:f>
        <x:v>HYPERLINK is not implemented. linkLocation=https://github.com/kapiltrip/hdlBits/blob/main/images/Day%2004/102-rotate100.png, friendlyName=Full-size image</x:v>
      </x:c>
      <x:c r="R107" s="153" t="e">
        <x:f>HYPERLINK("https://github.com/kapiltrip/hdlBits/blob/main/solutions/Day%2004/102-rotate100.sv","Open solution")</x:f>
        <x:v>HYPERLINK is not implemented. linkLocation=https://github.com/kapiltrip/hdlBits/blob/main/solutions/Day%2004/102-rotate100.sv, friendlyName=Open solution</x:v>
      </x:c>
      <x:c r="S107" s="153" t="e">
        <x:f>HYPERLINK("https://hdlbits.01xz.net/wiki/rotate100","HDLBits")</x:f>
        <x:v>HYPERLINK is not implemented. linkLocation=https://hdlbits.01xz.net/wiki/rotate100, friendlyName=HDLBits</x:v>
      </x:c>
      <x:c r="T107" s="162" t="str">
        <x:v>Build a 100-bit register that can hold, load, rotate left, or rotate right according to the controls.</x:v>
      </x:c>
      <x:c r="U107" s="168"/>
    </x:row>
    <x:row r="108" ht="42" customHeight="1">
      <x:c r="A108" s="135" t="n">
        <x:v>103</x:v>
      </x:c>
      <x:c r="B108" s="136" t="str">
        <x:v>Circuits</x:v>
      </x:c>
      <x:c r="C108" s="136" t="str">
        <x:v>Sequential Logic</x:v>
      </x:c>
      <x:c r="D108" s="136" t="str">
        <x:v>Shift Registers</x:v>
      </x:c>
      <x:c r="E108" s="136" t="str">
        <x:v>Left/right arithmetic shift by 1 or 8</x:v>
      </x:c>
      <x:c r="F108" s="136" t="str">
        <x:v>shift18</x:v>
      </x:c>
      <x:c r="G108" s="135" t="str">
        <x:v>Completed</x:v>
      </x:c>
      <x:c r="H108" s="135" t="str">
        <x:v>Day 04</x:v>
      </x:c>
      <x:c r="I108" s="137" t="n">
        <x:v>46199.5</x:v>
      </x:c>
      <x:c r="J108" s="135" t="str">
        <x:v>4:42:03 PM</x:v>
      </x:c>
      <x:c r="K108" s="138" t="n">
        <x:v>6</x:v>
      </x:c>
      <x:c r="L108" s="138" t="n">
        <x:v>0</x:v>
      </x:c>
      <x:c r="M108" s="138" t="n">
        <x:v>5</x:v>
      </x:c>
      <x:c r="N108" s="138" t="n">
        <x:v>0</x:v>
      </x:c>
      <x:c r="O108" s="139" t="n">
        <x:v>0.17</x:v>
      </x:c>
      <x:c r="P108" s="153" t="e">
        <x:f>HYPERLINK("https://github.com/kapiltrip/hdlBits/blob/main/problems/Day%2004/103-shift18.md","Open note")</x:f>
        <x:v>HYPERLINK is not implemented. linkLocation=https://github.com/kapiltrip/hdlBits/blob/main/problems/Day%2004/103-shift18.md, friendlyName=Open note</x:v>
      </x:c>
      <x:c r="Q108" s="153" t="e">
        <x:f>HYPERLINK("https://github.com/kapiltrip/hdlBits/blob/main/images/Day%2004/103-shift18.png","Full-size image")</x:f>
        <x:v>HYPERLINK is not implemented. linkLocation=https://github.com/kapiltrip/hdlBits/blob/main/images/Day%2004/103-shift18.png, friendlyName=Full-size image</x:v>
      </x:c>
      <x:c r="R108" s="153" t="e">
        <x:f>HYPERLINK("https://github.com/kapiltrip/hdlBits/blob/main/solutions/Day%2004/103-shift18.sv","Open solution")</x:f>
        <x:v>HYPERLINK is not implemented. linkLocation=https://github.com/kapiltrip/hdlBits/blob/main/solutions/Day%2004/103-shift18.sv, friendlyName=Open solution</x:v>
      </x:c>
      <x:c r="S108" s="153" t="e">
        <x:f>HYPERLINK("https://hdlbits.01xz.net/wiki/shift18","HDLBits")</x:f>
        <x:v>HYPERLINK is not implemented. linkLocation=https://hdlbits.01xz.net/wiki/shift18, friendlyName=HDLBits</x:v>
      </x:c>
      <x:c r="T108" s="162" t="str">
        <x:v>Build a 64-bit register that can load or perform left/right arithmetic shifts by either 1 or 8 positions.</x:v>
      </x:c>
      <x:c r="U108" s="168"/>
    </x:row>
    <x:row r="109" ht="42" customHeight="1">
      <x:c r="A109" s="135" t="n">
        <x:v>104</x:v>
      </x:c>
      <x:c r="B109" s="136" t="str">
        <x:v>Circuits</x:v>
      </x:c>
      <x:c r="C109" s="136" t="str">
        <x:v>Sequential Logic</x:v>
      </x:c>
      <x:c r="D109" s="136" t="str">
        <x:v>Shift Registers</x:v>
      </x:c>
      <x:c r="E109" s="136" t="str">
        <x:v>5-bit LFSR</x:v>
      </x:c>
      <x:c r="F109" s="136" t="str">
        <x:v>lfsr5</x:v>
      </x:c>
      <x:c r="G109" s="135" t="str">
        <x:v>Completed</x:v>
      </x:c>
      <x:c r="H109" s="135" t="str">
        <x:v>Day 04</x:v>
      </x:c>
      <x:c r="I109" s="137" t="n">
        <x:v>46199.5</x:v>
      </x:c>
      <x:c r="J109" s="135" t="str">
        <x:v>5:21:13 PM</x:v>
      </x:c>
      <x:c r="K109" s="138" t="n">
        <x:v>1</x:v>
      </x:c>
      <x:c r="L109" s="138" t="n">
        <x:v>0</x:v>
      </x:c>
      <x:c r="M109" s="138" t="n">
        <x:v>0</x:v>
      </x:c>
      <x:c r="N109" s="138" t="n">
        <x:v>0</x:v>
      </x:c>
      <x:c r="O109" s="139" t="n">
        <x:v>1</x:v>
      </x:c>
      <x:c r="P109" s="153" t="e">
        <x:f>HYPERLINK("https://github.com/kapiltrip/hdlBits/blob/main/problems/Day%2004/104-lfsr5.md","Open note")</x:f>
        <x:v>HYPERLINK is not implemented. linkLocation=https://github.com/kapiltrip/hdlBits/blob/main/problems/Day%2004/104-lfsr5.md, friendlyName=Open note</x:v>
      </x:c>
      <x:c r="Q109" s="153" t="e">
        <x:f>HYPERLINK("https://github.com/kapiltrip/hdlBits/blob/main/images/Day%2004/104-lfsr5.png","Full-size image")</x:f>
        <x:v>HYPERLINK is not implemented. linkLocation=https://github.com/kapiltrip/hdlBits/blob/main/images/Day%2004/104-lfsr5.png, friendlyName=Full-size image</x:v>
      </x:c>
      <x:c r="R109" s="153" t="e">
        <x:f>HYPERLINK("https://github.com/kapiltrip/hdlBits/blob/main/solutions/Day%2004/104-lfsr5.sv","Open solution")</x:f>
        <x:v>HYPERLINK is not implemented. linkLocation=https://github.com/kapiltrip/hdlBits/blob/main/solutions/Day%2004/104-lfsr5.sv, friendlyName=Open solution</x:v>
      </x:c>
      <x:c r="S109" s="153" t="e">
        <x:f>HYPERLINK("https://hdlbits.01xz.net/wiki/lfsr5","HDLBits")</x:f>
        <x:v>HYPERLINK is not implemented. linkLocation=https://hdlbits.01xz.net/wiki/lfsr5, friendlyName=HDLBits</x:v>
      </x:c>
      <x:c r="T109" s="162" t="str">
        <x:v>Implement the specified 5-bit linear-feedback shift register using the given feedback taps and reset state.</x:v>
      </x:c>
      <x:c r="U109" s="168"/>
    </x:row>
    <x:row r="110" ht="42" customHeight="1">
      <x:c r="A110" s="135" t="n">
        <x:v>105</x:v>
      </x:c>
      <x:c r="B110" s="136" t="str">
        <x:v>Circuits</x:v>
      </x:c>
      <x:c r="C110" s="136" t="str">
        <x:v>Sequential Logic</x:v>
      </x:c>
      <x:c r="D110" s="136" t="str">
        <x:v>Shift Registers</x:v>
      </x:c>
      <x:c r="E110" s="136" t="str">
        <x:v>3-bit LFSR</x:v>
      </x:c>
      <x:c r="F110" s="136" t="str">
        <x:v>mt2015_lfsr</x:v>
      </x:c>
      <x:c r="G110" s="135" t="str">
        <x:v>Completed</x:v>
      </x:c>
      <x:c r="H110" s="135" t="str">
        <x:v>Day 04</x:v>
      </x:c>
      <x:c r="I110" s="137" t="n">
        <x:v>46199.5</x:v>
      </x:c>
      <x:c r="J110" s="135" t="str">
        <x:v>11:37:29 PM</x:v>
      </x:c>
      <x:c r="K110" s="138" t="n">
        <x:v>4</x:v>
      </x:c>
      <x:c r="L110" s="138" t="n">
        <x:v>1</x:v>
      </x:c>
      <x:c r="M110" s="138" t="n">
        <x:v>2</x:v>
      </x:c>
      <x:c r="N110" s="138" t="n">
        <x:v>0</x:v>
      </x:c>
      <x:c r="O110" s="139" t="n">
        <x:v>0.25</x:v>
      </x:c>
      <x:c r="P110" s="153" t="e">
        <x:f>HYPERLINK("https://github.com/kapiltrip/hdlBits/blob/main/problems/Day%2004/105-mt2015_lfsr.md","Open note")</x:f>
        <x:v>HYPERLINK is not implemented. linkLocation=https://github.com/kapiltrip/hdlBits/blob/main/problems/Day%2004/105-mt2015_lfsr.md, friendlyName=Open note</x:v>
      </x:c>
      <x:c r="Q110" s="153" t="e">
        <x:f>HYPERLINK("https://github.com/kapiltrip/hdlBits/blob/main/images/Day%2004/105-mt2015_lfsr.png","Full-size image")</x:f>
        <x:v>HYPERLINK is not implemented. linkLocation=https://github.com/kapiltrip/hdlBits/blob/main/images/Day%2004/105-mt2015_lfsr.png, friendlyName=Full-size image</x:v>
      </x:c>
      <x:c r="R110" s="153" t="e">
        <x:f>HYPERLINK("https://github.com/kapiltrip/hdlBits/blob/main/solutions/Day%2004/105-mt2015_lfsr.sv","Open solution")</x:f>
        <x:v>HYPERLINK is not implemented. linkLocation=https://github.com/kapiltrip/hdlBits/blob/main/solutions/Day%2004/105-mt2015_lfsr.sv, friendlyName=Open solution</x:v>
      </x:c>
      <x:c r="S110" s="153" t="e">
        <x:f>HYPERLINK("https://hdlbits.01xz.net/wiki/mt2015_lfsr","HDLBits")</x:f>
        <x:v>HYPERLINK is not implemented. linkLocation=https://hdlbits.01xz.net/wiki/mt2015_lfsr, friendlyName=HDLBits</x:v>
      </x:c>
      <x:c r="T110" s="162" t="str">
        <x:v>Implement the shown 3-bit LFSR and reproduce its required feedback sequence.</x:v>
      </x:c>
      <x:c r="U110" s="168"/>
    </x:row>
    <x:row r="111" ht="42" customHeight="1">
      <x:c r="A111" s="135" t="n">
        <x:v>106</x:v>
      </x:c>
      <x:c r="B111" s="136" t="str">
        <x:v>Circuits</x:v>
      </x:c>
      <x:c r="C111" s="136" t="str">
        <x:v>Sequential Logic</x:v>
      </x:c>
      <x:c r="D111" s="136" t="str">
        <x:v>Shift Registers</x:v>
      </x:c>
      <x:c r="E111" s="136" t="str">
        <x:v>32-bit LFSR</x:v>
      </x:c>
      <x:c r="F111" s="136" t="str">
        <x:v>lfsr32</x:v>
      </x:c>
      <x:c r="G111" s="135" t="str">
        <x:v>Completed</x:v>
      </x:c>
      <x:c r="H111" s="135" t="str">
        <x:v>Day 04</x:v>
      </x:c>
      <x:c r="I111" s="137" t="n">
        <x:v>46199.5</x:v>
      </x:c>
      <x:c r="J111" s="135" t="str">
        <x:v>11:03:20 PM</x:v>
      </x:c>
      <x:c r="K111" s="138" t="n">
        <x:v>1</x:v>
      </x:c>
      <x:c r="L111" s="138" t="n">
        <x:v>0</x:v>
      </x:c>
      <x:c r="M111" s="138" t="n">
        <x:v>0</x:v>
      </x:c>
      <x:c r="N111" s="138" t="n">
        <x:v>0</x:v>
      </x:c>
      <x:c r="O111" s="139" t="n">
        <x:v>1</x:v>
      </x:c>
      <x:c r="P111" s="153" t="e">
        <x:f>HYPERLINK("https://github.com/kapiltrip/hdlBits/blob/main/problems/Day%2004/106-lfsr32.md","Open note")</x:f>
        <x:v>HYPERLINK is not implemented. linkLocation=https://github.com/kapiltrip/hdlBits/blob/main/problems/Day%2004/106-lfsr32.md, friendlyName=Open note</x:v>
      </x:c>
      <x:c r="Q111" s="153" t="e">
        <x:f>HYPERLINK("https://github.com/kapiltrip/hdlBits/blob/main/images/Day%2004/106-lfsr32.png","Full-size image")</x:f>
        <x:v>HYPERLINK is not implemented. linkLocation=https://github.com/kapiltrip/hdlBits/blob/main/images/Day%2004/106-lfsr32.png, friendlyName=Full-size image</x:v>
      </x:c>
      <x:c r="R111" s="153" t="e">
        <x:f>HYPERLINK("https://github.com/kapiltrip/hdlBits/blob/main/solutions/Day%2004/106-lfsr32.sv","Open solution")</x:f>
        <x:v>HYPERLINK is not implemented. linkLocation=https://github.com/kapiltrip/hdlBits/blob/main/solutions/Day%2004/106-lfsr32.sv, friendlyName=Open solution</x:v>
      </x:c>
      <x:c r="S111" s="153" t="e">
        <x:f>HYPERLINK("https://hdlbits.01xz.net/wiki/lfsr32","HDLBits")</x:f>
        <x:v>HYPERLINK is not implemented. linkLocation=https://hdlbits.01xz.net/wiki/lfsr32, friendlyName=HDLBits</x:v>
      </x:c>
      <x:c r="T111" s="162" t="str">
        <x:v>Implement a 32-bit linear-feedback shift register with the specified tap positions.</x:v>
      </x:c>
      <x:c r="U111" s="168"/>
    </x:row>
    <x:row r="112" ht="42" customHeight="1">
      <x:c r="A112" s="135" t="n">
        <x:v>107</x:v>
      </x:c>
      <x:c r="B112" s="136" t="str">
        <x:v>Circuits</x:v>
      </x:c>
      <x:c r="C112" s="136" t="str">
        <x:v>Sequential Logic</x:v>
      </x:c>
      <x:c r="D112" s="136" t="str">
        <x:v>Shift Registers</x:v>
      </x:c>
      <x:c r="E112" s="136" t="str">
        <x:v>Shift register</x:v>
      </x:c>
      <x:c r="F112" s="136" t="str">
        <x:v>exams/m2014_q4k</x:v>
      </x:c>
      <x:c r="G112" s="135" t="str">
        <x:v>Completed</x:v>
      </x:c>
      <x:c r="H112" s="135" t="str">
        <x:v>Day 04</x:v>
      </x:c>
      <x:c r="I112" s="137" t="n">
        <x:v>46199.5</x:v>
      </x:c>
      <x:c r="J112" s="135" t="str">
        <x:v>11:20:08 PM</x:v>
      </x:c>
      <x:c r="K112" s="138" t="n">
        <x:v>8</x:v>
      </x:c>
      <x:c r="L112" s="138" t="n">
        <x:v>6</x:v>
      </x:c>
      <x:c r="M112" s="138" t="n">
        <x:v>1</x:v>
      </x:c>
      <x:c r="N112" s="138" t="n">
        <x:v>0</x:v>
      </x:c>
      <x:c r="O112" s="139" t="n">
        <x:v>0.13</x:v>
      </x:c>
      <x:c r="P112" s="153" t="e">
        <x:f>HYPERLINK("https://github.com/kapiltrip/hdlBits/blob/main/problems/Day%2004/107-exams__m2014_q4k.md","Open note")</x:f>
        <x:v>HYPERLINK is not implemented. linkLocation=https://github.com/kapiltrip/hdlBits/blob/main/problems/Day%2004/107-exams__m2014_q4k.md, friendlyName=Open note</x:v>
      </x:c>
      <x:c r="Q112" s="153" t="e">
        <x:f>HYPERLINK("https://github.com/kapiltrip/hdlBits/blob/main/images/Day%2004/107-exams__m2014_q4k.png","Full-size image")</x:f>
        <x:v>HYPERLINK is not implemented. linkLocation=https://github.com/kapiltrip/hdlBits/blob/main/images/Day%2004/107-exams__m2014_q4k.png, friendlyName=Full-size image</x:v>
      </x:c>
      <x:c r="R112" s="153" t="e">
        <x:f>HYPERLINK("https://github.com/kapiltrip/hdlBits/blob/main/solutions/Day%2004/107-exams__m2014_q4k.sv","Open solution")</x:f>
        <x:v>HYPERLINK is not implemented. linkLocation=https://github.com/kapiltrip/hdlBits/blob/main/solutions/Day%2004/107-exams__m2014_q4k.sv, friendlyName=Open solution</x:v>
      </x:c>
      <x:c r="S112" s="153" t="e">
        <x:f>HYPERLINK("https://hdlbits.01xz.net/wiki/exams/m2014_q4k","HDLBits")</x:f>
        <x:v>HYPERLINK is not implemented. linkLocation=https://hdlbits.01xz.net/wiki/exams/m2014_q4k, friendlyName=HDLBits</x:v>
      </x:c>
      <x:c r="T112" s="162" t="str">
        <x:v>Translate the exam shift-register schematic into clocked Verilog with the same data movement.</x:v>
      </x:c>
      <x:c r="U112" s="168"/>
    </x:row>
    <x:row r="113" ht="42" customHeight="1">
      <x:c r="A113" s="135" t="n">
        <x:v>108</x:v>
      </x:c>
      <x:c r="B113" s="136" t="str">
        <x:v>Circuits</x:v>
      </x:c>
      <x:c r="C113" s="136" t="str">
        <x:v>Sequential Logic</x:v>
      </x:c>
      <x:c r="D113" s="136" t="str">
        <x:v>Shift Registers</x:v>
      </x:c>
      <x:c r="E113" s="136" t="str">
        <x:v>Shift register</x:v>
      </x:c>
      <x:c r="F113" s="136" t="str">
        <x:v>exams/2014_q4b</x:v>
      </x:c>
      <x:c r="G113" s="135" t="str">
        <x:v>Completed</x:v>
      </x:c>
      <x:c r="H113" s="135" t="str">
        <x:v>Day 05</x:v>
      </x:c>
      <x:c r="I113" s="137" t="n">
        <x:v>46200.5</x:v>
      </x:c>
      <x:c r="J113" s="135" t="str">
        <x:v>12:13:30 AM</x:v>
      </x:c>
      <x:c r="K113" s="138" t="n">
        <x:v>6</x:v>
      </x:c>
      <x:c r="L113" s="138" t="n">
        <x:v>0</x:v>
      </x:c>
      <x:c r="M113" s="138" t="n">
        <x:v>5</x:v>
      </x:c>
      <x:c r="N113" s="138" t="n">
        <x:v>0</x:v>
      </x:c>
      <x:c r="O113" s="139" t="n">
        <x:v>0.17</x:v>
      </x:c>
      <x:c r="P113" s="153" t="e">
        <x:f>HYPERLINK("https://github.com/kapiltrip/hdlBits/blob/main/problems/Day%2005/108-exams__2014_q4b.md","Open note")</x:f>
        <x:v>HYPERLINK is not implemented. linkLocation=https://github.com/kapiltrip/hdlBits/blob/main/problems/Day%2005/108-exams__2014_q4b.md, friendlyName=Open note</x:v>
      </x:c>
      <x:c r="Q113" s="153" t="e">
        <x:f>HYPERLINK("https://github.com/kapiltrip/hdlBits/blob/main/images/Day%2005/108-exams__2014_q4b.png","Full-size image")</x:f>
        <x:v>HYPERLINK is not implemented. linkLocation=https://github.com/kapiltrip/hdlBits/blob/main/images/Day%2005/108-exams__2014_q4b.png, friendlyName=Full-size image</x:v>
      </x:c>
      <x:c r="R113" s="153" t="e">
        <x:f>HYPERLINK("https://github.com/kapiltrip/hdlBits/blob/main/solutions/Day%2005/108-exams__2014_q4b.sv","Open solution")</x:f>
        <x:v>HYPERLINK is not implemented. linkLocation=https://github.com/kapiltrip/hdlBits/blob/main/solutions/Day%2005/108-exams__2014_q4b.sv, friendlyName=Open solution</x:v>
      </x:c>
      <x:c r="S113" s="153" t="e">
        <x:f>HYPERLINK("https://hdlbits.01xz.net/wiki/exams/2014_q4b","HDLBits")</x:f>
        <x:v>HYPERLINK is not implemented. linkLocation=https://hdlbits.01xz.net/wiki/exams/2014_q4b, friendlyName=HDLBits</x:v>
      </x:c>
      <x:c r="T113" s="162" t="str">
        <x:v>Implement the shown shift register and its control logic exactly as specified by the exam circuit.</x:v>
      </x:c>
      <x:c r="U113" s="168"/>
    </x:row>
    <x:row r="114" ht="42" customHeight="1">
      <x:c r="A114" s="135" t="n">
        <x:v>109</x:v>
      </x:c>
      <x:c r="B114" s="136" t="str">
        <x:v>Circuits</x:v>
      </x:c>
      <x:c r="C114" s="136" t="str">
        <x:v>Sequential Logic</x:v>
      </x:c>
      <x:c r="D114" s="136" t="str">
        <x:v>Shift Registers</x:v>
      </x:c>
      <x:c r="E114" s="136" t="str">
        <x:v>3-input LUT</x:v>
      </x:c>
      <x:c r="F114" s="136" t="str">
        <x:v>exams/ece241_2013_q12</x:v>
      </x:c>
      <x:c r="G114" s="135" t="str">
        <x:v>Completed</x:v>
      </x:c>
      <x:c r="H114" s="135" t="str">
        <x:v>Day 05</x:v>
      </x:c>
      <x:c r="I114" s="137" t="n">
        <x:v>46200.5</x:v>
      </x:c>
      <x:c r="J114" s="135" t="str">
        <x:v>12:36:42 AM</x:v>
      </x:c>
      <x:c r="K114" s="138" t="n">
        <x:v>2</x:v>
      </x:c>
      <x:c r="L114" s="138" t="n">
        <x:v>0</x:v>
      </x:c>
      <x:c r="M114" s="138" t="n">
        <x:v>1</x:v>
      </x:c>
      <x:c r="N114" s="138" t="n">
        <x:v>0</x:v>
      </x:c>
      <x:c r="O114" s="139" t="n">
        <x:v>0.5</x:v>
      </x:c>
      <x:c r="P114" s="153" t="e">
        <x:f>HYPERLINK("https://github.com/kapiltrip/hdlBits/blob/main/problems/Day%2005/109-exams__ece241_2013_q12.md","Open note")</x:f>
        <x:v>HYPERLINK is not implemented. linkLocation=https://github.com/kapiltrip/hdlBits/blob/main/problems/Day%2005/109-exams__ece241_2013_q12.md, friendlyName=Open note</x:v>
      </x:c>
      <x:c r="Q114" s="153" t="e">
        <x:f>HYPERLINK("https://github.com/kapiltrip/hdlBits/blob/main/images/Day%2005/109-exams__ece241_2013_q12.png","Full-size image")</x:f>
        <x:v>HYPERLINK is not implemented. linkLocation=https://github.com/kapiltrip/hdlBits/blob/main/images/Day%2005/109-exams__ece241_2013_q12.png, friendlyName=Full-size image</x:v>
      </x:c>
      <x:c r="R114" s="153" t="e">
        <x:f>HYPERLINK("https://github.com/kapiltrip/hdlBits/blob/main/solutions/Day%2005/109-exams__ece241_2013_q12.sv","Open solution")</x:f>
        <x:v>HYPERLINK is not implemented. linkLocation=https://github.com/kapiltrip/hdlBits/blob/main/solutions/Day%2005/109-exams__ece241_2013_q12.sv, friendlyName=Open solution</x:v>
      </x:c>
      <x:c r="S114" s="153" t="e">
        <x:f>HYPERLINK("https://hdlbits.01xz.net/wiki/exams/ece241_2013_q12","HDLBits")</x:f>
        <x:v>HYPERLINK is not implemented. linkLocation=https://hdlbits.01xz.net/wiki/exams/ece241_2013_q12, friendlyName=HDLBits</x:v>
      </x:c>
      <x:c r="T114" s="162" t="str">
        <x:v>Build a 3-input lookup table from a shift register and multiplexer so its truth table can be loaded serially.</x:v>
      </x:c>
      <x:c r="U114" s="168"/>
    </x:row>
    <x:row r="115" ht="42" customHeight="1">
      <x:c r="A115" s="135" t="n">
        <x:v>110</x:v>
      </x:c>
      <x:c r="B115" s="136" t="str">
        <x:v>Circuits</x:v>
      </x:c>
      <x:c r="C115" s="136" t="str">
        <x:v>Sequential Logic</x:v>
      </x:c>
      <x:c r="D115" s="136" t="str">
        <x:v>Finite State Machines</x:v>
      </x:c>
      <x:c r="E115" s="136" t="str">
        <x:v>Simple FSM 1 (asynchronous reset)</x:v>
      </x:c>
      <x:c r="F115" s="136" t="str">
        <x:v>fsm1</x:v>
      </x:c>
      <x:c r="G115" s="135" t="str">
        <x:v>Completed</x:v>
      </x:c>
      <x:c r="H115" s="135" t="str">
        <x:v>Day 05</x:v>
      </x:c>
      <x:c r="I115" s="137" t="n">
        <x:v>46200.5</x:v>
      </x:c>
      <x:c r="J115" s="135" t="str">
        <x:v>1:04:37 AM</x:v>
      </x:c>
      <x:c r="K115" s="138" t="n">
        <x:v>9</x:v>
      </x:c>
      <x:c r="L115" s="138" t="n">
        <x:v>2</x:v>
      </x:c>
      <x:c r="M115" s="138" t="n">
        <x:v>5</x:v>
      </x:c>
      <x:c r="N115" s="138" t="n">
        <x:v>1</x:v>
      </x:c>
      <x:c r="O115" s="139" t="n">
        <x:v>0.11</x:v>
      </x:c>
      <x:c r="P115" s="153" t="e">
        <x:f>HYPERLINK("https://github.com/kapiltrip/hdlBits/blob/main/problems/Day%2005/110-fsm1.md","Open note")</x:f>
        <x:v>HYPERLINK is not implemented. linkLocation=https://github.com/kapiltrip/hdlBits/blob/main/problems/Day%2005/110-fsm1.md, friendlyName=Open note</x:v>
      </x:c>
      <x:c r="Q115" s="153" t="e">
        <x:f>HYPERLINK("https://github.com/kapiltrip/hdlBits/blob/main/images/Day%2005/110-fsm1.png","Full-size image")</x:f>
        <x:v>HYPERLINK is not implemented. linkLocation=https://github.com/kapiltrip/hdlBits/blob/main/images/Day%2005/110-fsm1.png, friendlyName=Full-size image</x:v>
      </x:c>
      <x:c r="R115" s="153" t="e">
        <x:f>HYPERLINK("https://github.com/kapiltrip/hdlBits/blob/main/solutions/Day%2005/110-fsm1.sv","Open solution")</x:f>
        <x:v>HYPERLINK is not implemented. linkLocation=https://github.com/kapiltrip/hdlBits/blob/main/solutions/Day%2005/110-fsm1.sv, friendlyName=Open solution</x:v>
      </x:c>
      <x:c r="S115" s="153" t="e">
        <x:f>HYPERLINK("https://hdlbits.01xz.net/wiki/fsm1","HDLBits")</x:f>
        <x:v>HYPERLINK is not implemented. linkLocation=https://hdlbits.01xz.net/wiki/fsm1, friendlyName=HDLBits</x:v>
      </x:c>
      <x:c r="T115" s="162" t="str">
        <x:v>Implement the provided two-state FSM, using an asynchronous reset and the diagram's transition and output rules.</x:v>
      </x:c>
      <x:c r="U115" s="168"/>
    </x:row>
    <x:row r="116" ht="42" customHeight="1">
      <x:c r="A116" s="135" t="n">
        <x:v>111</x:v>
      </x:c>
      <x:c r="B116" s="136" t="str">
        <x:v>Circuits</x:v>
      </x:c>
      <x:c r="C116" s="136" t="str">
        <x:v>Sequential Logic</x:v>
      </x:c>
      <x:c r="D116" s="136" t="str">
        <x:v>Finite State Machines</x:v>
      </x:c>
      <x:c r="E116" s="136" t="str">
        <x:v>Simple FSM 1 (synchronous reset)</x:v>
      </x:c>
      <x:c r="F116" s="136" t="str">
        <x:v>fsm1s</x:v>
      </x:c>
      <x:c r="G116" s="135" t="str">
        <x:v>Completed</x:v>
      </x:c>
      <x:c r="H116" s="135" t="str">
        <x:v>Day 05</x:v>
      </x:c>
      <x:c r="I116" s="137" t="n">
        <x:v>46200.5</x:v>
      </x:c>
      <x:c r="J116" s="135" t="str">
        <x:v>1:25:24 AM</x:v>
      </x:c>
      <x:c r="K116" s="138" t="n">
        <x:v>3</x:v>
      </x:c>
      <x:c r="L116" s="138" t="n">
        <x:v>1</x:v>
      </x:c>
      <x:c r="M116" s="138" t="n">
        <x:v>1</x:v>
      </x:c>
      <x:c r="N116" s="138" t="n">
        <x:v>0</x:v>
      </x:c>
      <x:c r="O116" s="139" t="n">
        <x:v>0.33</x:v>
      </x:c>
      <x:c r="P116" s="153" t="e">
        <x:f>HYPERLINK("https://github.com/kapiltrip/hdlBits/blob/main/problems/Day%2005/111-fsm1s.md","Open note")</x:f>
        <x:v>HYPERLINK is not implemented. linkLocation=https://github.com/kapiltrip/hdlBits/blob/main/problems/Day%2005/111-fsm1s.md, friendlyName=Open note</x:v>
      </x:c>
      <x:c r="Q116" s="153" t="e">
        <x:f>HYPERLINK("https://github.com/kapiltrip/hdlBits/blob/main/images/Day%2005/111-fsm1s.png","Full-size image")</x:f>
        <x:v>HYPERLINK is not implemented. linkLocation=https://github.com/kapiltrip/hdlBits/blob/main/images/Day%2005/111-fsm1s.png, friendlyName=Full-size image</x:v>
      </x:c>
      <x:c r="R116" s="153" t="e">
        <x:f>HYPERLINK("https://github.com/kapiltrip/hdlBits/blob/main/solutions/Day%2005/111-fsm1s.sv","Open solution")</x:f>
        <x:v>HYPERLINK is not implemented. linkLocation=https://github.com/kapiltrip/hdlBits/blob/main/solutions/Day%2005/111-fsm1s.sv, friendlyName=Open solution</x:v>
      </x:c>
      <x:c r="S116" s="153" t="e">
        <x:f>HYPERLINK("https://hdlbits.01xz.net/wiki/fsm1s","HDLBits")</x:f>
        <x:v>HYPERLINK is not implemented. linkLocation=https://hdlbits.01xz.net/wiki/fsm1s, friendlyName=HDLBits</x:v>
      </x:c>
      <x:c r="T116" s="162" t="str">
        <x:v>Implement the same two-state FSM with a synchronous reset instead of an asynchronous reset.</x:v>
      </x:c>
      <x:c r="U116" s="168"/>
    </x:row>
    <x:row r="117" ht="42" customHeight="1">
      <x:c r="A117" s="135" t="n">
        <x:v>112</x:v>
      </x:c>
      <x:c r="B117" s="136" t="str">
        <x:v>Circuits</x:v>
      </x:c>
      <x:c r="C117" s="136" t="str">
        <x:v>Sequential Logic</x:v>
      </x:c>
      <x:c r="D117" s="136" t="str">
        <x:v>Finite State Machines</x:v>
      </x:c>
      <x:c r="E117" s="136" t="str">
        <x:v>Simple FSM 2 (asynchronous reset)</x:v>
      </x:c>
      <x:c r="F117" s="136" t="str">
        <x:v>fsm2</x:v>
      </x:c>
      <x:c r="G117" s="135" t="str">
        <x:v>Completed</x:v>
      </x:c>
      <x:c r="H117" s="135" t="str">
        <x:v>Day 05</x:v>
      </x:c>
      <x:c r="I117" s="137" t="n">
        <x:v>46200.5</x:v>
      </x:c>
      <x:c r="J117" s="135" t="str">
        <x:v>1:59:48 AM</x:v>
      </x:c>
      <x:c r="K117" s="138" t="n">
        <x:v>6</x:v>
      </x:c>
      <x:c r="L117" s="138" t="n">
        <x:v>5</x:v>
      </x:c>
      <x:c r="M117" s="138" t="n">
        <x:v>0</x:v>
      </x:c>
      <x:c r="N117" s="138" t="n">
        <x:v>0</x:v>
      </x:c>
      <x:c r="O117" s="139" t="n">
        <x:v>0.17</x:v>
      </x:c>
      <x:c r="P117" s="153" t="e">
        <x:f>HYPERLINK("https://github.com/kapiltrip/hdlBits/blob/main/problems/Day%2005/112-fsm2.md","Open note")</x:f>
        <x:v>HYPERLINK is not implemented. linkLocation=https://github.com/kapiltrip/hdlBits/blob/main/problems/Day%2005/112-fsm2.md, friendlyName=Open note</x:v>
      </x:c>
      <x:c r="Q117" s="153" t="e">
        <x:f>HYPERLINK("https://github.com/kapiltrip/hdlBits/blob/main/images/Day%2005/112-fsm2.png","Full-size image")</x:f>
        <x:v>HYPERLINK is not implemented. linkLocation=https://github.com/kapiltrip/hdlBits/blob/main/images/Day%2005/112-fsm2.png, friendlyName=Full-size image</x:v>
      </x:c>
      <x:c r="R117" s="153" t="e">
        <x:f>HYPERLINK("https://github.com/kapiltrip/hdlBits/blob/main/solutions/Day%2005/112-fsm2.sv","Open solution")</x:f>
        <x:v>HYPERLINK is not implemented. linkLocation=https://github.com/kapiltrip/hdlBits/blob/main/solutions/Day%2005/112-fsm2.sv, friendlyName=Open solution</x:v>
      </x:c>
      <x:c r="S117" s="153" t="e">
        <x:f>HYPERLINK("https://hdlbits.01xz.net/wiki/fsm2","HDLBits")</x:f>
        <x:v>HYPERLINK is not implemented. linkLocation=https://hdlbits.01xz.net/wiki/fsm2, friendlyName=HDLBits</x:v>
      </x:c>
      <x:c r="T117" s="162" t="str">
        <x:v>Implement the second supplied finite-state machine, including its asynchronous reset, transitions, and output decoding.</x:v>
      </x:c>
      <x:c r="U117" s="168"/>
    </x:row>
    <x:row r="118" ht="42" customHeight="1">
      <x:c r="A118" s="135" t="n">
        <x:v>113</x:v>
      </x:c>
      <x:c r="B118" s="136" t="str">
        <x:v>Circuits</x:v>
      </x:c>
      <x:c r="C118" s="136" t="str">
        <x:v>Sequential Logic</x:v>
      </x:c>
      <x:c r="D118" s="136" t="str">
        <x:v>Finite State Machines</x:v>
      </x:c>
      <x:c r="E118" s="136" t="str">
        <x:v>Simple FSM 2 (synchronous reset)</x:v>
      </x:c>
      <x:c r="F118" s="136" t="str">
        <x:v>fsm2s</x:v>
      </x:c>
      <x:c r="G118" s="135" t="str">
        <x:v>Completed</x:v>
      </x:c>
      <x:c r="H118" s="135" t="str">
        <x:v>Day 05</x:v>
      </x:c>
      <x:c r="I118" s="137" t="n">
        <x:v>46200.5</x:v>
      </x:c>
      <x:c r="J118" s="135" t="str">
        <x:v>2:04:20 AM</x:v>
      </x:c>
      <x:c r="K118" s="138" t="n">
        <x:v>2</x:v>
      </x:c>
      <x:c r="L118" s="138" t="n">
        <x:v>0</x:v>
      </x:c>
      <x:c r="M118" s="138" t="n">
        <x:v>1</x:v>
      </x:c>
      <x:c r="N118" s="138" t="n">
        <x:v>0</x:v>
      </x:c>
      <x:c r="O118" s="139" t="n">
        <x:v>0.5</x:v>
      </x:c>
      <x:c r="P118" s="153" t="e">
        <x:f>HYPERLINK("https://github.com/kapiltrip/hdlBits/blob/main/problems/Day%2005/113-fsm2s.md","Open note")</x:f>
        <x:v>HYPERLINK is not implemented. linkLocation=https://github.com/kapiltrip/hdlBits/blob/main/problems/Day%2005/113-fsm2s.md, friendlyName=Open note</x:v>
      </x:c>
      <x:c r="Q118" s="153" t="e">
        <x:f>HYPERLINK("https://github.com/kapiltrip/hdlBits/blob/main/images/Day%2005/113-fsm2s.png","Full-size image")</x:f>
        <x:v>HYPERLINK is not implemented. linkLocation=https://github.com/kapiltrip/hdlBits/blob/main/images/Day%2005/113-fsm2s.png, friendlyName=Full-size image</x:v>
      </x:c>
      <x:c r="R118" s="153" t="e">
        <x:f>HYPERLINK("https://github.com/kapiltrip/hdlBits/blob/main/solutions/Day%2005/113-fsm2s.sv","Open solution")</x:f>
        <x:v>HYPERLINK is not implemented. linkLocation=https://github.com/kapiltrip/hdlBits/blob/main/solutions/Day%2005/113-fsm2s.sv, friendlyName=Open solution</x:v>
      </x:c>
      <x:c r="S118" s="153" t="e">
        <x:f>HYPERLINK("https://hdlbits.01xz.net/wiki/fsm2s","HDLBits")</x:f>
        <x:v>HYPERLINK is not implemented. linkLocation=https://hdlbits.01xz.net/wiki/fsm2s, friendlyName=HDLBits</x:v>
      </x:c>
      <x:c r="T118" s="162" t="str">
        <x:v>Implement the second FSM with a synchronous reset while preserving the transition and output behaviour.</x:v>
      </x:c>
      <x:c r="U118" s="168"/>
    </x:row>
    <x:row r="119" ht="42" customHeight="1">
      <x:c r="A119" s="135" t="n">
        <x:v>114</x:v>
      </x:c>
      <x:c r="B119" s="136" t="str">
        <x:v>Circuits</x:v>
      </x:c>
      <x:c r="C119" s="136" t="str">
        <x:v>Sequential Logic</x:v>
      </x:c>
      <x:c r="D119" s="136" t="str">
        <x:v>Finite State Machines</x:v>
      </x:c>
      <x:c r="E119" s="136" t="str">
        <x:v>Simple state transitions 3</x:v>
      </x:c>
      <x:c r="F119" s="136" t="str">
        <x:v>fsm3comb</x:v>
      </x:c>
      <x:c r="G119" s="135" t="str">
        <x:v>Completed</x:v>
      </x:c>
      <x:c r="H119" s="135" t="str">
        <x:v>Day 05</x:v>
      </x:c>
      <x:c r="I119" s="137" t="n">
        <x:v>46200.5</x:v>
      </x:c>
      <x:c r="J119" s="135" t="str">
        <x:v>2:15:08 AM</x:v>
      </x:c>
      <x:c r="K119" s="138" t="n">
        <x:v>7</x:v>
      </x:c>
      <x:c r="L119" s="138" t="n">
        <x:v>1</x:v>
      </x:c>
      <x:c r="M119" s="138" t="n">
        <x:v>5</x:v>
      </x:c>
      <x:c r="N119" s="138" t="n">
        <x:v>0</x:v>
      </x:c>
      <x:c r="O119" s="139" t="n">
        <x:v>0.14</x:v>
      </x:c>
      <x:c r="P119" s="153" t="e">
        <x:f>HYPERLINK("https://github.com/kapiltrip/hdlBits/blob/main/problems/Day%2005/114-fsm3comb.md","Open note")</x:f>
        <x:v>HYPERLINK is not implemented. linkLocation=https://github.com/kapiltrip/hdlBits/blob/main/problems/Day%2005/114-fsm3comb.md, friendlyName=Open note</x:v>
      </x:c>
      <x:c r="Q119" s="153" t="e">
        <x:f>HYPERLINK("https://github.com/kapiltrip/hdlBits/blob/main/images/Day%2005/114-fsm3comb.png","Full-size image")</x:f>
        <x:v>HYPERLINK is not implemented. linkLocation=https://github.com/kapiltrip/hdlBits/blob/main/images/Day%2005/114-fsm3comb.png, friendlyName=Full-size image</x:v>
      </x:c>
      <x:c r="R119" s="153" t="e">
        <x:f>HYPERLINK("https://github.com/kapiltrip/hdlBits/blob/main/solutions/Day%2005/114-fsm3comb.sv","Open solution")</x:f>
        <x:v>HYPERLINK is not implemented. linkLocation=https://github.com/kapiltrip/hdlBits/blob/main/solutions/Day%2005/114-fsm3comb.sv, friendlyName=Open solution</x:v>
      </x:c>
      <x:c r="S119" s="153" t="e">
        <x:f>HYPERLINK("https://hdlbits.01xz.net/wiki/fsm3comb","HDLBits")</x:f>
        <x:v>HYPERLINK is not implemented. linkLocation=https://hdlbits.01xz.net/wiki/fsm3comb, friendlyName=HDLBits</x:v>
      </x:c>
      <x:c r="T119" s="162" t="str">
        <x:v>Write only the combinational next-state logic for the supplied state-transition diagram.</x:v>
      </x:c>
      <x:c r="U119" s="168"/>
    </x:row>
    <x:row r="120" ht="42" customHeight="1">
      <x:c r="A120" s="142" t="n">
        <x:v>115</x:v>
      </x:c>
      <x:c r="B120" s="143" t="str">
        <x:v>Circuits</x:v>
      </x:c>
      <x:c r="C120" s="143" t="str">
        <x:v>Sequential Logic</x:v>
      </x:c>
      <x:c r="D120" s="143" t="str">
        <x:v>Finite State Machines</x:v>
      </x:c>
      <x:c r="E120" s="143" t="str">
        <x:v>Simple one-hot state transitions 3</x:v>
      </x:c>
      <x:c r="F120" s="143" t="str">
        <x:v>fsm3onehot</x:v>
      </x:c>
      <x:c r="G120" s="142" t="str">
        <x:v>Attempted / current</x:v>
      </x:c>
      <x:c r="H120" s="142" t="str"/>
      <x:c r="I120" s="144"/>
      <x:c r="J120" s="142" t="str"/>
      <x:c r="K120" s="145" t="n">
        <x:v>5</x:v>
      </x:c>
      <x:c r="L120" s="145" t="n">
        <x:v>4</x:v>
      </x:c>
      <x:c r="M120" s="145" t="n">
        <x:v>1</x:v>
      </x:c>
      <x:c r="N120" s="145" t="n">
        <x:v>0</x:v>
      </x:c>
      <x:c r="O120" s="146" t="n">
        <x:v>0</x:v>
      </x:c>
      <x:c r="P120" s="154"/>
      <x:c r="Q120" s="154"/>
      <x:c r="R120" s="154"/>
      <x:c r="S120" s="154" t="e">
        <x:f>HYPERLINK("https://hdlbits.01xz.net/wiki/fsm3onehot","HDLBits")</x:f>
        <x:v>HYPERLINK is not implemented. linkLocation=https://hdlbits.01xz.net/wiki/fsm3onehot, friendlyName=HDLBits</x:v>
      </x:c>
      <x:c r="T120" s="163" t="str">
        <x:v>Implement the supplied FSM's combinational next-state equations using one-hot state encoding.</x:v>
      </x:c>
      <x:c r="U120" s="168"/>
    </x:row>
  </x:sheetData>
  <x:mergeCells>
    <x:mergeCell ref="A1:U1"/>
    <x:mergeCell ref="A3:U3"/>
  </x:mergeCells>
  <x:conditionalFormatting sqref="G6:G120">
    <x:cfRule type="containsText" dxfId="0" priority="1" operator="containsText" text="Completed"/>
    <x:cfRule type="containsText" dxfId="1" priority="2" operator="containsText" text="Attempted"/>
  </x:conditionalFormatting>
  <x:conditionalFormatting sqref="O6:O120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058414ac6b5407b"/>
  </x:tableParts>
</x:worksheet>
</file>