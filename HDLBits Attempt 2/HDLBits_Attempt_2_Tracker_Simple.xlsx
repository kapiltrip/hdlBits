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c509be88814b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7a3787a7d6a547fd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<x:sst xmlns:x="http://schemas.openxmlformats.org/spreadsheetml/2006/main">
  <x:si>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</x:si>
  <x:si>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</x:si>
  <x:si>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</x:si>
  <x:si>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</x:si>
  <x:si>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</x:si>
  <x:si>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</x:si>
  <x:si>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</x:si>
  <x:si>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</x:si>
  <x:si>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</x:si>
  <x:si>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</x:si>
  <x:si>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</x:si>
  <x:si>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</x:si>
  <x:si>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No questions asked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</x:si>
  <x:si>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</x:si>
  <x:si>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</x:si>
  <x:si>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</x:si>
  <x:si>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</x:si>
  <x:si>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</x:si>
  <x:si>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Day 7</x:t>
  </x:si>
  <x:si>
    <x:t xml:space="preserve">Day 8</x:t>
  </x:si>
  <x:si>
    <x:t xml:space="preserve">Pending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</x:si>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</x:sst>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0563C1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5" fillId="0" borderId="4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0" borderId="2" xfId="0" applyFont="1" applyBorder="1" applyAlignment="1">
      <x:alignment vertical="center"/>
    </x:xf>
    <x:xf numFmtId="0" fontId="7" fillId="0" borderId="3" xfId="0" applyFont="1" applyBorder="1" applyAlignment="1">
      <x:alignment vertical="center"/>
    </x:xf>
    <x:xf numFmtId="0" fontId="7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6" fillId="9" borderId="3" xfId="0" applyFont="1" applyFill="1" applyBorder="1" applyAlignment="1">
      <x:alignment horizontal="left" vertical="center"/>
    </x:xf>
    <x:xf numFmtId="0" fontId="4" fillId="10" borderId="3" xfId="0" applyFont="1" applyFill="1" applyBorder="1" applyAlignment="1">
      <x:alignment horizontal="left" vertical="center"/>
    </x:xf>
    <x:xf numFmtId="0" fontId="6" fillId="11" borderId="3" xfId="0" applyFont="1" applyFill="1" applyBorder="1" applyAlignment="1">
      <x:alignment horizontal="left" vertical="center"/>
    </x:xf>
    <x:xf numFmtId="0" fontId="6" fillId="12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horizontal="left" vertical="center"/>
    </x:xf>
    <x:xf numFmtId="0" fontId="4" fillId="7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vertical="center"/>
    </x:xf>
    <x:xf numFmtId="0" fontId="4" fillId="13" borderId="3" xfId="0" applyFont="1" applyFill="1" applyBorder="1" applyAlignment="1">
      <x:alignment horizontal="left" vertical="center"/>
    </x:xf>
    <x:xf numFmtId="0" fontId="4" fillId="14" borderId="3" xfId="0" applyFont="1" applyFill="1" applyBorder="1" applyAlignment="1">
      <x:alignment horizontal="left" vertical="center"/>
    </x:xf>
    <x:xf numFmtId="0" fontId="6" fillId="15" borderId="3" xfId="0" applyFont="1" applyFill="1" applyBorder="1" applyAlignment="1">
      <x:alignment horizontal="left" vertical="center"/>
    </x:xf>
    <x:xf numFmtId="0" fontId="4" fillId="16" borderId="3" xfId="0" applyFont="1" applyFill="1" applyBorder="1" applyAlignment="1">
      <x:alignment horizontal="left" vertical="center"/>
    </x:xf>
    <x:xf numFmtId="0" fontId="4" fillId="17" borderId="3" xfId="0" applyFont="1" applyFill="1" applyBorder="1" applyAlignment="1">
      <x:alignment horizontal="left"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e18afd1b8a4570" /><Relationship Type="http://schemas.openxmlformats.org/officeDocument/2006/relationships/theme" Target="/xl/theme/theme1.xml" Id="R5bcb11b9302b4274" /><Relationship Type="http://schemas.openxmlformats.org/officeDocument/2006/relationships/sharedStrings" Target="/xl/sharedStrings.xml" Id="Rb29d15d3aae34bd8" /><Relationship Type="http://schemas.openxmlformats.org/officeDocument/2006/relationships/worksheet" Target="/xl/worksheets/sheet1.xml" Id="R7a3787a7d6a547fd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ff62c36c4b42c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1" customWidth="1"/>
    <x:col min="3" max="3" width="42" customWidth="1"/>
    <x:col min="4" max="4" width="14" customWidth="1"/>
    <x:col min="5" max="5" width="30" customWidth="1"/>
  </x:cols>
  <x:sheetData>
    <x:row r="1" ht="28.950000762939453" customHeight="1">
      <x:c r="A1" s="27" t="s">
        <x:v>0</x:v>
      </x:c>
      <x:c r="B1" s="27"/>
      <x:c r="C1" s="27"/>
      <x:c r="D1" s="27"/>
      <x:c r="E1" s="27"/>
    </x:row>
    <x:row r="2" ht="22.950000762939453" customHeight="1">
      <x:c r="A2" s="28" t="s">
        <x:v>1</x:v>
      </x:c>
      <x:c r="B2" s="28"/>
      <x:c r="C2" s="28"/>
      <x:c r="D2" s="28"/>
      <x:c r="E2" s="28"/>
    </x:row>
    <x:row r="3" ht="25.049999237060547" customHeight="1">
      <x:c r="A3" s="1" t="s">
        <x:v>2</x:v>
      </x:c>
      <x:c s="1" r="B3" t="n">
        <x:v>155</x:v>
      </x:c>
      <x:c r="C3" s="1" t="s">
        <x:v>3</x:v>
      </x:c>
      <x:c s="1" r="D3" t="n">
        <x:v>23</x:v>
      </x:c>
      <x:c r="E3" s="1" t="s">
        <x:v>4</x:v>
      </x:c>
    </x:row>
    <x:row r="5" ht="25.950000762939453" customHeight="1">
      <x:c r="A5" s="2" t="s">
        <x:v>5</x:v>
      </x:c>
      <x:c r="B5" s="2" t="s">
        <x:v>6</x:v>
      </x:c>
      <x:c r="C5" s="2" t="s">
        <x:v>7</x:v>
      </x:c>
      <x:c r="D5" s="2" t="s">
        <x:v>8</x:v>
      </x:c>
      <x:c r="E5" s="2" t="s">
        <x:v>9</x:v>
      </x:c>
    </x:row>
    <x:row r="6" ht="22.049999237060547" customHeight="1">
      <x:c r="A6" s="3">
        <x:v>1</x:v>
      </x:c>
      <x:c r="B6" s="3" t="s">
        <x:v>10</x:v>
      </x:c>
      <x:c r="C6" s="11" t="str">
        <x:f>HYPERLINK("https://hdlbits.01xz.net/wiki/lemmings1","Lemmings 1")</x:f>
        <x:v>Lemmings 1</x:v>
      </x:c>
      <x:c r="D6" s="3" t="s">
        <x:v>11</x:v>
      </x:c>
      <x:c r="E6" s="9" t="s">
        <x:v>12</x:v>
      </x:c>
    </x:row>
    <x:row r="7" ht="22.049999237060547" customHeight="1">
      <x:c r="A7" s="4">
        <x:v>2</x:v>
      </x:c>
      <x:c r="B7" s="4" t="s">
        <x:v>10</x:v>
      </x:c>
      <x:c r="C7" s="12" t="str">
        <x:f>HYPERLINK("https://hdlbits.01xz.net/wiki/fsm_serial","Serial receiver")</x:f>
        <x:v>Serial receiver</x:v>
      </x:c>
      <x:c r="D7" s="4" t="s">
        <x:v>11</x:v>
      </x:c>
      <x:c r="E7" s="14" t="str">
        <x:f>HYPERLINK("HDLBits_Fsm_serialdata_For_Loops_vs_Clock_Cycles.pdf","Serial discussion PDF")</x:f>
        <x:v>Serial discussion PDF</x:v>
      </x:c>
    </x:row>
    <x:row r="8" ht="22.049999237060547" customHeight="1">
      <x:c r="A8" s="4">
        <x:v>3</x:v>
      </x:c>
      <x:c r="B8" s="4" t="s">
        <x:v>10</x:v>
      </x:c>
      <x:c r="C8" s="12" t="str">
        <x:f>HYPERLINK("https://hdlbits.01xz.net/wiki/lemmings2","Lemmings 2")</x:f>
        <x:v>Lemmings 2</x:v>
      </x:c>
      <x:c r="D8" s="4" t="s">
        <x:v>11</x:v>
      </x:c>
      <x:c r="E8" s="10" t="s">
        <x:v>12</x:v>
      </x:c>
    </x:row>
    <x:row r="9" ht="22.049999237060547" customHeight="1">
      <x:c r="A9" s="4">
        <x:v>4</x:v>
      </x:c>
      <x:c r="B9" s="4" t="s">
        <x:v>10</x:v>
      </x:c>
      <x:c r="C9" s="12" t="str">
        <x:f>HYPERLINK("https://hdlbits.01xz.net/wiki/fsm_serialdata","Serial receiver and datapath")</x:f>
        <x:v>Serial receiver and datapath</x:v>
      </x:c>
      <x:c r="D9" s="4" t="s">
        <x:v>11</x:v>
      </x:c>
      <x:c r="E9" s="14" t="str">
        <x:f>HYPERLINK("HDLBits_Fsm_serialdata_For_Loops_vs_Clock_Cycles.pdf","Serial discussion PDF")</x:f>
        <x:v>Serial discussion PDF</x:v>
      </x:c>
    </x:row>
    <x:row r="10" ht="22.049999237060547" customHeight="1">
      <x:c r="A10" s="4">
        <x:v>5</x:v>
      </x:c>
      <x:c r="B10" s="4" t="s">
        <x:v>10</x:v>
      </x:c>
      <x:c r="C10" s="12" t="str">
        <x:f>HYPERLINK("https://hdlbits.01xz.net/wiki/lemmings3","Lemmings 3")</x:f>
        <x:v>Lemmings 3</x:v>
      </x:c>
      <x:c r="D10" s="4" t="s">
        <x:v>11</x:v>
      </x:c>
      <x:c r="E10" s="10" t="s">
        <x:v>12</x:v>
      </x:c>
    </x:row>
    <x:row r="11" ht="22.049999237060547" customHeight="1">
      <x:c r="A11" s="4">
        <x:v>6</x:v>
      </x:c>
      <x:c r="B11" s="4" t="s">
        <x:v>10</x:v>
      </x:c>
      <x:c r="C11" s="12" t="str">
        <x:f>HYPERLINK("https://hdlbits.01xz.net/wiki/fsm_serialdp","Serial receiver with parity checking")</x:f>
        <x:v>Serial receiver with parity checking</x:v>
      </x:c>
      <x:c r="D11" s="4" t="s">
        <x:v>11</x:v>
      </x:c>
      <x:c r="E11" s="14" t="str">
        <x:f>HYPERLINK("HDLBits_Fsm_serialdata_For_Loops_vs_Clock_Cycles.pdf","Serial discussion PDF")</x:f>
        <x:v>Serial discussion PDF</x:v>
      </x:c>
    </x:row>
    <x:row r="12" ht="22.049999237060547" customHeight="1">
      <x:c r="A12" s="4">
        <x:v>7</x:v>
      </x:c>
      <x:c r="B12" s="4" t="s">
        <x:v>10</x:v>
      </x:c>
      <x:c r="C12" s="12" t="str">
        <x:f>HYPERLINK("https://hdlbits.01xz.net/wiki/lemmings4","Lemmings 4")</x:f>
        <x:v>Lemmings 4</x:v>
      </x:c>
      <x:c r="D12" s="4" t="s">
        <x:v>11</x:v>
      </x:c>
      <x:c r="E12" s="19" t="str">
        <x:f>HYPERLINK("HDLBits_Combined_Questions_and_Day2_Review.pdf","Combined questions PDF")</x:f>
        <x:v>Combined questions PDF</x:v>
      </x:c>
    </x:row>
    <x:row r="13" ht="22.049999237060547" customHeight="1">
      <x:c r="A13" s="4">
        <x:v>8</x:v>
      </x:c>
      <x:c r="B13" s="4" t="s">
        <x:v>10</x:v>
      </x:c>
      <x:c r="C13" s="12" t="str">
        <x:f>HYPERLINK("https://hdlbits.01xz.net/wiki/fsm_hdlc","Sequence recognition")</x:f>
        <x:v>Sequence recognition</x:v>
      </x:c>
      <x:c r="D13" s="4" t="s">
        <x:v>11</x:v>
      </x:c>
      <x:c r="E13" s="20" t="str">
        <x:f>HYPERLINK("HDLBits_Fsm_hdlc_Mealy_to_Moore_Deep_Dive.pdf","HDLC discussion PDF")</x:f>
        <x:v>HDLC discussion PDF</x:v>
      </x:c>
    </x:row>
    <x:row r="14" ht="22.049999237060547" customHeight="1">
      <x:c r="A14" s="4">
        <x:v>9</x:v>
      </x:c>
      <x:c r="B14" s="4" t="s">
        <x:v>10</x:v>
      </x:c>
      <x:c r="C14" s="12" t="str">
        <x:f>HYPERLINK("https://hdlbits.01xz.net/wiki/conditional","Conditional ternary operator")</x:f>
        <x:v>Conditional ternary operator</x:v>
      </x:c>
      <x:c r="D14" s="4" t="s">
        <x:v>11</x:v>
      </x:c>
      <x:c r="E14" s="10" t="s">
        <x:v>12</x:v>
      </x:c>
    </x:row>
    <x:row r="15" ht="22.049999237060547" customHeight="1">
      <x:c r="A15" s="4">
        <x:v>10</x:v>
      </x:c>
      <x:c r="B15" s="4" t="s">
        <x:v>10</x:v>
      </x:c>
      <x:c r="C15" s="12" t="str">
        <x:f>HYPERLINK("https://hdlbits.01xz.net/wiki/dff","D flip-flop")</x:f>
        <x:v>D flip-flop</x:v>
      </x:c>
      <x:c r="D15" s="4" t="s">
        <x:v>11</x:v>
      </x:c>
      <x:c r="E15" s="10" t="s">
        <x:v>12</x:v>
      </x:c>
    </x:row>
    <x:row r="16" ht="22.049999237060547" customHeight="1">
      <x:c r="A16" s="4">
        <x:v>11</x:v>
      </x:c>
      <x:c r="B16" s="4" t="s">
        <x:v>10</x:v>
      </x:c>
      <x:c r="C16" s="12" t="str">
        <x:f>HYPERLINK("https://hdlbits.01xz.net/wiki/step_one","Getting Started")</x:f>
        <x:v>Getting Started</x:v>
      </x:c>
      <x:c r="D16" s="4" t="s">
        <x:v>11</x:v>
      </x:c>
      <x:c r="E16" s="10" t="s">
        <x:v>12</x:v>
      </x:c>
    </x:row>
    <x:row r="17" ht="22.049999237060547" customHeight="1">
      <x:c r="A17" s="4">
        <x:v>12</x:v>
      </x:c>
      <x:c r="B17" s="4" t="s">
        <x:v>10</x:v>
      </x:c>
      <x:c r="C17" s="12" t="str">
        <x:f>HYPERLINK("https://hdlbits.01xz.net/wiki/fsm1","Simple FSM 1 (asynchronous reset)")</x:f>
        <x:v>Simple FSM 1 (asynchronous reset)</x:v>
      </x:c>
      <x:c r="D17" s="4" t="s">
        <x:v>11</x:v>
      </x:c>
      <x:c r="E17" s="10" t="s">
        <x:v>12</x:v>
      </x:c>
    </x:row>
    <x:row r="18" ht="22.049999237060547" customHeight="1">
      <x:c r="A18" s="4">
        <x:v>13</x:v>
      </x:c>
      <x:c r="B18" s="4" t="s">
        <x:v>10</x:v>
      </x:c>
      <x:c r="C18" s="12" t="str">
        <x:f>HYPERLINK("https://hdlbits.01xz.net/wiki/bugs_mux2","Mux")</x:f>
        <x:v>Mux</x:v>
      </x:c>
      <x:c r="D18" s="4" t="s">
        <x:v>11</x:v>
      </x:c>
      <x:c r="E18" s="19" t="str">
        <x:f>HYPERLINK("HDLBits_Combined_Questions_and_Day2_Review.pdf","Combined questions PDF")</x:f>
        <x:v>Combined questions PDF</x:v>
      </x:c>
    </x:row>
    <x:row r="19" ht="22.049999237060547" customHeight="1">
      <x:c r="A19" s="4">
        <x:v>14</x:v>
      </x:c>
      <x:c r="B19" s="4" t="s">
        <x:v>10</x:v>
      </x:c>
      <x:c r="C19" s="12" t="str">
        <x:f>HYPERLINK("https://hdlbits.01xz.net/wiki/reduction","Reduction operators")</x:f>
        <x:v>Reduction operators</x:v>
      </x:c>
      <x:c r="D19" s="4" t="s">
        <x:v>11</x:v>
      </x:c>
      <x:c r="E19" s="10" t="s">
        <x:v>12</x:v>
      </x:c>
    </x:row>
    <x:row r="20" ht="22.049999237060547" customHeight="1">
      <x:c r="A20" s="4">
        <x:v>15</x:v>
      </x:c>
      <x:c r="B20" s="4" t="s">
        <x:v>10</x:v>
      </x:c>
      <x:c r="C20" s="12" t="str">
        <x:f>HYPERLINK("https://hdlbits.01xz.net/wiki/dff8","D flip-flops")</x:f>
        <x:v>D flip-flops</x:v>
      </x:c>
      <x:c r="D20" s="4" t="s">
        <x:v>11</x:v>
      </x:c>
      <x:c r="E20" s="10" t="s">
        <x:v>12</x:v>
      </x:c>
    </x:row>
    <x:row r="21" ht="22.049999237060547" customHeight="1">
      <x:c r="A21" s="4">
        <x:v>16</x:v>
      </x:c>
      <x:c r="B21" s="4" t="s">
        <x:v>10</x:v>
      </x:c>
      <x:c r="C21" s="12" t="str">
        <x:f>HYPERLINK("https://hdlbits.01xz.net/wiki/zero","Output Zero")</x:f>
        <x:v>Output Zero</x:v>
      </x:c>
      <x:c r="D21" s="4" t="s">
        <x:v>11</x:v>
      </x:c>
      <x:c r="E21" s="10" t="s">
        <x:v>12</x:v>
      </x:c>
    </x:row>
    <x:row r="22" ht="22.049999237060547" customHeight="1">
      <x:c r="A22" s="4">
        <x:v>17</x:v>
      </x:c>
      <x:c r="B22" s="4" t="s">
        <x:v>10</x:v>
      </x:c>
      <x:c r="C22" s="12" t="str">
        <x:f>HYPERLINK("https://hdlbits.01xz.net/wiki/fsm1s","Simple FSM 1 (synchronous reset)")</x:f>
        <x:v>Simple FSM 1 (synchronous reset)</x:v>
      </x:c>
      <x:c r="D22" s="4" t="s">
        <x:v>11</x:v>
      </x:c>
      <x:c r="E22" s="10" t="s">
        <x:v>12</x:v>
      </x:c>
    </x:row>
    <x:row r="23" ht="22.049999237060547" customHeight="1">
      <x:c r="A23" s="4">
        <x:v>18</x:v>
      </x:c>
      <x:c r="B23" s="4" t="s">
        <x:v>10</x:v>
      </x:c>
      <x:c r="C23" s="12" t="str">
        <x:f>HYPERLINK("https://hdlbits.01xz.net/wiki/gates100","Reduction: Even wider gates")</x:f>
        <x:v>Reduction: Even wider gates</x:v>
      </x:c>
      <x:c r="D23" s="4" t="s">
        <x:v>11</x:v>
      </x:c>
      <x:c r="E23" s="10" t="s">
        <x:v>12</x:v>
      </x:c>
    </x:row>
    <x:row r="24" ht="22.049999237060547" customHeight="1">
      <x:c r="A24" s="4">
        <x:v>19</x:v>
      </x:c>
      <x:c r="B24" s="4" t="s">
        <x:v>13</x:v>
      </x:c>
      <x:c r="C24" s="12" t="str">
        <x:f>HYPERLINK("https://hdlbits.01xz.net/wiki/dff8r","DFF with reset")</x:f>
        <x:v>DFF with reset</x:v>
      </x:c>
      <x:c r="D24" s="4" t="s">
        <x:v>11</x:v>
      </x:c>
      <x:c r="E24" s="21" t="str">
        <x:f t="shared" ref="E24:E36" si="0">HYPERLINK("HDLBits_Combined_Questions_and_Day2_Review.pdf","Combined questions PDF")</x:f>
        <x:v>Combined questions PDF</x:v>
      </x:c>
    </x:row>
    <x:row r="25" ht="22.049999237060547" customHeight="1">
      <x:c r="A25" s="4">
        <x:v>20</x:v>
      </x:c>
      <x:c r="B25" s="4" t="s">
        <x:v>13</x:v>
      </x:c>
      <x:c r="C25" s="12" t="str">
        <x:f>HYPERLINK("https://hdlbits.01xz.net/wiki/wire","Simple wire")</x:f>
        <x:v>Simple wire</x:v>
      </x:c>
      <x:c r="D25" s="4" t="s">
        <x:v>11</x:v>
      </x:c>
      <x:c r="E25" s="21" t="str">
        <x:f t="shared" si="0"/>
        <x:v>Combined questions PDF</x:v>
      </x:c>
    </x:row>
    <x:row r="26" ht="22.049999237060547" customHeight="1">
      <x:c r="A26" s="4">
        <x:v>21</x:v>
      </x:c>
      <x:c r="B26" s="4" t="s">
        <x:v>13</x:v>
      </x:c>
      <x:c r="C26" s="12" t="str">
        <x:f>HYPERLINK("https://hdlbits.01xz.net/wiki/bugs_nand3","NAND")</x:f>
        <x:v>NAND</x:v>
      </x:c>
      <x:c r="D26" s="4" t="s">
        <x:v>11</x:v>
      </x:c>
      <x:c r="E26" s="21" t="str">
        <x:f t="shared" si="0"/>
        <x:v>Combined questions PDF</x:v>
      </x:c>
    </x:row>
    <x:row r="27" ht="22.049999237060547" customHeight="1">
      <x:c r="A27" s="4">
        <x:v>22</x:v>
      </x:c>
      <x:c r="B27" s="4" t="s">
        <x:v>13</x:v>
      </x:c>
      <x:c r="C27" s="12" t="str">
        <x:f>HYPERLINK("https://hdlbits.01xz.net/wiki/fsm2","Simple FSM 2 (asynchronous reset)")</x:f>
        <x:v>Simple FSM 2 (asynchronous reset)</x:v>
      </x:c>
      <x:c r="D27" s="4" t="s">
        <x:v>11</x:v>
      </x:c>
      <x:c r="E27" s="21" t="str">
        <x:f t="shared" si="0"/>
        <x:v>Combined questions PDF</x:v>
      </x:c>
    </x:row>
    <x:row r="28" ht="22.049999237060547" customHeight="1">
      <x:c r="A28" s="4">
        <x:v>23</x:v>
      </x:c>
      <x:c r="B28" s="4" t="s">
        <x:v>13</x:v>
      </x:c>
      <x:c r="C28" s="12" t="str">
        <x:f>HYPERLINK("https://hdlbits.01xz.net/wiki/vector100r","Combinational for-loop: Vector reversal 2")</x:f>
        <x:v>Combinational for-loop: Vector reversal 2</x:v>
      </x:c>
      <x:c r="D28" s="4" t="s">
        <x:v>11</x:v>
      </x:c>
      <x:c r="E28" s="21" t="str">
        <x:f t="shared" si="0"/>
        <x:v>Combined questions PDF</x:v>
      </x:c>
    </x:row>
    <x:row r="29" ht="22.049999237060547" customHeight="1">
      <x:c r="A29" s="4">
        <x:v>24</x:v>
      </x:c>
      <x:c r="B29" s="4" t="s">
        <x:v>13</x:v>
      </x:c>
      <x:c r="C29" s="12" t="str">
        <x:f>HYPERLINK("https://hdlbits.01xz.net/wiki/dff8p","DFF with reset value")</x:f>
        <x:v>DFF with reset value</x:v>
      </x:c>
      <x:c r="D29" s="4" t="s">
        <x:v>11</x:v>
      </x:c>
      <x:c r="E29" s="21" t="str">
        <x:f t="shared" si="0"/>
        <x:v>Combined questions PDF</x:v>
      </x:c>
    </x:row>
    <x:row r="30" ht="22.049999237060547" customHeight="1">
      <x:c r="A30" s="4">
        <x:v>25</x:v>
      </x:c>
      <x:c r="B30" s="4" t="s">
        <x:v>13</x:v>
      </x:c>
      <x:c r="C30" s="12" t="str">
        <x:f>HYPERLINK("https://hdlbits.01xz.net/wiki/wire4","Four wires")</x:f>
        <x:v>Four wires</x:v>
      </x:c>
      <x:c r="D30" s="4" t="s">
        <x:v>11</x:v>
      </x:c>
      <x:c r="E30" s="21" t="str">
        <x:f t="shared" si="0"/>
        <x:v>Combined questions PDF</x:v>
      </x:c>
    </x:row>
    <x:row r="31" ht="22.049999237060547" customHeight="1">
      <x:c r="A31" s="4">
        <x:v>26</x:v>
      </x:c>
      <x:c r="B31" s="4" t="s">
        <x:v>13</x:v>
      </x:c>
      <x:c r="C31" s="12" t="str">
        <x:f>HYPERLINK("https://hdlbits.01xz.net/wiki/popcount255","Combinational for-loop: 255-bit population count")</x:f>
        <x:v>Combinational for-loop: 255-bit population count</x:v>
      </x:c>
      <x:c r="D31" s="4" t="s">
        <x:v>11</x:v>
      </x:c>
      <x:c r="E31" s="21" t="str">
        <x:f t="shared" si="0"/>
        <x:v>Combined questions PDF</x:v>
      </x:c>
    </x:row>
    <x:row r="32" ht="22.049999237060547" customHeight="1">
      <x:c r="A32" s="4">
        <x:v>27</x:v>
      </x:c>
      <x:c r="B32" s="4" t="s">
        <x:v>13</x:v>
      </x:c>
      <x:c r="C32" s="12" t="str">
        <x:f>HYPERLINK("https://hdlbits.01xz.net/wiki/fsm2s","Simple FSM 2 (synchronous reset)")</x:f>
        <x:v>Simple FSM 2 (synchronous reset)</x:v>
      </x:c>
      <x:c r="D32" s="4" t="s">
        <x:v>11</x:v>
      </x:c>
      <x:c r="E32" s="21" t="str">
        <x:f t="shared" si="0"/>
        <x:v>Combined questions PDF</x:v>
      </x:c>
    </x:row>
    <x:row r="33" ht="22.049999237060547" customHeight="1">
      <x:c r="A33" s="4">
        <x:v>28</x:v>
      </x:c>
      <x:c r="B33" s="4" t="s">
        <x:v>13</x:v>
      </x:c>
      <x:c r="C33" s="12" t="str">
        <x:f>HYPERLINK("https://hdlbits.01xz.net/wiki/dff8ar","DFF with asynchronous reset")</x:f>
        <x:v>DFF with asynchronous reset</x:v>
      </x:c>
      <x:c r="D33" s="4" t="s">
        <x:v>11</x:v>
      </x:c>
      <x:c r="E33" s="21" t="str">
        <x:f t="shared" si="0"/>
        <x:v>Combined questions PDF</x:v>
      </x:c>
    </x:row>
    <x:row r="34" ht="22.049999237060547" customHeight="1">
      <x:c r="A34" s="4">
        <x:v>29</x:v>
      </x:c>
      <x:c r="B34" s="4" t="s">
        <x:v>13</x:v>
      </x:c>
      <x:c r="C34" s="12" t="str">
        <x:f>HYPERLINK("https://hdlbits.01xz.net/wiki/bugs_mux4","Mux")</x:f>
        <x:v>Mux</x:v>
      </x:c>
      <x:c r="D34" s="4" t="s">
        <x:v>11</x:v>
      </x:c>
      <x:c r="E34" s="21" t="str">
        <x:f t="shared" si="0"/>
        <x:v>Combined questions PDF</x:v>
      </x:c>
    </x:row>
    <x:row r="35" ht="22.049999237060547" customHeight="1">
      <x:c r="A35" s="4">
        <x:v>30</x:v>
      </x:c>
      <x:c r="B35" s="4" t="s">
        <x:v>13</x:v>
      </x:c>
      <x:c r="C35" s="12" t="str">
        <x:f>HYPERLINK("https://hdlbits.01xz.net/wiki/adder100i","Generate for-loop: 100-bit binary adder 2")</x:f>
        <x:v>Generate for-loop: 100-bit binary adder 2</x:v>
      </x:c>
      <x:c r="D35" s="4" t="s">
        <x:v>11</x:v>
      </x:c>
      <x:c r="E35" s="21" t="str">
        <x:f t="shared" si="0"/>
        <x:v>Combined questions PDF</x:v>
      </x:c>
    </x:row>
    <x:row r="36" ht="22.049999237060547" customHeight="1">
      <x:c r="A36" s="4">
        <x:v>31</x:v>
      </x:c>
      <x:c r="B36" s="4" t="s">
        <x:v>13</x:v>
      </x:c>
      <x:c r="C36" s="6" t="str">
        <x:f>HYPERLINK("https://hdlbits.01xz.net/wiki/notgate","Inverter")</x:f>
        <x:v>Inverter</x:v>
      </x:c>
      <x:c r="D36" s="4" t="s">
        <x:v>11</x:v>
      </x:c>
      <x:c r="E36" s="6" t="str">
        <x:f t="shared" si="0"/>
        <x:v>Combined questions PDF</x:v>
      </x:c>
    </x:row>
    <x:row r="37" ht="22.049999237060547" customHeight="1">
      <x:c r="A37" s="4">
        <x:v>32</x:v>
      </x:c>
      <x:c r="B37" s="4" t="s">
        <x:v>13</x:v>
      </x:c>
      <x:c r="C37" s="6" t="str">
        <x:f>HYPERLINK("https://hdlbits.01xz.net/wiki/fsm3comb","Simple state transitions 3")</x:f>
        <x:v>Simple state transitions 3</x:v>
      </x:c>
      <x:c r="D37" s="4" t="s">
        <x:v>11</x:v>
      </x:c>
      <x:c r="E37" s="7" t="s">
        <x:v>12</x:v>
      </x:c>
    </x:row>
    <x:row r="38" ht="22.049999237060547" customHeight="1">
      <x:c r="A38" s="4">
        <x:v>33</x:v>
      </x:c>
      <x:c r="B38" s="4" t="s">
        <x:v>13</x:v>
      </x:c>
      <x:c r="C38" s="12" t="str">
        <x:f>HYPERLINK("https://hdlbits.01xz.net/wiki/dff16e","DFF with byte enable")</x:f>
        <x:v>DFF with byte enable</x:v>
      </x:c>
      <x:c r="D38" s="4" t="s">
        <x:v>11</x:v>
      </x:c>
      <x:c r="E38" s="7" t="s">
        <x:v>12</x:v>
      </x:c>
    </x:row>
    <x:row r="39" ht="22.049999237060547" customHeight="1">
      <x:c r="A39" s="4">
        <x:v>34</x:v>
      </x:c>
      <x:c r="B39" s="4" t="s">
        <x:v>13</x:v>
      </x:c>
      <x:c r="C39" s="12" t="str">
        <x:f>HYPERLINK("https://hdlbits.01xz.net/wiki/bcdadd100","Generate for-loop: 100-digit BCD adder")</x:f>
        <x:v>Generate for-loop: 100-digit BCD adder</x:v>
      </x:c>
      <x:c r="D39" s="4" t="s">
        <x:v>11</x:v>
      </x:c>
      <x:c r="E39" s="7" t="s">
        <x:v>12</x:v>
      </x:c>
    </x:row>
    <x:row r="40" ht="22.049999237060547" customHeight="1">
      <x:c r="A40" s="4">
        <x:v>35</x:v>
      </x:c>
      <x:c r="B40" s="4" t="s">
        <x:v>13</x:v>
      </x:c>
      <x:c r="C40" s="12" t="str">
        <x:f>HYPERLINK("https://hdlbits.01xz.net/wiki/andgate","AND gate")</x:f>
        <x:v>AND gate</x:v>
      </x:c>
      <x:c r="D40" s="4" t="s">
        <x:v>11</x:v>
      </x:c>
      <x:c r="E40" s="7" t="s">
        <x:v>12</x:v>
      </x:c>
    </x:row>
    <x:row r="41" ht="22.049999237060547" customHeight="1">
      <x:c r="A41" s="4">
        <x:v>36</x:v>
      </x:c>
      <x:c r="B41" s="4" t="s">
        <x:v>13</x:v>
      </x:c>
      <x:c r="C41" s="12" t="str">
        <x:f>HYPERLINK("https://hdlbits.01xz.net/wiki/bugs_addsubz","Add/sub")</x:f>
        <x:v>Add/sub</x:v>
      </x:c>
      <x:c r="D41" s="4" t="s">
        <x:v>11</x:v>
      </x:c>
      <x:c r="E41" s="6" t="str">
        <x:f>HYPERLINK("HDLBits_Combined_Questions_and_Day2_Review.pdf","Combined questions PDF")</x:f>
        <x:v>Combined questions PDF</x:v>
      </x:c>
    </x:row>
    <x:row r="42" ht="22.049999237060547" customHeight="1">
      <x:c r="A42" s="4">
        <x:v>37</x:v>
      </x:c>
      <x:c r="B42" s="4" t="s">
        <x:v>14</x:v>
      </x:c>
      <x:c r="C42" s="12" t="str">
        <x:f>HYPERLINK("https://hdlbits.01xz.net/wiki/exams/m2014_q4h","Wire")</x:f>
        <x:v>Wire</x:v>
      </x:c>
      <x:c r="D42" s="4" t="s">
        <x:v>11</x:v>
      </x:c>
      <x:c r="E42" s="7" t="s">
        <x:v>12</x:v>
      </x:c>
    </x:row>
    <x:row r="43" ht="22.049999237060547" customHeight="1">
      <x:c r="A43" s="4">
        <x:v>38</x:v>
      </x:c>
      <x:c r="B43" s="4" t="s">
        <x:v>14</x:v>
      </x:c>
      <x:c r="C43" s="12" t="str">
        <x:f>HYPERLINK("https://hdlbits.01xz.net/wiki/exams/m2014_q4a","D Latch")</x:f>
        <x:v>D Latch</x:v>
      </x:c>
      <x:c r="D43" s="4" t="s">
        <x:v>11</x:v>
      </x:c>
      <x:c r="E43" s="6" t="str">
        <x:f>HYPERLINK("HDLBits_Combined_Questions_and_Day2_Review.pdf","Combined questions PDF")</x:f>
        <x:v>Combined questions PDF</x:v>
      </x:c>
    </x:row>
    <x:row r="44" ht="22.049999237060547" customHeight="1">
      <x:c r="A44" s="4">
        <x:v>39</x:v>
      </x:c>
      <x:c r="B44" s="4" t="s">
        <x:v>14</x:v>
      </x:c>
      <x:c r="C44" s="12" t="str">
        <x:f>HYPERLINK("https://hdlbits.01xz.net/wiki/fsm3onehot","Simple one-hot state transitions 3")</x:f>
        <x:v>Simple one-hot state transitions 3</x:v>
      </x:c>
      <x:c r="D44" s="4" t="s">
        <x:v>11</x:v>
      </x:c>
      <x:c r="E44" s="7" t="s">
        <x:v>12</x:v>
      </x:c>
    </x:row>
    <x:row r="45" ht="22.049999237060547" customHeight="1">
      <x:c r="A45" s="4">
        <x:v>40</x:v>
      </x:c>
      <x:c r="B45" s="4" t="s">
        <x:v>14</x:v>
      </x:c>
      <x:c r="C45" s="12" t="str">
        <x:f>HYPERLINK("https://hdlbits.01xz.net/wiki/norgate","NOR gate")</x:f>
        <x:v>NOR gate</x:v>
      </x:c>
      <x:c r="D45" s="4" t="s">
        <x:v>11</x:v>
      </x:c>
      <x:c r="E45" s="7" t="s">
        <x:v>12</x:v>
      </x:c>
    </x:row>
    <x:row r="46" ht="22.049999237060547" customHeight="1">
      <x:c r="A46" s="4">
        <x:v>41</x:v>
      </x:c>
      <x:c r="B46" s="4" t="s">
        <x:v>14</x:v>
      </x:c>
      <x:c r="C46" s="12" t="str">
        <x:f>HYPERLINK("https://hdlbits.01xz.net/wiki/exams/m2014_q4i","GND")</x:f>
        <x:v>GND</x:v>
      </x:c>
      <x:c r="D46" s="4" t="s">
        <x:v>11</x:v>
      </x:c>
      <x:c r="E46" s="7" t="s">
        <x:v>12</x:v>
      </x:c>
    </x:row>
    <x:row r="47" ht="22.049999237060547" customHeight="1">
      <x:c r="A47" s="4">
        <x:v>42</x:v>
      </x:c>
      <x:c r="B47" s="4" t="s">
        <x:v>14</x:v>
      </x:c>
      <x:c r="C47" s="12" t="str">
        <x:f>HYPERLINK("https://hdlbits.01xz.net/wiki/exams/m2014_q4b","DFF")</x:f>
        <x:v>DFF</x:v>
      </x:c>
      <x:c r="D47" s="4" t="s">
        <x:v>11</x:v>
      </x:c>
      <x:c r="E47" s="7" t="s">
        <x:v>12</x:v>
      </x:c>
    </x:row>
    <x:row r="48" ht="22.049999237060547" customHeight="1">
      <x:c r="A48" s="4">
        <x:v>43</x:v>
      </x:c>
      <x:c r="B48" s="4" t="s">
        <x:v>14</x:v>
      </x:c>
      <x:c r="C48" s="12" t="str">
        <x:f>HYPERLINK("https://hdlbits.01xz.net/wiki/fsm3","Simple FSM 3 (asynchronous reset)")</x:f>
        <x:v>Simple FSM 3 (asynchronous reset)</x:v>
      </x:c>
      <x:c r="D48" s="4" t="s">
        <x:v>11</x:v>
      </x:c>
      <x:c r="E48" s="7" t="s">
        <x:v>12</x:v>
      </x:c>
    </x:row>
    <x:row r="49" ht="22.049999237060547" customHeight="1">
      <x:c r="A49" s="4">
        <x:v>44</x:v>
      </x:c>
      <x:c r="B49" s="4" t="s">
        <x:v>14</x:v>
      </x:c>
      <x:c r="C49" s="12" t="str">
        <x:f>HYPERLINK("https://hdlbits.01xz.net/wiki/xnorgate","XNOR gate")</x:f>
        <x:v>XNOR gate</x:v>
      </x:c>
      <x:c r="D49" s="4" t="s">
        <x:v>11</x:v>
      </x:c>
      <x:c r="E49" s="7" t="s">
        <x:v>12</x:v>
      </x:c>
    </x:row>
    <x:row r="50" ht="22.049999237060547" customHeight="1">
      <x:c r="A50" s="4">
        <x:v>45</x:v>
      </x:c>
      <x:c r="B50" s="4" t="s">
        <x:v>14</x:v>
      </x:c>
      <x:c r="C50" s="12" t="str">
        <x:f>HYPERLINK("https://hdlbits.01xz.net/wiki/exams/m2014_q4e","NOR")</x:f>
        <x:v>NOR</x:v>
      </x:c>
      <x:c r="D50" s="4" t="s">
        <x:v>11</x:v>
      </x:c>
      <x:c r="E50" s="7" t="s">
        <x:v>12</x:v>
      </x:c>
    </x:row>
    <x:row r="51" ht="22.049999237060547" customHeight="1">
      <x:c r="A51" s="4">
        <x:v>46</x:v>
      </x:c>
      <x:c r="B51" s="4" t="s">
        <x:v>14</x:v>
      </x:c>
      <x:c r="C51" s="12" t="str">
        <x:f>HYPERLINK("https://hdlbits.01xz.net/wiki/exams/m2014_q4c","DFF")</x:f>
        <x:v>DFF</x:v>
      </x:c>
      <x:c r="D51" s="4" t="s">
        <x:v>11</x:v>
      </x:c>
      <x:c r="E51" s="7" t="s">
        <x:v>12</x:v>
      </x:c>
    </x:row>
    <x:row r="52" ht="22.049999237060547" customHeight="1">
      <x:c r="A52" s="4">
        <x:v>47</x:v>
      </x:c>
      <x:c r="B52" s="4" t="s">
        <x:v>14</x:v>
      </x:c>
      <x:c r="C52" s="12" t="str">
        <x:f>HYPERLINK("https://hdlbits.01xz.net/wiki/always_case","Case statement")</x:f>
        <x:v>Case statement</x:v>
      </x:c>
      <x:c r="D52" s="4" t="s">
        <x:v>11</x:v>
      </x:c>
      <x:c r="E52" s="7" t="s">
        <x:v>12</x:v>
      </x:c>
    </x:row>
    <x:row r="53" ht="22.049999237060547" customHeight="1">
      <x:c r="A53" s="4">
        <x:v>48</x:v>
      </x:c>
      <x:c r="B53" s="4" t="s">
        <x:v>14</x:v>
      </x:c>
      <x:c r="C53" s="12" t="str">
        <x:f>HYPERLINK("https://hdlbits.01xz.net/wiki/fsm3s","Simple FSM 3 (synchronous reset)")</x:f>
        <x:v>Simple FSM 3 (synchronous reset)</x:v>
      </x:c>
      <x:c r="D53" s="4" t="s">
        <x:v>11</x:v>
      </x:c>
      <x:c r="E53" s="7" t="s">
        <x:v>12</x:v>
      </x:c>
    </x:row>
    <x:row r="54" ht="22.049999237060547" customHeight="1">
      <x:c r="A54" s="4">
        <x:v>49</x:v>
      </x:c>
      <x:c r="B54" s="4" t="s">
        <x:v>14</x:v>
      </x:c>
      <x:c r="C54" s="12" t="str">
        <x:f>HYPERLINK("https://hdlbits.01xz.net/wiki/wire_decl","Declaring wires")</x:f>
        <x:v>Declaring wires</x:v>
      </x:c>
      <x:c r="D54" s="4" t="s">
        <x:v>11</x:v>
      </x:c>
      <x:c r="E54" s="7" t="s">
        <x:v>12</x:v>
      </x:c>
    </x:row>
    <x:row r="55" ht="22.049999237060547" customHeight="1">
      <x:c r="A55" s="4">
        <x:v>50</x:v>
      </x:c>
      <x:c r="B55" s="4" t="s">
        <x:v>14</x:v>
      </x:c>
      <x:c r="C55" s="12" t="str">
        <x:f>HYPERLINK("https://hdlbits.01xz.net/wiki/exams/m2014_q4f","Another gate")</x:f>
        <x:v>Another gate</x:v>
      </x:c>
      <x:c r="D55" s="4" t="s">
        <x:v>11</x:v>
      </x:c>
      <x:c r="E55" s="7" t="s">
        <x:v>12</x:v>
      </x:c>
    </x:row>
    <x:row r="56" ht="22.049999237060547" customHeight="1">
      <x:c r="A56" s="4">
        <x:v>51</x:v>
      </x:c>
      <x:c r="B56" s="4" t="s">
        <x:v>14</x:v>
      </x:c>
      <x:c r="C56" s="12" t="str">
        <x:f>HYPERLINK("https://hdlbits.01xz.net/wiki/exams/m2014_q4d","DFF+gate")</x:f>
        <x:v>DFF+gate</x:v>
      </x:c>
      <x:c r="D56" s="4" t="s">
        <x:v>11</x:v>
      </x:c>
      <x:c r="E56" s="18" t="s">
        <x:v>12</x:v>
      </x:c>
    </x:row>
    <x:row r="57" ht="22.049999237060547" customHeight="1">
      <x:c r="A57" s="4">
        <x:v>52</x:v>
      </x:c>
      <x:c r="B57" s="4" t="s">
        <x:v>14</x:v>
      </x:c>
      <x:c r="C57" s="12" t="str">
        <x:f>HYPERLINK("https://hdlbits.01xz.net/wiki/exams/m2014_q4g","Two gates")</x:f>
        <x:v>Two gates</x:v>
      </x:c>
      <x:c r="D57" s="4" t="s">
        <x:v>11</x:v>
      </x:c>
      <x:c r="E57" s="18" t="s">
        <x:v>12</x:v>
      </x:c>
    </x:row>
    <x:row r="58" ht="22.049999237060547" customHeight="1">
      <x:c r="A58" s="4">
        <x:v>53</x:v>
      </x:c>
      <x:c r="B58" s="4" t="s">
        <x:v>14</x:v>
      </x:c>
      <x:c r="C58" s="12" t="str">
        <x:f>HYPERLINK("https://hdlbits.01xz.net/wiki/7458","7458 chip")</x:f>
        <x:v>7458 chip</x:v>
      </x:c>
      <x:c r="D58" s="4" t="s">
        <x:v>11</x:v>
      </x:c>
      <x:c r="E58" s="18" t="s">
        <x:v>12</x:v>
      </x:c>
    </x:row>
    <x:row r="59" ht="22.049999237060547" customHeight="1">
      <x:c r="A59" s="4">
        <x:v>54</x:v>
      </x:c>
      <x:c r="B59" s="4" t="s">
        <x:v>14</x:v>
      </x:c>
      <x:c r="C59" s="12" t="str">
        <x:f>HYPERLINK("https://hdlbits.01xz.net/wiki/exams/ece241_2013_q4","Design a Moore FSM")</x:f>
        <x:v>Design a Moore FSM</x:v>
      </x:c>
      <x:c r="D59" s="4" t="s">
        <x:v>11</x:v>
      </x:c>
      <x:c r="E59" s="23" t="str">
        <x:f>HYPERLINK("HDLBits_Recovered_Code_Questions_54_74_75_77.pdf","Recovered questions PDF")</x:f>
        <x:v>Recovered questions PDF</x:v>
      </x:c>
    </x:row>
    <x:row r="60" ht="22.049999237060547" customHeight="1">
      <x:c r="A60" s="4">
        <x:v>55</x:v>
      </x:c>
      <x:c r="B60" s="4" t="s">
        <x:v>15</x:v>
      </x:c>
      <x:c r="C60" s="12" t="str">
        <x:f>HYPERLINK("https://hdlbits.01xz.net/wiki/sim/circuit1","Combinational circuit 1")</x:f>
        <x:v>Combinational circuit 1</x:v>
      </x:c>
      <x:c r="D60" s="4" t="s">
        <x:v>11</x:v>
      </x:c>
      <x:c r="E60" s="18" t="s">
        <x:v>12</x:v>
      </x:c>
    </x:row>
    <x:row r="61" ht="22.049999237060547" customHeight="1">
      <x:c r="A61" s="4">
        <x:v>56</x:v>
      </x:c>
      <x:c r="B61" s="4" t="s">
        <x:v>15</x:v>
      </x:c>
      <x:c r="C61" s="12" t="str">
        <x:f>HYPERLINK("https://hdlbits.01xz.net/wiki/mt2015_muxdff","Mux and DFF")</x:f>
        <x:v>Mux and DFF</x:v>
      </x:c>
      <x:c r="D61" s="4" t="s">
        <x:v>11</x:v>
      </x:c>
      <x:c r="E61" s="18" t="s">
        <x:v>12</x:v>
      </x:c>
    </x:row>
    <x:row r="62" ht="22.049999237060547" customHeight="1">
      <x:c r="A62" s="4">
        <x:v>57</x:v>
      </x:c>
      <x:c r="B62" s="4" t="s">
        <x:v>15</x:v>
      </x:c>
      <x:c r="C62" s="12" t="str">
        <x:f>HYPERLINK("https://hdlbits.01xz.net/wiki/gates","More logic gates")</x:f>
        <x:v>More logic gates</x:v>
      </x:c>
      <x:c r="D62" s="4" t="s">
        <x:v>11</x:v>
      </x:c>
      <x:c r="E62" s="18" t="s">
        <x:v>12</x:v>
      </x:c>
    </x:row>
    <x:row r="63" ht="22.049999237060547" customHeight="1">
      <x:c r="A63" s="4">
        <x:v>58</x:v>
      </x:c>
      <x:c r="B63" s="4" t="s">
        <x:v>15</x:v>
      </x:c>
      <x:c r="C63" s="12" t="str">
        <x:f>HYPERLINK("https://hdlbits.01xz.net/wiki/vector0","Vectors")</x:f>
        <x:v>Vectors</x:v>
      </x:c>
      <x:c r="D63" s="4" t="s">
        <x:v>11</x:v>
      </x:c>
      <x:c r="E63" s="18" t="s">
        <x:v>12</x:v>
      </x:c>
    </x:row>
    <x:row r="64" ht="22.049999237060547" customHeight="1">
      <x:c r="A64" s="4">
        <x:v>59</x:v>
      </x:c>
      <x:c r="B64" s="4" t="s">
        <x:v>15</x:v>
      </x:c>
      <x:c r="C64" s="12" t="str">
        <x:f>HYPERLINK("https://hdlbits.01xz.net/wiki/fsm_onehot","One-hot FSM")</x:f>
        <x:v>One-hot FSM</x:v>
      </x:c>
      <x:c r="D64" s="4" t="s">
        <x:v>11</x:v>
      </x:c>
      <x:c r="E64" s="18" t="s">
        <x:v>12</x:v>
      </x:c>
    </x:row>
    <x:row r="65" ht="22.049999237060547" customHeight="1">
      <x:c r="A65" s="4">
        <x:v>60</x:v>
      </x:c>
      <x:c r="B65" s="4" t="s">
        <x:v>15</x:v>
      </x:c>
      <x:c r="C65" s="12" t="str">
        <x:f>HYPERLINK("https://hdlbits.01xz.net/wiki/exams/2014_q4a","Mux and DFF")</x:f>
        <x:v>Mux and DFF</x:v>
      </x:c>
      <x:c r="D65" s="4" t="s">
        <x:v>11</x:v>
      </x:c>
      <x:c r="E65" s="18" t="s">
        <x:v>12</x:v>
      </x:c>
    </x:row>
    <x:row r="66" ht="22.049999237060547" customHeight="1">
      <x:c r="A66" s="4">
        <x:v>61</x:v>
      </x:c>
      <x:c r="B66" s="4" t="s">
        <x:v>15</x:v>
      </x:c>
      <x:c r="C66" s="12" t="str">
        <x:f>HYPERLINK("https://hdlbits.01xz.net/wiki/7420","7420 chip")</x:f>
        <x:v>7420 chip</x:v>
      </x:c>
      <x:c r="D66" s="4" t="s">
        <x:v>11</x:v>
      </x:c>
      <x:c r="E66" s="18" t="s">
        <x:v>12</x:v>
      </x:c>
    </x:row>
    <x:row r="67" ht="22.049999237060547" customHeight="1">
      <x:c r="A67" s="4">
        <x:v>62</x:v>
      </x:c>
      <x:c r="B67" s="4" t="s">
        <x:v>15</x:v>
      </x:c>
      <x:c r="C67" s="12" t="str">
        <x:f>HYPERLINK("https://hdlbits.01xz.net/wiki/vector1","Vectors in more detail")</x:f>
        <x:v>Vectors in more detail</x:v>
      </x:c>
      <x:c r="D67" s="4" t="s">
        <x:v>11</x:v>
      </x:c>
      <x:c r="E67" s="18" t="s">
        <x:v>12</x:v>
      </x:c>
    </x:row>
    <x:row r="68" ht="22.049999237060547" customHeight="1">
      <x:c r="A68" s="4">
        <x:v>63</x:v>
      </x:c>
      <x:c r="B68" s="4" t="s">
        <x:v>15</x:v>
      </x:c>
      <x:c r="C68" s="12" t="str">
        <x:f>HYPERLINK("https://hdlbits.01xz.net/wiki/sim/circuit2","Combinational circuit 2")</x:f>
        <x:v>Combinational circuit 2</x:v>
      </x:c>
      <x:c r="D68" s="4" t="s">
        <x:v>11</x:v>
      </x:c>
      <x:c r="E68" s="15" t="s">
        <x:v>12</x:v>
      </x:c>
    </x:row>
    <x:row r="69" ht="22.049999237060547" customHeight="1">
      <x:c r="A69" s="4">
        <x:v>64</x:v>
      </x:c>
      <x:c r="B69" s="4" t="s">
        <x:v>15</x:v>
      </x:c>
      <x:c r="C69" s="12" t="str">
        <x:f>HYPERLINK("https://hdlbits.01xz.net/wiki/fsm_ps2","PS/2 packet parser")</x:f>
        <x:v>PS/2 packet parser</x:v>
      </x:c>
      <x:c r="D69" s="4" t="s">
        <x:v>11</x:v>
      </x:c>
      <x:c r="E69" s="15" t="s">
        <x:v>12</x:v>
      </x:c>
    </x:row>
    <x:row r="70" ht="22.049999237060547" customHeight="1">
      <x:c r="A70" s="4">
        <x:v>65</x:v>
      </x:c>
      <x:c r="B70" s="4" t="s">
        <x:v>15</x:v>
      </x:c>
      <x:c r="C70" s="12" t="str">
        <x:f>HYPERLINK("https://hdlbits.01xz.net/wiki/truthtable1","Truth tables")</x:f>
        <x:v>Truth tables</x:v>
      </x:c>
      <x:c r="D70" s="4" t="s">
        <x:v>11</x:v>
      </x:c>
      <x:c r="E70" s="15" t="s">
        <x:v>12</x:v>
      </x:c>
    </x:row>
    <x:row r="71" ht="22.049999237060547" customHeight="1">
      <x:c r="A71" s="4">
        <x:v>66</x:v>
      </x:c>
      <x:c r="B71" s="4" t="s">
        <x:v>15</x:v>
      </x:c>
      <x:c r="C71" s="12" t="str">
        <x:f>HYPERLINK("https://hdlbits.01xz.net/wiki/exams/ece241_2014_q4","DFFs and gates")</x:f>
        <x:v>DFFs and gates</x:v>
      </x:c>
      <x:c r="D71" s="4" t="s">
        <x:v>11</x:v>
      </x:c>
      <x:c r="E71" s="16" t="str">
        <x:f>HYPERLINK("HDLBits_Day4_Questions_Vector_DFF_PS2.pdf","Day 4 questions PDF")</x:f>
        <x:v>Day 4 questions PDF</x:v>
      </x:c>
    </x:row>
    <x:row r="72" ht="22.049999237060547" customHeight="1">
      <x:c r="A72" s="4">
        <x:v>67</x:v>
      </x:c>
      <x:c r="B72" s="4" t="s">
        <x:v>15</x:v>
      </x:c>
      <x:c r="C72" s="12" t="str">
        <x:f>HYPERLINK("https://hdlbits.01xz.net/wiki/vector2","Vector part select")</x:f>
        <x:v>Vector part select</x:v>
      </x:c>
      <x:c r="D72" s="4" t="s">
        <x:v>11</x:v>
      </x:c>
      <x:c r="E72" s="16" t="str">
        <x:f>HYPERLINK("HDLBits_Day4_Questions_Vector_DFF_PS2.pdf","Day 4 questions PDF")</x:f>
        <x:v>Day 4 questions PDF</x:v>
      </x:c>
    </x:row>
    <x:row r="73" ht="22.049999237060547" customHeight="1">
      <x:c r="A73" s="4">
        <x:v>68</x:v>
      </x:c>
      <x:c r="B73" s="4" t="s">
        <x:v>15</x:v>
      </x:c>
      <x:c r="C73" s="12" t="str">
        <x:f>HYPERLINK("https://hdlbits.01xz.net/wiki/mt2015_eq2","Two-bit equality")</x:f>
        <x:v>Two-bit equality</x:v>
      </x:c>
      <x:c r="D73" s="4" t="s">
        <x:v>11</x:v>
      </x:c>
      <x:c r="E73" s="15" t="s">
        <x:v>12</x:v>
      </x:c>
    </x:row>
    <x:row r="74" ht="22.049999237060547" customHeight="1">
      <x:c r="A74" s="4">
        <x:v>69</x:v>
      </x:c>
      <x:c r="B74" s="4" t="s">
        <x:v>15</x:v>
      </x:c>
      <x:c r="C74" s="12" t="str">
        <x:f>HYPERLINK("https://hdlbits.01xz.net/wiki/exams/ece241_2013_q7","Create circuit from truth table")</x:f>
        <x:v>Create circuit from truth table</x:v>
      </x:c>
      <x:c r="D74" s="4" t="s">
        <x:v>11</x:v>
      </x:c>
      <x:c r="E74" s="15" t="s">
        <x:v>12</x:v>
      </x:c>
    </x:row>
    <x:row r="75" ht="22.049999237060547" customHeight="1">
      <x:c r="A75" s="4">
        <x:v>70</x:v>
      </x:c>
      <x:c r="B75" s="4" t="s">
        <x:v>15</x:v>
      </x:c>
      <x:c r="C75" s="12" t="str">
        <x:f>HYPERLINK("https://hdlbits.01xz.net/wiki/fsm_ps2data","PS/2 packet parser and datapath")</x:f>
        <x:v>PS/2 packet parser and datapath</x:v>
      </x:c>
      <x:c r="D75" s="4" t="s">
        <x:v>11</x:v>
      </x:c>
      <x:c r="E75" s="16" t="str">
        <x:f>HYPERLINK("HDLBits_Day4_Questions_Vector_DFF_PS2.pdf","Day 4 questions PDF")</x:f>
        <x:v>Day 4 questions PDF</x:v>
      </x:c>
    </x:row>
    <x:row r="76" ht="22.049999237060547" customHeight="1">
      <x:c r="A76" s="4">
        <x:v>71</x:v>
      </x:c>
      <x:c r="B76" s="4" t="s">
        <x:v>15</x:v>
      </x:c>
      <x:c r="C76" s="12" t="str">
        <x:f>HYPERLINK("https://hdlbits.01xz.net/wiki/sim/circuit3","Combinational circuit 3")</x:f>
        <x:v>Combinational circuit 3</x:v>
      </x:c>
      <x:c r="D76" s="4" t="s">
        <x:v>11</x:v>
      </x:c>
      <x:c r="E76" s="17" t="s">
        <x:v>12</x:v>
      </x:c>
    </x:row>
    <x:row r="77" ht="22.049999237060547" customHeight="1">
      <x:c r="A77" s="4">
        <x:v>72</x:v>
      </x:c>
      <x:c r="B77" s="4" t="s">
        <x:v>15</x:v>
      </x:c>
      <x:c r="C77" s="12" t="str">
        <x:f>HYPERLINK("https://hdlbits.01xz.net/wiki/mt2015_q4a","Simple circuit A")</x:f>
        <x:v>Simple circuit A</x:v>
      </x:c>
      <x:c r="D77" s="4" t="s">
        <x:v>11</x:v>
      </x:c>
      <x:c r="E77" s="17" t="s">
        <x:v>12</x:v>
      </x:c>
    </x:row>
    <x:row r="78" ht="22.049999237060547" customHeight="1">
      <x:c r="A78" s="4">
        <x:v>73</x:v>
      </x:c>
      <x:c r="B78" s="4" t="s">
        <x:v>16</x:v>
      </x:c>
      <x:c r="C78" s="12" t="str">
        <x:f>HYPERLINK("https://hdlbits.01xz.net/wiki/vectorgates","Bitwise operators")</x:f>
        <x:v>Bitwise operators</x:v>
      </x:c>
      <x:c r="D78" s="4" t="s">
        <x:v>11</x:v>
      </x:c>
      <x:c r="E78" s="17" t="s">
        <x:v>12</x:v>
      </x:c>
    </x:row>
    <x:row r="79" ht="22.049999237060547" customHeight="1">
      <x:c r="A79" s="4">
        <x:v>74</x:v>
      </x:c>
      <x:c r="B79" s="4" t="s">
        <x:v>16</x:v>
      </x:c>
      <x:c r="C79" s="12" t="str">
        <x:f>HYPERLINK("https://hdlbits.01xz.net/wiki/edgedetect","Detect an edge")</x:f>
        <x:v>Detect an edge</x:v>
      </x:c>
      <x:c r="D79" s="4" t="s">
        <x:v>11</x:v>
      </x:c>
      <x:c r="E79" s="23" t="str">
        <x:f>HYPERLINK("HDLBits_Recovered_Code_Questions_54_74_75_77.pdf","Recovered questions PDF")</x:f>
        <x:v>Recovered questions PDF</x:v>
      </x:c>
    </x:row>
    <x:row r="80" ht="22.049999237060547" customHeight="1">
      <x:c r="A80" s="4">
        <x:v>75</x:v>
      </x:c>
      <x:c r="B80" s="4" t="s">
        <x:v>16</x:v>
      </x:c>
      <x:c r="C80" s="12" t="str">
        <x:f>HYPERLINK("https://hdlbits.01xz.net/wiki/exams/ece241_2013_q8","Q8: Design a Mealy FSM")</x:f>
        <x:v>Q8: Design a Mealy FSM</x:v>
      </x:c>
      <x:c r="D80" s="4" t="s">
        <x:v>11</x:v>
      </x:c>
      <x:c r="E80" s="23" t="str">
        <x:f>HYPERLINK("HDLBits_Recovered_Code_Questions_54_74_75_77.pdf","Recovered questions PDF")</x:f>
        <x:v>Recovered questions PDF</x:v>
      </x:c>
    </x:row>
    <x:row r="81" ht="22.049999237060547" customHeight="1">
      <x:c r="A81" s="4">
        <x:v>76</x:v>
      </x:c>
      <x:c r="B81" s="4" t="s">
        <x:v>16</x:v>
      </x:c>
      <x:c r="C81" s="12" t="str">
        <x:f>HYPERLINK("https://hdlbits.01xz.net/wiki/mt2015_q4b","Simple circuit B")</x:f>
        <x:v>Simple circuit B</x:v>
      </x:c>
      <x:c r="D81" s="4" t="s">
        <x:v>11</x:v>
      </x:c>
      <x:c r="E81" s="17" t="s">
        <x:v>12</x:v>
      </x:c>
    </x:row>
    <x:row r="82" ht="22.049999237060547" customHeight="1">
      <x:c r="A82" s="4">
        <x:v>77</x:v>
      </x:c>
      <x:c r="B82" s="4" t="s">
        <x:v>16</x:v>
      </x:c>
      <x:c r="C82" s="12" t="str">
        <x:f>HYPERLINK("https://hdlbits.01xz.net/wiki/gates4","Four-input gates")</x:f>
        <x:v>Four-input gates</x:v>
      </x:c>
      <x:c r="D82" s="4" t="s">
        <x:v>11</x:v>
      </x:c>
      <x:c r="E82" s="23" t="str">
        <x:f>HYPERLINK("HDLBits_Recovered_Code_Questions_54_74_75_77.pdf","Recovered questions PDF")</x:f>
        <x:v>Recovered questions PDF</x:v>
      </x:c>
    </x:row>
    <x:row r="83" ht="22.049999237060547" customHeight="1">
      <x:c r="A83" s="4">
        <x:v>78</x:v>
      </x:c>
      <x:c r="B83" s="4" t="s">
        <x:v>16</x:v>
      </x:c>
      <x:c r="C83" s="12" t="str">
        <x:f>HYPERLINK("https://hdlbits.01xz.net/wiki/edgedetect2","Detect both edges")</x:f>
        <x:v>Detect both edges</x:v>
      </x:c>
      <x:c r="D83" s="4" t="s">
        <x:v>11</x:v>
      </x:c>
      <x:c r="E83" s="17" t="s">
        <x:v>12</x:v>
      </x:c>
    </x:row>
    <x:row r="84" ht="22.049999237060547" customHeight="1">
      <x:c r="A84" s="4">
        <x:v>79</x:v>
      </x:c>
      <x:c r="B84" s="4" t="s">
        <x:v>16</x:v>
      </x:c>
      <x:c r="C84" s="12" t="str">
        <x:f>HYPERLINK("https://hdlbits.01xz.net/wiki/mt2015_q4","Combine circuits A and B")</x:f>
        <x:v>Combine circuits A and B</x:v>
      </x:c>
      <x:c r="D84" s="4" t="s">
        <x:v>11</x:v>
      </x:c>
      <x:c r="E84" s="17" t="s">
        <x:v>12</x:v>
      </x:c>
    </x:row>
    <x:row r="85" ht="22.049999237060547" customHeight="1">
      <x:c r="A85" s="4">
        <x:v>80</x:v>
      </x:c>
      <x:c r="B85" s="4" t="s">
        <x:v>16</x:v>
      </x:c>
      <x:c r="C85" s="12" t="str">
        <x:f>HYPERLINK("https://hdlbits.01xz.net/wiki/exams/ece241_2014_q5a","Q5a: Serial two's complementer (Moore FSM)")</x:f>
        <x:v>Q5a: Serial two's complementer (Moore FSM)</x:v>
      </x:c>
      <x:c r="D85" s="4" t="s">
        <x:v>11</x:v>
      </x:c>
      <x:c r="E85" s="22" t="str">
        <x:f>HYPERLINK("HDLBits_Entry80_Moore_Serial_Twos_Complement_Deep_Dive.pdf","Entry 80 Moore FSM PDF")</x:f>
        <x:v>Entry 80 Moore FSM PDF</x:v>
      </x:c>
    </x:row>
    <x:row r="86" ht="22.049999237060547" customHeight="1">
      <x:c r="A86" s="4">
        <x:v>81</x:v>
      </x:c>
      <x:c r="B86" s="4" t="s">
        <x:v>16</x:v>
      </x:c>
      <x:c r="C86" s="12" t="str">
        <x:f>HYPERLINK("https://hdlbits.01xz.net/wiki/sim/circuit4","Combinational circuit 4")</x:f>
        <x:v>Combinational circuit 4</x:v>
      </x:c>
      <x:c r="D86" s="4" t="s">
        <x:v>11</x:v>
      </x:c>
      <x:c r="E86" s="22" t="str">
        <x:f>HYPERLINK("HDLBits_Day5_Original_Submissions_Review.md","Day 5 submission review")</x:f>
        <x:v>Day 5 submission review</x:v>
      </x:c>
    </x:row>
    <x:row r="87" ht="22.049999237060547" customHeight="1">
      <x:c r="A87" s="4">
        <x:v>82</x:v>
      </x:c>
      <x:c r="B87" s="4" t="s">
        <x:v>16</x:v>
      </x:c>
      <x:c r="C87" s="12" t="str">
        <x:f>HYPERLINK("https://hdlbits.01xz.net/wiki/vector3","Vector concatenation operator")</x:f>
        <x:v>Vector concatenation operator</x:v>
      </x:c>
      <x:c r="D87" s="4" t="s">
        <x:v>11</x:v>
      </x:c>
      <x:c r="E87" s="22" t="str">
        <x:f>HYPERLINK("HDLBits_Day5_Original_Submissions_Review.md","Day 5 submission review")</x:f>
        <x:v>Day 5 submission review</x:v>
      </x:c>
    </x:row>
    <x:row r="88" ht="22.049999237060547" customHeight="1">
      <x:c r="A88" s="4">
        <x:v>83</x:v>
      </x:c>
      <x:c r="B88" s="4" t="s">
        <x:v>16</x:v>
      </x:c>
      <x:c r="C88" s="12" t="str">
        <x:f>HYPERLINK("https://hdlbits.01xz.net/wiki/edgecapture","Edge capture register")</x:f>
        <x:v>Edge capture register</x:v>
      </x:c>
      <x:c r="D88" s="4" t="s">
        <x:v>11</x:v>
      </x:c>
      <x:c r="E88" s="22" t="str">
        <x:f>HYPERLINK("HDLBits_Day5_Original_Submissions_Review.md","Day 5 submission review")</x:f>
        <x:v>Day 5 submission review</x:v>
      </x:c>
    </x:row>
    <x:row r="89" ht="22.049999237060547" customHeight="1">
      <x:c r="A89" s="4">
        <x:v>84</x:v>
      </x:c>
      <x:c r="B89" s="4" t="s">
        <x:v>16</x:v>
      </x:c>
      <x:c r="C89" s="12" t="str">
        <x:f>HYPERLINK("https://hdlbits.01xz.net/wiki/ringer","Ring or vibrate?")</x:f>
        <x:v>Ring or vibrate?</x:v>
      </x:c>
      <x:c r="D89" s="4" t="s">
        <x:v>11</x:v>
      </x:c>
      <x:c r="E89" s="22" t="str">
        <x:f>HYPERLINK("HDLBits_Day5_Original_Submissions_Review.md","Day 5 submission review")</x:f>
        <x:v>Day 5 submission review</x:v>
      </x:c>
    </x:row>
    <x:row r="90" ht="22.049999237060547" customHeight="1">
      <x:c r="A90" s="4">
        <x:v>85</x:v>
      </x:c>
      <x:c r="B90" s="4" t="s">
        <x:v>16</x:v>
      </x:c>
      <x:c r="C90" s="12" t="str">
        <x:f>HYPERLINK("https://hdlbits.01xz.net/wiki/exams/ece241_2014_q5b","Q5b: Serial two's complementer (Mealy FSM)")</x:f>
        <x:v>Q5b: Serial two's complementer (Mealy FSM)</x:v>
      </x:c>
      <x:c r="D90" s="4" t="s">
        <x:v>11</x:v>
      </x:c>
      <x:c r="E90" s="22" t="str">
        <x:f>HYPERLINK("HDLBits_Day5_Original_Submissions_Review.md","Day 5 submission review")</x:f>
        <x:v>Day 5 submission review</x:v>
      </x:c>
    </x:row>
    <x:row r="91" ht="22.049999237060547" customHeight="1">
      <x:c r="A91" s="4">
        <x:v>86</x:v>
      </x:c>
      <x:c r="B91" s="4" t="s">
        <x:v>16</x:v>
      </x:c>
      <x:c r="C91" s="12" t="str">
        <x:f>HYPERLINK("https://hdlbits.01xz.net/wiki/vectorr","Vector reversal 1")</x:f>
        <x:v>Vector reversal 1</x:v>
      </x:c>
      <x:c r="D91" s="4" t="s">
        <x:v>11</x:v>
      </x:c>
      <x:c r="E91" s="24" t="s">
        <x:v>12</x:v>
      </x:c>
    </x:row>
    <x:row r="92" ht="22.049999237060547" customHeight="1">
      <x:c r="A92" s="4">
        <x:v>87</x:v>
      </x:c>
      <x:c r="B92" s="4" t="s">
        <x:v>16</x:v>
      </x:c>
      <x:c r="C92" s="12" t="str">
        <x:f>HYPERLINK("https://hdlbits.01xz.net/wiki/dualedge","Dual-edge triggered flip-flop")</x:f>
        <x:v>Dual-edge triggered flip-flop</x:v>
      </x:c>
      <x:c r="D92" s="4" t="s">
        <x:v>11</x:v>
      </x:c>
      <x:c r="E92" s="25" t="str">
        <x:f>HYPERLINK("HDLBits_Day6_Non_FSM_QA_Dualedge_and_Circuit5.pdf","Day 6 non-FSM Q&amp;A")</x:f>
        <x:v>Day 6 non-FSM Q&amp;A</x:v>
      </x:c>
    </x:row>
    <x:row r="93" ht="22.049999237060547" customHeight="1">
      <x:c r="A93" s="4">
        <x:v>88</x:v>
      </x:c>
      <x:c r="B93" s="4" t="s">
        <x:v>16</x:v>
      </x:c>
      <x:c r="C93" s="12" t="str">
        <x:f>HYPERLINK("https://hdlbits.01xz.net/wiki/thermostat","Thermostat")</x:f>
        <x:v>Thermostat</x:v>
      </x:c>
      <x:c r="D93" s="4" t="s">
        <x:v>11</x:v>
      </x:c>
      <x:c r="E93" s="24" t="s">
        <x:v>12</x:v>
      </x:c>
    </x:row>
    <x:row r="94" ht="22.049999237060547" customHeight="1">
      <x:c r="A94" s="4">
        <x:v>89</x:v>
      </x:c>
      <x:c r="B94" s="4" t="s">
        <x:v>16</x:v>
      </x:c>
      <x:c r="C94" s="12" t="str">
        <x:f>HYPERLINK("https://hdlbits.01xz.net/wiki/sim/circuit5","Combinational circuit 5")</x:f>
        <x:v>Combinational circuit 5</x:v>
      </x:c>
      <x:c r="D94" s="4" t="s">
        <x:v>11</x:v>
      </x:c>
      <x:c r="E94" s="25" t="str">
        <x:f>HYPERLINK("HDLBits_Day6_Non_FSM_QA_Dualedge_and_Circuit5.pdf","Day 6 non-FSM Q&amp;A")</x:f>
        <x:v>Day 6 non-FSM Q&amp;A</x:v>
      </x:c>
    </x:row>
    <x:row r="95" ht="22.049999237060547" customHeight="1">
      <x:c r="A95" s="4">
        <x:v>90</x:v>
      </x:c>
      <x:c r="B95" s="4" t="s">
        <x:v>17</x:v>
      </x:c>
      <x:c r="C95" s="12" t="str">
        <x:f>HYPERLINK("https://hdlbits.01xz.net/wiki/exams/2014_q3fsm","Q3a: FSM")</x:f>
        <x:v>Q3a: FSM</x:v>
      </x:c>
      <x:c r="D95" s="4" t="s">
        <x:v>11</x:v>
      </x:c>
      <x:c r="E95" s="25" t="str">
        <x:f>HYPERLINK("HDLBits_Entry90_Exams_2014_Q3FSM_Three_Sample_Window_Deep_Dive.pdf","Q3FSM deep-dive PDF")</x:f>
        <x:v>Q3FSM deep-dive PDF</x:v>
      </x:c>
    </x:row>
    <x:row r="96" ht="22.049999237060547" customHeight="1">
      <x:c r="A96" s="4">
        <x:v>91</x:v>
      </x:c>
      <x:c r="B96" s="4" t="s">
        <x:v>17</x:v>
      </x:c>
      <x:c r="C96" s="12" t="str">
        <x:f>HYPERLINK("https://hdlbits.01xz.net/wiki/vector4","Replication operator")</x:f>
        <x:v>Replication operator</x:v>
      </x:c>
      <x:c r="D96" s="4" t="s">
        <x:v>11</x:v>
      </x:c>
      <x:c r="E96" s="24" t="s">
        <x:v>12</x:v>
      </x:c>
    </x:row>
    <x:row r="97" ht="22.049999237060547" customHeight="1">
      <x:c r="A97" s="4">
        <x:v>92</x:v>
      </x:c>
      <x:c r="B97" s="4" t="s">
        <x:v>17</x:v>
      </x:c>
      <x:c r="C97" s="12" t="str">
        <x:f>HYPERLINK("https://hdlbits.01xz.net/wiki/count15","Four-bit binary counter")</x:f>
        <x:v>Four-bit binary counter</x:v>
      </x:c>
      <x:c r="D97" s="4" t="s">
        <x:v>11</x:v>
      </x:c>
      <x:c r="E97" s="24" t="s">
        <x:v>12</x:v>
      </x:c>
    </x:row>
    <x:row r="98" ht="22.049999237060547" customHeight="1">
      <x:c r="A98" s="4">
        <x:v>93</x:v>
      </x:c>
      <x:c r="B98" s="4" t="s">
        <x:v>17</x:v>
      </x:c>
      <x:c r="C98" s="12" t="str">
        <x:f>HYPERLINK("https://hdlbits.01xz.net/wiki/popcount3","3-bit population count")</x:f>
        <x:v>3-bit population count</x:v>
      </x:c>
      <x:c r="D98" s="4" t="s">
        <x:v>11</x:v>
      </x:c>
      <x:c r="E98" s="24" t="s">
        <x:v>12</x:v>
      </x:c>
    </x:row>
    <x:row r="99" ht="22.049999237060547" customHeight="1">
      <x:c r="A99" s="4">
        <x:v>94</x:v>
      </x:c>
      <x:c r="B99" s="4" t="s">
        <x:v>17</x:v>
      </x:c>
      <x:c r="C99" s="12" t="str">
        <x:f>HYPERLINK("https://hdlbits.01xz.net/wiki/gatesv","Gates and vectors")</x:f>
        <x:v>Gates and vectors</x:v>
      </x:c>
      <x:c r="D99" s="4" t="s">
        <x:v>11</x:v>
      </x:c>
      <x:c r="E99" s="7" t="s">
        <x:v>12</x:v>
      </x:c>
    </x:row>
    <x:row r="100" ht="22.049999237060547" customHeight="1">
      <x:c r="A100" s="4">
        <x:v>95</x:v>
      </x:c>
      <x:c r="B100" s="4" t="s">
        <x:v>17</x:v>
      </x:c>
      <x:c r="C100" s="12" t="str">
        <x:f>HYPERLINK("https://hdlbits.01xz.net/wiki/count10","Decade counter")</x:f>
        <x:v>Decade counter</x:v>
      </x:c>
      <x:c r="D100" s="4" t="s">
        <x:v>11</x:v>
      </x:c>
      <x:c r="E100" s="7" t="s">
        <x:v>12</x:v>
      </x:c>
    </x:row>
    <x:row r="101" ht="22.049999237060547" customHeight="1">
      <x:c r="A101" s="4">
        <x:v>96</x:v>
      </x:c>
      <x:c r="B101" s="4" t="s">
        <x:v>17</x:v>
      </x:c>
      <x:c r="C101" s="12" t="str">
        <x:f>HYPERLINK("https://hdlbits.01xz.net/wiki/vector5","More replication")</x:f>
        <x:v>More replication</x:v>
      </x:c>
      <x:c r="D101" s="4" t="s">
        <x:v>11</x:v>
      </x:c>
      <x:c r="E101" s="7" t="s">
        <x:v>12</x:v>
      </x:c>
    </x:row>
    <x:row r="102" ht="22.049999237060547" customHeight="1">
      <x:c r="A102" s="4">
        <x:v>97</x:v>
      </x:c>
      <x:c r="B102" s="4" t="s">
        <x:v>17</x:v>
      </x:c>
      <x:c r="C102" s="12" t="str">
        <x:f>HYPERLINK("https://hdlbits.01xz.net/wiki/exams/2014_q3bfsm","Q3b: FSM")</x:f>
        <x:v>Q3b: FSM</x:v>
      </x:c>
      <x:c r="D102" s="4" t="s">
        <x:v>11</x:v>
      </x:c>
      <x:c r="E102" s="7" t="s">
        <x:v>12</x:v>
      </x:c>
    </x:row>
    <x:row r="103" ht="22.049999237060547" customHeight="1">
      <x:c r="A103" s="4">
        <x:v>98</x:v>
      </x:c>
      <x:c r="B103" s="4" t="s">
        <x:v>17</x:v>
      </x:c>
      <x:c r="C103" s="12" t="str">
        <x:f>HYPERLINK("https://hdlbits.01xz.net/wiki/sim/circuit6","Combinational circuit 6")</x:f>
        <x:v>Combinational circuit 6</x:v>
      </x:c>
      <x:c r="D103" s="4" t="s">
        <x:v>11</x:v>
      </x:c>
      <x:c r="E103" s="7" t="s">
        <x:v>12</x:v>
      </x:c>
    </x:row>
    <x:row r="104" ht="22.049999237060547" customHeight="1">
      <x:c r="A104" s="4">
        <x:v>99</x:v>
      </x:c>
      <x:c r="B104" s="4" t="s">
        <x:v>17</x:v>
      </x:c>
      <x:c r="C104" s="12" t="str">
        <x:f>HYPERLINK("https://hdlbits.01xz.net/wiki/gatesv100","Even longer vectors")</x:f>
        <x:v>Even longer vectors</x:v>
      </x:c>
      <x:c r="D104" s="4" t="s">
        <x:v>11</x:v>
      </x:c>
      <x:c r="E104" s="7" t="s">
        <x:v>12</x:v>
      </x:c>
    </x:row>
    <x:row r="105" ht="22.049999237060547" customHeight="1">
      <x:c r="A105" s="4">
        <x:v>100</x:v>
      </x:c>
      <x:c r="B105" s="4" t="s">
        <x:v>17</x:v>
      </x:c>
      <x:c r="C105" s="12" t="str">
        <x:f>HYPERLINK("https://hdlbits.01xz.net/wiki/count1to10","Decade counter again")</x:f>
        <x:v>Decade counter again</x:v>
      </x:c>
      <x:c r="D105" s="4" t="s">
        <x:v>11</x:v>
      </x:c>
      <x:c r="E105" s="7" t="s">
        <x:v>12</x:v>
      </x:c>
    </x:row>
    <x:row r="106" ht="22.049999237060547" customHeight="1">
      <x:c r="A106" s="4">
        <x:v>101</x:v>
      </x:c>
      <x:c r="B106" s="4" t="s">
        <x:v>17</x:v>
      </x:c>
      <x:c r="C106" s="12" t="str">
        <x:f>HYPERLINK("https://hdlbits.01xz.net/wiki/module","Modules")</x:f>
        <x:v>Modules</x:v>
      </x:c>
      <x:c r="D106" s="4" t="s">
        <x:v>11</x:v>
      </x:c>
      <x:c r="E106" s="7" t="s">
        <x:v>12</x:v>
      </x:c>
    </x:row>
    <x:row r="107" ht="22.049999237060547" customHeight="1">
      <x:c r="A107" s="4">
        <x:v>102</x:v>
      </x:c>
      <x:c r="B107" s="4" t="s">
        <x:v>17</x:v>
      </x:c>
      <x:c r="C107" s="12" t="str">
        <x:f>HYPERLINK("https://hdlbits.01xz.net/wiki/exams/2014_q3c","Q3c: FSM logic")</x:f>
        <x:v>Q3c: FSM logic</x:v>
      </x:c>
      <x:c r="D107" s="4" t="s">
        <x:v>11</x:v>
      </x:c>
      <x:c r="E107" s="26" t="str">
        <x:f>HYPERLINK("HDLBits_Day7_QA_FSM_Warnings_and_Counter_Interface.pdf","Day 7 Q&amp;A")</x:f>
        <x:v>Day 7 Q&amp;A</x:v>
      </x:c>
    </x:row>
    <x:row r="108" ht="22.049999237060547" customHeight="1">
      <x:c r="A108" s="4">
        <x:v>103</x:v>
      </x:c>
      <x:c r="B108" s="4" t="s">
        <x:v>17</x:v>
      </x:c>
      <x:c r="C108" s="12" t="str">
        <x:f>HYPERLINK("https://hdlbits.01xz.net/wiki/mux2to1","2-to-1 multiplexer")</x:f>
        <x:v>2-to-1 multiplexer</x:v>
      </x:c>
      <x:c r="D108" s="4" t="s">
        <x:v>11</x:v>
      </x:c>
      <x:c r="E108" s="7" t="s">
        <x:v>12</x:v>
      </x:c>
    </x:row>
    <x:row r="109" ht="22.049999237060547" customHeight="1">
      <x:c r="A109" s="4">
        <x:v>104</x:v>
      </x:c>
      <x:c r="B109" s="4" t="s">
        <x:v>17</x:v>
      </x:c>
      <x:c r="C109" s="12" t="str">
        <x:f>HYPERLINK("https://hdlbits.01xz.net/wiki/countslow","Slow decade counter")</x:f>
        <x:v>Slow decade counter</x:v>
      </x:c>
      <x:c r="D109" s="4" t="s">
        <x:v>11</x:v>
      </x:c>
      <x:c r="E109" s="7" t="s">
        <x:v>12</x:v>
      </x:c>
    </x:row>
    <x:row r="110" ht="22.049999237060547" customHeight="1">
      <x:c r="A110" s="4">
        <x:v>105</x:v>
      </x:c>
      <x:c r="B110" s="4" t="s">
        <x:v>17</x:v>
      </x:c>
      <x:c r="C110" s="12" t="str">
        <x:f>HYPERLINK("https://hdlbits.01xz.net/wiki/module_pos","Connecting ports by position")</x:f>
        <x:v>Connecting ports by position</x:v>
      </x:c>
      <x:c r="D110" s="4" t="s">
        <x:v>11</x:v>
      </x:c>
      <x:c r="E110" s="7" t="s">
        <x:v>12</x:v>
      </x:c>
    </x:row>
    <x:row r="111" ht="22.049999237060547" customHeight="1">
      <x:c r="A111" s="4">
        <x:v>106</x:v>
      </x:c>
      <x:c r="B111" s="4" t="s">
        <x:v>17</x:v>
      </x:c>
      <x:c r="C111" s="12" t="str">
        <x:f>HYPERLINK("https://hdlbits.01xz.net/wiki/sim/circuit7","Sequential circuit 7")</x:f>
        <x:v>Sequential circuit 7</x:v>
      </x:c>
      <x:c r="D111" s="4" t="s">
        <x:v>11</x:v>
      </x:c>
      <x:c r="E111" s="7" t="s">
        <x:v>12</x:v>
      </x:c>
    </x:row>
    <x:row r="112" ht="22.049999237060547" customHeight="1">
      <x:c r="A112" s="4">
        <x:v>107</x:v>
      </x:c>
      <x:c r="B112" s="4" t="s">
        <x:v>17</x:v>
      </x:c>
      <x:c r="C112" s="12" t="str">
        <x:f>HYPERLINK("https://hdlbits.01xz.net/wiki/exams/m2014_q6b","Q6b: FSM next-state logic")</x:f>
        <x:v>Q6b: FSM next-state logic</x:v>
      </x:c>
      <x:c r="D112" s="4" t="s">
        <x:v>11</x:v>
      </x:c>
      <x:c r="E112" s="26" t="str">
        <x:f>HYPERLINK("HDLBits_Day7_QA_FSM_Warnings_and_Counter_Interface.pdf","Day 7 Q&amp;A")</x:f>
        <x:v>Day 7 Q&amp;A</x:v>
      </x:c>
    </x:row>
    <x:row r="113" ht="22.049999237060547" customHeight="1">
      <x:c r="A113" s="4">
        <x:v>108</x:v>
      </x:c>
      <x:c r="B113" s="4" t="s">
        <x:v>18</x:v>
      </x:c>
      <x:c r="C113" s="12" t="str">
        <x:f>HYPERLINK("https://hdlbits.01xz.net/wiki/mux2to1v","2-to-1 bus multiplexer")</x:f>
        <x:v>2-to-1 bus multiplexer</x:v>
      </x:c>
      <x:c r="D113" s="4" t="s">
        <x:v>11</x:v>
      </x:c>
      <x:c r="E113" s="7" t="s">
        <x:v>12</x:v>
      </x:c>
    </x:row>
    <x:row r="114" ht="22.049999237060547" customHeight="1">
      <x:c r="A114" s="4">
        <x:v>109</x:v>
      </x:c>
      <x:c r="B114" s="4" t="s">
        <x:v>18</x:v>
      </x:c>
      <x:c r="C114" s="12" t="str">
        <x:f>HYPERLINK("https://hdlbits.01xz.net/wiki/exams/ece241_2014_q7a","Counter 1-12")</x:f>
        <x:v>Counter 1-12</x:v>
      </x:c>
      <x:c r="D114" s="4" t="s">
        <x:v>11</x:v>
      </x:c>
      <x:c r="E114" s="26" t="str">
        <x:f>HYPERLINK("HDLBits_Day7_QA_FSM_Warnings_and_Counter_Interface.pdf","Day 7 Q&amp;A")</x:f>
        <x:v>Day 7 Q&amp;A</x:v>
      </x:c>
    </x:row>
    <x:row r="115" ht="22.049999237060547" customHeight="1">
      <x:c r="A115" s="4">
        <x:v>110</x:v>
      </x:c>
      <x:c r="B115" s="4" t="s">
        <x:v>18</x:v>
      </x:c>
      <x:c r="C115" s="12" t="str">
        <x:f>HYPERLINK("https://hdlbits.01xz.net/wiki/module_name","Connecting ports by name")</x:f>
        <x:v>Connecting ports by name</x:v>
      </x:c>
      <x:c r="D115" s="4" t="s">
        <x:v>11</x:v>
      </x:c>
      <x:c r="E115" s="7" t="s">
        <x:v>12</x:v>
      </x:c>
    </x:row>
    <x:row r="116" ht="22.049999237060547" customHeight="1">
      <x:c r="A116" s="4">
        <x:v>111</x:v>
      </x:c>
      <x:c r="B116" s="4" t="s">
        <x:v>18</x:v>
      </x:c>
      <x:c r="C116" s="12" t="str">
        <x:f>HYPERLINK("https://hdlbits.01xz.net/wiki/mux9to1v","9-to-1 multiplexer")</x:f>
        <x:v>9-to-1 multiplexer</x:v>
      </x:c>
      <x:c r="D116" s="4" t="s">
        <x:v>11</x:v>
      </x:c>
      <x:c r="E116" s="7" t="s">
        <x:v>12</x:v>
      </x:c>
    </x:row>
    <x:row r="117" ht="22.049999237060547" customHeight="1">
      <x:c r="A117" s="4">
        <x:v>112</x:v>
      </x:c>
      <x:c r="B117" s="4" t="s">
        <x:v>18</x:v>
      </x:c>
      <x:c r="C117" s="12" t="str">
        <x:f>HYPERLINK("https://hdlbits.01xz.net/wiki/exams/m2014_q6c","Q6c: FSM one-hot next-state logic")</x:f>
        <x:v>Q6c: FSM one-hot next-state logic</x:v>
      </x:c>
      <x:c r="D117" s="4" t="s">
        <x:v>11</x:v>
      </x:c>
      <x:c r="E117" s="7" t="s">
        <x:v>12</x:v>
      </x:c>
    </x:row>
    <x:row r="118" ht="22.049999237060547" customHeight="1">
      <x:c r="A118" s="4">
        <x:v>113</x:v>
      </x:c>
      <x:c r="B118" s="4" t="s">
        <x:v>18</x:v>
      </x:c>
      <x:c r="C118" s="12" t="str">
        <x:f>HYPERLINK("https://hdlbits.01xz.net/wiki/exams/ece241_2014_q7b","Counter 1000")</x:f>
        <x:v>Counter 1000</x:v>
      </x:c>
      <x:c r="D118" s="4" t="s">
        <x:v>11</x:v>
      </x:c>
      <x:c r="E118" s="7" t="s">
        <x:v>12</x:v>
      </x:c>
    </x:row>
    <x:row r="119" ht="22.049999237060547" customHeight="1">
      <x:c r="A119" s="4">
        <x:v>114</x:v>
      </x:c>
      <x:c r="B119" s="4" t="s">
        <x:v>18</x:v>
      </x:c>
      <x:c r="C119" s="12" t="str">
        <x:f>HYPERLINK("https://hdlbits.01xz.net/wiki/sim/circuit8","Sequential circuit 8")</x:f>
        <x:v>Sequential circuit 8</x:v>
      </x:c>
      <x:c r="D119" s="4" t="s">
        <x:v>11</x:v>
      </x:c>
      <x:c r="E119" s="7" t="s">
        <x:v>12</x:v>
      </x:c>
    </x:row>
    <x:row r="120" ht="22.049999237060547" customHeight="1">
      <x:c r="A120" s="4">
        <x:v>115</x:v>
      </x:c>
      <x:c r="B120" s="4" t="s">
        <x:v>18</x:v>
      </x:c>
      <x:c r="C120" s="12" t="str">
        <x:f>HYPERLINK("https://hdlbits.01xz.net/wiki/mux256to1","256-to-1 multiplexer")</x:f>
        <x:v>256-to-1 multiplexer</x:v>
      </x:c>
      <x:c r="D120" s="4" t="s">
        <x:v>11</x:v>
      </x:c>
      <x:c r="E120" s="7" t="s">
        <x:v>12</x:v>
      </x:c>
    </x:row>
    <x:row r="121" ht="22.049999237060547" customHeight="1">
      <x:c r="A121" s="4">
        <x:v>116</x:v>
      </x:c>
      <x:c r="B121" s="4" t="s">
        <x:v>18</x:v>
      </x:c>
      <x:c r="C121" s="12" t="str">
        <x:f>HYPERLINK("https://hdlbits.01xz.net/wiki/module_shift","Three modules")</x:f>
        <x:v>Three modules</x:v>
      </x:c>
      <x:c r="D121" s="4" t="s">
        <x:v>11</x:v>
      </x:c>
      <x:c r="E121" s="7" t="s">
        <x:v>12</x:v>
      </x:c>
    </x:row>
    <x:row r="122" ht="22.049999237060547" customHeight="1">
      <x:c r="A122" s="4">
        <x:v>117</x:v>
      </x:c>
      <x:c r="B122" s="4" t="s">
        <x:v>18</x:v>
      </x:c>
      <x:c r="C122" s="12" t="str">
        <x:f>HYPERLINK("https://hdlbits.01xz.net/wiki/exams/m2014_q6","Q6: FSM")</x:f>
        <x:v>Q6: FSM</x:v>
      </x:c>
      <x:c r="D122" s="4" t="s">
        <x:v>11</x:v>
      </x:c>
      <x:c r="E122" s="7" t="s">
        <x:v>12</x:v>
      </x:c>
    </x:row>
    <x:row r="123" ht="22.049999237060547" customHeight="1">
      <x:c r="A123" s="4">
        <x:v>118</x:v>
      </x:c>
      <x:c r="B123" s="4" t="s">
        <x:v>18</x:v>
      </x:c>
      <x:c r="C123" s="12" t="str">
        <x:f>HYPERLINK("https://hdlbits.01xz.net/wiki/countbcd","4-digit decimal counter")</x:f>
        <x:v>4-digit decimal counter</x:v>
      </x:c>
      <x:c r="D123" s="4" t="s">
        <x:v>11</x:v>
      </x:c>
      <x:c r="E123" s="7" t="s">
        <x:v>12</x:v>
      </x:c>
    </x:row>
    <x:row r="124" ht="22.049999237060547" customHeight="1">
      <x:c r="A124" s="4">
        <x:v>119</x:v>
      </x:c>
      <x:c r="B124" s="4" t="s">
        <x:v>18</x:v>
      </x:c>
      <x:c r="C124" s="12" t="str">
        <x:f>HYPERLINK("https://hdlbits.01xz.net/wiki/mux256to1v","256-to-1 4-bit multiplexer")</x:f>
        <x:v>256-to-1 4-bit multiplexer</x:v>
      </x:c>
      <x:c r="D124" s="4" t="s">
        <x:v>11</x:v>
      </x:c>
      <x:c r="E124" s="7" t="s">
        <x:v>12</x:v>
      </x:c>
    </x:row>
    <x:row r="125" ht="22.049999237060547" customHeight="1">
      <x:c r="A125" s="4">
        <x:v>120</x:v>
      </x:c>
      <x:c r="B125" s="4" t="s">
        <x:v>18</x:v>
      </x:c>
      <x:c r="C125" s="12" t="str">
        <x:f>HYPERLINK("https://hdlbits.01xz.net/wiki/module_shift8","Modules and vectors")</x:f>
        <x:v>Modules and vectors</x:v>
      </x:c>
      <x:c r="D125" s="4" t="s">
        <x:v>11</x:v>
      </x:c>
      <x:c r="E125" s="7" t="s">
        <x:v>12</x:v>
      </x:c>
    </x:row>
    <x:row r="126" ht="22.049999237060547" customHeight="1">
      <x:c r="A126" s="4">
        <x:v>121</x:v>
      </x:c>
      <x:c r="B126" s="4" t="s">
        <x:v>18</x:v>
      </x:c>
      <x:c r="C126" s="12" t="str">
        <x:f>HYPERLINK("https://hdlbits.01xz.net/wiki/sim/circuit9","Sequential circuit 9")</x:f>
        <x:v>Sequential circuit 9</x:v>
      </x:c>
      <x:c r="D126" s="4" t="s">
        <x:v>11</x:v>
      </x:c>
      <x:c r="E126" s="7" t="s">
        <x:v>12</x:v>
      </x:c>
    </x:row>
    <x:row r="127" ht="22.049999237060547" customHeight="1">
      <x:c r="A127" s="4">
        <x:v>122</x:v>
      </x:c>
      <x:c r="B127" s="4" t="s">
        <x:v>18</x:v>
      </x:c>
      <x:c r="C127" s="12" t="str">
        <x:f>HYPERLINK("https://hdlbits.01xz.net/wiki/hadd","Half adder")</x:f>
        <x:v>Half adder</x:v>
      </x:c>
      <x:c r="D127" s="4" t="s">
        <x:v>11</x:v>
      </x:c>
      <x:c r="E127" s="7" t="s">
        <x:v>12</x:v>
      </x:c>
    </x:row>
    <x:row r="128" ht="22.049999237060547" customHeight="1">
      <x:c r="A128" s="4">
        <x:v>123</x:v>
      </x:c>
      <x:c r="B128" s="4" t="s">
        <x:v>18</x:v>
      </x:c>
      <x:c r="C128" s="12" t="str">
        <x:f>HYPERLINK("https://hdlbits.01xz.net/wiki/count_clock","12-hour clock")</x:f>
        <x:v>12-hour clock</x:v>
      </x:c>
      <x:c r="D128" s="4" t="s">
        <x:v>11</x:v>
      </x:c>
      <x:c r="E128" s="26" t="str">
        <x:f>HYPERLINK("HDLBits_Day8_QA_Wire_Reg_and_Shift_Reset.pdf","Day 8 Q&amp;A")</x:f>
        <x:v>Day 8 Q&amp;A</x:v>
      </x:c>
    </x:row>
    <x:row r="129" ht="22.049999237060547" customHeight="1">
      <x:c r="A129" s="4">
        <x:v>124</x:v>
      </x:c>
      <x:c r="B129" s="4" t="s">
        <x:v>18</x:v>
      </x:c>
      <x:c r="C129" s="12" t="str">
        <x:f>HYPERLINK("https://hdlbits.01xz.net/wiki/exams/2012_q2fsm","Q2a: FSM")</x:f>
        <x:v>Q2a: FSM</x:v>
      </x:c>
      <x:c r="D129" s="4" t="s">
        <x:v>11</x:v>
      </x:c>
      <x:c r="E129" s="7" t="s">
        <x:v>12</x:v>
      </x:c>
    </x:row>
    <x:row r="130" ht="22.049999237060547" customHeight="1">
      <x:c r="A130" s="4">
        <x:v>125</x:v>
      </x:c>
      <x:c r="B130" s="4" t="s">
        <x:v>18</x:v>
      </x:c>
      <x:c r="C130" s="12" t="str">
        <x:f>HYPERLINK("https://hdlbits.01xz.net/wiki/module_add","Adder 1")</x:f>
        <x:v>Adder 1</x:v>
      </x:c>
      <x:c r="D130" s="4" t="s">
        <x:v>11</x:v>
      </x:c>
      <x:c r="E130" s="7" t="s">
        <x:v>12</x:v>
      </x:c>
    </x:row>
    <x:row r="131" ht="22.049999237060547" customHeight="1">
      <x:c r="A131" s="4">
        <x:v>126</x:v>
      </x:c>
      <x:c r="B131" s="4" t="s">
        <x:v>19</x:v>
      </x:c>
      <x:c r="C131" s="12" t="str">
        <x:f>HYPERLINK("https://hdlbits.01xz.net/wiki/fadd","Full adder")</x:f>
        <x:v>Full adder</x:v>
      </x:c>
      <x:c r="D131" s="4" t="s">
        <x:v>11</x:v>
      </x:c>
      <x:c r="E131" s="7" t="s">
        <x:v>12</x:v>
      </x:c>
    </x:row>
    <x:row r="132" ht="22.049999237060547" customHeight="1">
      <x:c r="A132" s="4">
        <x:v>127</x:v>
      </x:c>
      <x:c r="B132" s="4" t="s">
        <x:v>19</x:v>
      </x:c>
      <x:c r="C132" s="12" t="str">
        <x:f>HYPERLINK("https://hdlbits.01xz.net/wiki/shift4","4-bit shift register")</x:f>
        <x:v>4-bit shift register</x:v>
      </x:c>
      <x:c r="D132" s="4" t="s">
        <x:v>11</x:v>
      </x:c>
      <x:c r="E132" s="26" t="str">
        <x:f>HYPERLINK("HDLBits_Day8_QA_Wire_Reg_and_Shift_Reset.pdf","Day 8 Q&amp;A")</x:f>
        <x:v>Day 8 Q&amp;A</x:v>
      </x:c>
    </x:row>
    <x:row r="133" ht="22.049999237060547" customHeight="1">
      <x:c r="A133" s="4">
        <x:v>128</x:v>
      </x:c>
      <x:c r="B133" s="4" t="s">
        <x:v>19</x:v>
      </x:c>
      <x:c r="C133" s="12" t="str">
        <x:f>HYPERLINK("https://hdlbits.01xz.net/wiki/exams/2012_q2b","Q2b: One-hot FSM equations")</x:f>
        <x:v>Q2b: One-hot FSM equations</x:v>
      </x:c>
      <x:c r="D133" s="4" t="s">
        <x:v>11</x:v>
      </x:c>
      <x:c r="E133" s="7" t="s">
        <x:v>12</x:v>
      </x:c>
    </x:row>
    <x:row r="134" ht="22.049999237060547" customHeight="1">
      <x:c r="A134" s="4">
        <x:v>129</x:v>
      </x:c>
      <x:c r="B134" s="4" t="s">
        <x:v>19</x:v>
      </x:c>
      <x:c r="C134" s="12" t="str">
        <x:f>HYPERLINK("https://hdlbits.01xz.net/wiki/module_fadd","Adder 2")</x:f>
        <x:v>Adder 2</x:v>
      </x:c>
      <x:c r="D134" s="4" t="s">
        <x:v>11</x:v>
      </x:c>
      <x:c r="E134" s="26" t="str">
        <x:f>HYPERLINK("HDLBits_Day8_QA_Wire_Reg_and_Shift_Reset.pdf","Day 8 Q&amp;A")</x:f>
        <x:v>Day 8 Q&amp;A</x:v>
      </x:c>
    </x:row>
    <x:row r="135" ht="22.049999237060547" customHeight="1">
      <x:c r="A135" s="4">
        <x:v>130</x:v>
      </x:c>
      <x:c r="B135" s="4" t="s">
        <x:v>19</x:v>
      </x:c>
      <x:c r="C135" s="12" t="str">
        <x:f>HYPERLINK("https://hdlbits.01xz.net/wiki/adder3","3-bit binary adder")</x:f>
        <x:v>3-bit binary adder</x:v>
      </x:c>
      <x:c r="D135" s="4" t="s">
        <x:v>11</x:v>
      </x:c>
      <x:c r="E135" s="7" t="s">
        <x:v>12</x:v>
      </x:c>
    </x:row>
    <x:row r="136" ht="22.049999237060547" customHeight="1">
      <x:c r="A136" s="4">
        <x:v>131</x:v>
      </x:c>
      <x:c r="B136" s="4" t="s">
        <x:v>19</x:v>
      </x:c>
      <x:c r="C136" s="12" t="str">
        <x:f>HYPERLINK("https://hdlbits.01xz.net/wiki/rotate100","Left/right rotator")</x:f>
        <x:v>Left/right rotator</x:v>
      </x:c>
      <x:c r="D136" s="4" t="s">
        <x:v>11</x:v>
      </x:c>
      <x:c r="E136" s="7" t="s">
        <x:v>12</x:v>
      </x:c>
    </x:row>
    <x:row r="137" ht="22.049999237060547" customHeight="1">
      <x:c r="A137" s="4">
        <x:v>132</x:v>
      </x:c>
      <x:c r="B137" s="4" t="s">
        <x:v>19</x:v>
      </x:c>
      <x:c r="C137" s="12" t="str">
        <x:f>HYPERLINK("https://hdlbits.01xz.net/wiki/sim/circuit10","Sequential circuit 10")</x:f>
        <x:v>Sequential circuit 10</x:v>
      </x:c>
      <x:c r="D137" s="4" t="s">
        <x:v>11</x:v>
      </x:c>
      <x:c r="E137" s="7" t="s">
        <x:v>12</x:v>
      </x:c>
    </x:row>
    <x:row r="138" ht="22.049999237060547" customHeight="1">
      <x:c r="A138" s="4">
        <x:v>133</x:v>
      </x:c>
      <x:c r="B138" s="4" t="s">
        <x:v>19</x:v>
      </x:c>
      <x:c r="C138" s="12" t="str">
        <x:f>HYPERLINK("https://hdlbits.01xz.net/wiki/exams/2013_q2afsm","Q2a: FSM")</x:f>
        <x:v>Q2a: FSM</x:v>
      </x:c>
      <x:c r="D138" s="4" t="str">
        <x:v>Done</x:v>
      </x:c>
      <x:c r="E138" s="7" t="str">
        <x:v>No questions asked</x:v>
      </x:c>
    </x:row>
    <x:row r="139" ht="22.049999237060547" customHeight="1">
      <x:c r="A139" s="4">
        <x:v>134</x:v>
      </x:c>
      <x:c r="B139" s="4" t="s">
        <x:v>19</x:v>
      </x:c>
      <x:c r="C139" s="12" t="str">
        <x:f>HYPERLINK("https://hdlbits.01xz.net/wiki/module_cseladd","Carry-select adder")</x:f>
        <x:v>Carry-select adder</x:v>
      </x:c>
      <x:c r="D139" s="4" t="s">
        <x:v>11</x:v>
      </x:c>
      <x:c r="E139" s="7" t="s">
        <x:v>12</x:v>
      </x:c>
    </x:row>
    <x:row r="140" ht="22.049999237060547" customHeight="1">
      <x:c r="A140" s="4">
        <x:v>135</x:v>
      </x:c>
      <x:c r="B140" s="4" t="s">
        <x:v>19</x:v>
      </x:c>
      <x:c r="C140" s="12" t="str">
        <x:f>HYPERLINK("https://hdlbits.01xz.net/wiki/exams/m2014_q4j","Adder")</x:f>
        <x:v>Adder</x:v>
      </x:c>
      <x:c r="D140" s="4" t="s">
        <x:v>11</x:v>
      </x:c>
      <x:c r="E140" s="7" t="s">
        <x:v>12</x:v>
      </x:c>
    </x:row>
    <x:row r="141" ht="22.049999237060547" customHeight="1">
      <x:c r="A141" s="4">
        <x:v>136</x:v>
      </x:c>
      <x:c r="B141" s="4" t="s">
        <x:v>19</x:v>
      </x:c>
      <x:c r="C141" s="12" t="str">
        <x:f>HYPERLINK("https://hdlbits.01xz.net/wiki/shift18","Left/right arithmetic shift by 1 or 8")</x:f>
        <x:v>Left/right arithmetic shift by 1 or 8</x:v>
      </x:c>
      <x:c r="D141" s="4" t="s">
        <x:v>11</x:v>
      </x:c>
      <x:c r="E141" s="7" t="s">
        <x:v>12</x:v>
      </x:c>
    </x:row>
    <x:row r="142" ht="22.049999237060547" customHeight="1">
      <x:c r="A142" s="4">
        <x:v>137</x:v>
      </x:c>
      <x:c r="B142" s="4" t="s">
        <x:v>19</x:v>
      </x:c>
      <x:c r="C142" s="12" t="str">
        <x:f>HYPERLINK("https://hdlbits.01xz.net/wiki/exams/ece241_2014_q1c","Signed addition overflow")</x:f>
        <x:v>Signed addition overflow</x:v>
      </x:c>
      <x:c r="D142" s="4" t="s">
        <x:v>11</x:v>
      </x:c>
      <x:c r="E142" s="7" t="s">
        <x:v>12</x:v>
      </x:c>
    </x:row>
    <x:row r="143" ht="22.049999237060547" customHeight="1">
      <x:c r="A143" s="4">
        <x:v>138</x:v>
      </x:c>
      <x:c r="B143" s="4" t="s">
        <x:v>19</x:v>
      </x:c>
      <x:c r="C143" s="12" t="str">
        <x:f>HYPERLINK("https://hdlbits.01xz.net/wiki/module_addsub","Adder-subtractor")</x:f>
        <x:v>Adder-subtractor</x:v>
      </x:c>
      <x:c r="D143" s="4" t="s">
        <x:v>11</x:v>
      </x:c>
      <x:c r="E143" s="7" t="s">
        <x:v>12</x:v>
      </x:c>
    </x:row>
    <x:row r="144" ht="22.049999237060547" customHeight="1">
      <x:c r="A144" s="4">
        <x:v>139</x:v>
      </x:c>
      <x:c r="B144" s="4" t="s">
        <x:v>19</x:v>
      </x:c>
      <x:c r="C144" s="12" t="str">
        <x:f>HYPERLINK("https://hdlbits.01xz.net/wiki/exams/2013_q2bfsm","Q2b: Another FSM")</x:f>
        <x:v>Q2b: Another FSM</x:v>
      </x:c>
      <x:c r="D144" s="4" t="s">
        <x:v>11</x:v>
      </x:c>
      <x:c r="E144" s="7" t="s">
        <x:v>12</x:v>
      </x:c>
    </x:row>
    <x:row r="145" ht="22.049999237060547" customHeight="1">
      <x:c r="A145" s="4">
        <x:v>140</x:v>
      </x:c>
      <x:c r="B145" s="4" t="s">
        <x:v>19</x:v>
      </x:c>
      <x:c r="C145" s="12" t="str">
        <x:f>HYPERLINK("https://hdlbits.01xz.net/wiki/tb/clock","Clock")</x:f>
        <x:v>Clock</x:v>
      </x:c>
      <x:c r="D145" s="4" t="s">
        <x:v>11</x:v>
      </x:c>
      <x:c r="E145" s="7" t="s">
        <x:v>12</x:v>
      </x:c>
    </x:row>
    <x:row r="146" ht="22.049999237060547" customHeight="1">
      <x:c r="A146" s="4">
        <x:v>141</x:v>
      </x:c>
      <x:c r="B146" s="4" t="s">
        <x:v>19</x:v>
      </x:c>
      <x:c r="C146" s="12" t="str">
        <x:f>HYPERLINK("https://hdlbits.01xz.net/wiki/lfsr5","5-bit LFSR")</x:f>
        <x:v>5-bit LFSR</x:v>
      </x:c>
      <x:c r="D146" s="4" t="s">
        <x:v>20</x:v>
      </x:c>
      <x:c r="E146" s="7"/>
    </x:row>
    <x:row r="147" ht="22.049999237060547" customHeight="1">
      <x:c r="A147" s="4">
        <x:v>142</x:v>
      </x:c>
      <x:c r="B147" s="4" t="s">
        <x:v>19</x:v>
      </x:c>
      <x:c r="C147" s="12" t="str">
        <x:f>HYPERLINK("https://hdlbits.01xz.net/wiki/adder100","100-bit binary adder")</x:f>
        <x:v>100-bit binary adder</x:v>
      </x:c>
      <x:c r="D147" s="4" t="s">
        <x:v>11</x:v>
      </x:c>
      <x:c r="E147" s="7" t="s">
        <x:v>12</x:v>
      </x:c>
    </x:row>
    <x:row r="148" ht="22.049999237060547" customHeight="1">
      <x:c r="A148" s="4">
        <x:v>143</x:v>
      </x:c>
      <x:c r="B148" s="4" t="s">
        <x:v>19</x:v>
      </x:c>
      <x:c r="C148" s="12" t="str">
        <x:f>HYPERLINK("https://hdlbits.01xz.net/wiki/alwaysblock1","Always blocks (combinational)")</x:f>
        <x:v>Always blocks (combinational)</x:v>
      </x:c>
      <x:c r="D148" s="4" t="s">
        <x:v>11</x:v>
      </x:c>
      <x:c r="E148" s="7" t="s">
        <x:v>12</x:v>
      </x:c>
    </x:row>
    <x:row r="149" ht="22.049999237060547" customHeight="1">
      <x:c r="A149" s="4">
        <x:v>144</x:v>
      </x:c>
      <x:c r="B149" s="4" t="s">
        <x:v>21</x:v>
      </x:c>
      <x:c r="C149" s="12" t="str">
        <x:f>HYPERLINK("https://hdlbits.01xz.net/wiki/exams/review2015_count1k","Counter with period 1000")</x:f>
        <x:v>Counter with period 1000</x:v>
      </x:c>
      <x:c r="D149" s="4" t="s">
        <x:v>11</x:v>
      </x:c>
      <x:c r="E149" s="7" t="s">
        <x:v>12</x:v>
      </x:c>
    </x:row>
    <x:row r="150" ht="22.049999237060547" customHeight="1">
      <x:c r="A150" s="4">
        <x:v>145</x:v>
      </x:c>
      <x:c r="B150" s="4" t="s">
        <x:v>21</x:v>
      </x:c>
      <x:c r="C150" s="12" t="str">
        <x:f>HYPERLINK("https://hdlbits.01xz.net/wiki/mt2015_lfsr","3-bit LFSR")</x:f>
        <x:v>3-bit LFSR</x:v>
      </x:c>
      <x:c r="D150" s="4" t="s">
        <x:v>20</x:v>
      </x:c>
      <x:c r="E150" s="7"/>
    </x:row>
    <x:row r="151" ht="22.049999237060547" customHeight="1">
      <x:c r="A151" s="4">
        <x:v>146</x:v>
      </x:c>
      <x:c r="B151" s="4" t="s">
        <x:v>21</x:v>
      </x:c>
      <x:c r="C151" s="12" t="str">
        <x:f>HYPERLINK("https://hdlbits.01xz.net/wiki/bcdadd4","4-digit BCD adder")</x:f>
        <x:v>4-digit BCD adder</x:v>
      </x:c>
      <x:c r="D151" s="4" t="str">
        <x:v>Done</x:v>
      </x:c>
      <x:c r="E151" s="7" t="str">
        <x:v>No questions asked</x:v>
      </x:c>
    </x:row>
    <x:row r="152" ht="22.049999237060547" customHeight="1">
      <x:c r="A152" s="4">
        <x:v>147</x:v>
      </x:c>
      <x:c r="B152" s="4" t="s">
        <x:v>21</x:v>
      </x:c>
      <x:c r="C152" s="12" t="str">
        <x:f>HYPERLINK("https://hdlbits.01xz.net/wiki/alwaysblock2","Always blocks (clocked)")</x:f>
        <x:v>Always blocks (clocked)</x:v>
      </x:c>
      <x:c r="D152" s="4" t="str">
        <x:v>Done</x:v>
      </x:c>
      <x:c r="E152" s="7" t="str">
        <x:v>No questions asked</x:v>
      </x:c>
    </x:row>
    <x:row r="153" ht="22.049999237060547" customHeight="1">
      <x:c r="A153" s="4">
        <x:v>148</x:v>
      </x:c>
      <x:c r="B153" s="4" t="s">
        <x:v>21</x:v>
      </x:c>
      <x:c r="C153" s="12" t="str">
        <x:f>HYPERLINK("https://hdlbits.01xz.net/wiki/tb/tb1","Testbench1")</x:f>
        <x:v>Testbench1</x:v>
      </x:c>
      <x:c r="D153" s="4" t="str">
        <x:v>Done</x:v>
      </x:c>
      <x:c r="E153" s="7" t="str">
        <x:v>No questions asked</x:v>
      </x:c>
    </x:row>
    <x:row r="154" ht="22.049999237060547" customHeight="1">
      <x:c r="A154" s="4">
        <x:v>149</x:v>
      </x:c>
      <x:c r="B154" s="4" t="s">
        <x:v>21</x:v>
      </x:c>
      <x:c r="C154" s="12" t="str">
        <x:f>HYPERLINK("https://hdlbits.01xz.net/wiki/exams/review2015_shiftcount","4-bit shift register and down counter")</x:f>
        <x:v>4-bit shift register and down counter</x:v>
      </x:c>
      <x:c r="D154" s="4" t="str">
        <x:v>Done</x:v>
      </x:c>
      <x:c r="E154" s="7" t="str">
        <x:v>No questions asked</x:v>
      </x:c>
    </x:row>
    <x:row r="155" ht="22.049999237060547" customHeight="1">
      <x:c r="A155" s="4">
        <x:v>150</x:v>
      </x:c>
      <x:c r="B155" s="4" t="s">
        <x:v>21</x:v>
      </x:c>
      <x:c r="C155" s="12" t="str">
        <x:f>HYPERLINK("https://hdlbits.01xz.net/wiki/kmap1","3-variable")</x:f>
        <x:v>3-variable</x:v>
      </x:c>
      <x:c r="D155" s="4" t="str">
        <x:v>Done</x:v>
      </x:c>
      <x:c r="E155" s="7" t="str">
        <x:v>No questions asked</x:v>
      </x:c>
    </x:row>
    <x:row r="156" ht="22.049999237060547" customHeight="1">
      <x:c r="A156" s="4">
        <x:v>151</x:v>
      </x:c>
      <x:c r="B156" s="4" t="s">
        <x:v>21</x:v>
      </x:c>
      <x:c r="C156" s="12" t="str">
        <x:f>HYPERLINK("https://hdlbits.01xz.net/wiki/lfsr32","32-bit LFSR")</x:f>
        <x:v>32-bit LFSR</x:v>
      </x:c>
      <x:c r="D156" s="4" t="s">
        <x:v>20</x:v>
      </x:c>
      <x:c r="E156" s="7"/>
    </x:row>
    <x:row r="157" ht="22.049999237060547" customHeight="1">
      <x:c r="A157" s="4">
        <x:v>152</x:v>
      </x:c>
      <x:c r="B157" s="4" t="s">
        <x:v>21</x:v>
      </x:c>
      <x:c r="C157" s="12" t="str">
        <x:f>HYPERLINK("https://hdlbits.01xz.net/wiki/always_if","If statement")</x:f>
        <x:v>If statement</x:v>
      </x:c>
      <x:c r="D157" s="4" t="str">
        <x:v>Done</x:v>
      </x:c>
      <x:c r="E157" s="7" t="str">
        <x:v>No questions asked</x:v>
      </x:c>
    </x:row>
    <x:row r="158" ht="22.049999237060547" customHeight="1">
      <x:c r="A158" s="4">
        <x:v>153</x:v>
      </x:c>
      <x:c r="B158" s="4" t="s">
        <x:v>21</x:v>
      </x:c>
      <x:c r="C158" s="12" t="str">
        <x:f>HYPERLINK("https://hdlbits.01xz.net/wiki/kmap2","4-variable")</x:f>
        <x:v>4-variable</x:v>
      </x:c>
      <x:c r="D158" s="4" t="str">
        <x:v>Done</x:v>
      </x:c>
      <x:c r="E158" s="7" t="str">
        <x:v>No questions asked</x:v>
      </x:c>
    </x:row>
    <x:row r="159" ht="22.049999237060547" customHeight="1">
      <x:c r="A159" s="4">
        <x:v>154</x:v>
      </x:c>
      <x:c r="B159" s="4" t="s">
        <x:v>21</x:v>
      </x:c>
      <x:c r="C159" s="12" t="str">
        <x:f>HYPERLINK("https://hdlbits.01xz.net/wiki/exams/m2014_q4k","Shift register")</x:f>
        <x:v>Shift register</x:v>
      </x:c>
      <x:c r="D159" s="4" t="str">
        <x:v>Done</x:v>
      </x:c>
      <x:c r="E159" s="7" t="str">
        <x:v>No questions asked</x:v>
      </x:c>
    </x:row>
    <x:row r="160" ht="22.049999237060547" customHeight="1">
      <x:c r="A160" s="4">
        <x:v>155</x:v>
      </x:c>
      <x:c r="B160" s="4" t="s">
        <x:v>21</x:v>
      </x:c>
      <x:c r="C160" s="12" t="str">
        <x:f>HYPERLINK("https://hdlbits.01xz.net/wiki/exams/review2015_fsmseq","FSM: Sequence 1101 recognizer")</x:f>
        <x:v>FSM: Sequence 1101 recognizer</x:v>
      </x:c>
      <x:c s="4" r="D160" t="str">
        <x:v>Done</x:v>
      </x:c>
      <x:c s="26" r="E160" t="str">
        <x:f>HYPERLINK("HDLBits_Day9_QA_Latches_and_Sequence_FSM.pdf","1101 FSM cleanup (pp. 4-5)")</x:f>
        <x:v>1101 FSM cleanup (pp. 4-5)</x:v>
      </x:c>
    </x:row>
    <x:row r="161" ht="22.049999237060547" customHeight="1">
      <x:c r="A161" s="4">
        <x:v>156</x:v>
      </x:c>
      <x:c r="B161" s="4" t="s">
        <x:v>21</x:v>
      </x:c>
      <x:c r="C161" s="12" t="str">
        <x:f>HYPERLINK("https://hdlbits.01xz.net/wiki/tb/and","AND gate")</x:f>
        <x:v>AND gate</x:v>
      </x:c>
      <x:c s="4" r="D161" t="str">
        <x:v>Done</x:v>
      </x:c>
      <x:c s="7" r="E161" t="str">
        <x:v>No questions asked</x:v>
      </x:c>
    </x:row>
    <x:row r="162" ht="22.049999237060547" customHeight="1">
      <x:c r="A162" s="4">
        <x:v>157</x:v>
      </x:c>
      <x:c r="B162" s="4" t="s">
        <x:v>21</x:v>
      </x:c>
      <x:c r="C162" s="12" t="str">
        <x:f>HYPERLINK("https://hdlbits.01xz.net/wiki/kmap3","4-variable")</x:f>
        <x:v>4-variable</x:v>
      </x:c>
      <x:c s="4" r="D162" t="str">
        <x:v>Done</x:v>
      </x:c>
      <x:c s="7" r="E162" t="str">
        <x:v>No questions asked</x:v>
      </x:c>
    </x:row>
    <x:row r="163" ht="22.049999237060547" customHeight="1">
      <x:c r="A163" s="4">
        <x:v>158</x:v>
      </x:c>
      <x:c r="B163" s="4" t="s">
        <x:v>21</x:v>
      </x:c>
      <x:c r="C163" s="12" t="str">
        <x:f>HYPERLINK("https://hdlbits.01xz.net/wiki/always_if2","If statement latches")</x:f>
        <x:v>If statement latches</x:v>
      </x:c>
      <x:c s="4" r="D163" t="str">
        <x:v>Done</x:v>
      </x:c>
      <x:c s="26" r="E163" t="str">
        <x:f>HYPERLINK("HDLBits_Day9_QA_Latches_and_Sequence_FSM.pdf","If statements and latches (pp. 1-3)")</x:f>
        <x:v>If statements and latches (pp. 1-3)</x:v>
      </x:c>
    </x:row>
    <x:row r="164" ht="22.049999237060547" customHeight="1">
      <x:c r="A164" s="4">
        <x:v>159</x:v>
      </x:c>
      <x:c r="B164" s="4" t="s">
        <x:v>21</x:v>
      </x:c>
      <x:c r="C164" s="12" t="str">
        <x:f>HYPERLINK("https://hdlbits.01xz.net/wiki/exams/2014_q4b","Shift register")</x:f>
        <x:v>Shift register</x:v>
      </x:c>
      <x:c r="D164" s="4" t="s">
        <x:v>20</x:v>
      </x:c>
      <x:c r="E164" s="7"/>
    </x:row>
    <x:row r="165" ht="22.049999237060547" customHeight="1">
      <x:c r="A165" s="4">
        <x:v>160</x:v>
      </x:c>
      <x:c r="B165" s="4" t="s">
        <x:v>21</x:v>
      </x:c>
      <x:c r="C165" s="12" t="str">
        <x:f>HYPERLINK("https://hdlbits.01xz.net/wiki/exams/review2015_fsmshift","FSM: Enable shift register")</x:f>
        <x:v>FSM: Enable shift register</x:v>
      </x:c>
      <x:c r="D165" s="4" t="s">
        <x:v>20</x:v>
      </x:c>
      <x:c r="E165" s="7"/>
    </x:row>
    <x:row r="166" ht="22.049999237060547" customHeight="1">
      <x:c r="A166" s="4">
        <x:v>161</x:v>
      </x:c>
      <x:c r="B166" s="4" t="s">
        <x:v>21</x:v>
      </x:c>
      <x:c r="C166" s="12" t="str">
        <x:f>HYPERLINK("https://hdlbits.01xz.net/wiki/kmap4","4-variable")</x:f>
        <x:v>4-variable</x:v>
      </x:c>
      <x:c r="D166" s="4" t="s">
        <x:v>20</x:v>
      </x:c>
      <x:c r="E166" s="7"/>
    </x:row>
    <x:row r="167" ht="22.049999237060547" customHeight="1">
      <x:c r="A167" s="4">
        <x:v>162</x:v>
      </x:c>
      <x:c r="B167" s="4" t="s">
        <x:v>22</x:v>
      </x:c>
      <x:c r="C167" s="12" t="str">
        <x:f>HYPERLINK("https://hdlbits.01xz.net/wiki/bugs_case","Case statement")</x:f>
        <x:v>Case statement</x:v>
      </x:c>
      <x:c r="D167" s="4" t="s">
        <x:v>20</x:v>
      </x:c>
      <x:c r="E167" s="7"/>
    </x:row>
    <x:row r="168" ht="22.049999237060547" customHeight="1">
      <x:c r="A168" s="4">
        <x:v>163</x:v>
      </x:c>
      <x:c r="B168" s="4" t="s">
        <x:v>22</x:v>
      </x:c>
      <x:c r="C168" s="12" t="str">
        <x:f>HYPERLINK("https://hdlbits.01xz.net/wiki/exams/ece241_2013_q12","3-input LUT")</x:f>
        <x:v>3-input LUT</x:v>
      </x:c>
      <x:c r="D168" s="4" t="s">
        <x:v>20</x:v>
      </x:c>
      <x:c r="E168" s="7"/>
    </x:row>
    <x:row r="169" ht="22.049999237060547" customHeight="1">
      <x:c r="A169" s="4">
        <x:v>164</x:v>
      </x:c>
      <x:c r="B169" s="4" t="s">
        <x:v>22</x:v>
      </x:c>
      <x:c r="C169" s="12" t="str">
        <x:f>HYPERLINK("https://hdlbits.01xz.net/wiki/exams/ece241_2013_q2","Minimum SOP and POS")</x:f>
        <x:v>Minimum SOP and POS</x:v>
      </x:c>
      <x:c r="D169" s="4" t="s">
        <x:v>20</x:v>
      </x:c>
      <x:c r="E169" s="7"/>
    </x:row>
    <x:row r="170" ht="22.049999237060547" customHeight="1">
      <x:c r="A170" s="4">
        <x:v>165</x:v>
      </x:c>
      <x:c r="B170" s="4" t="s">
        <x:v>22</x:v>
      </x:c>
      <x:c r="C170" s="12" t="str">
        <x:f>HYPERLINK("https://hdlbits.01xz.net/wiki/exams/review2015_fsm","FSM: The complete FSM")</x:f>
        <x:v>FSM: The complete FSM</x:v>
      </x:c>
      <x:c r="D170" s="4" t="s">
        <x:v>20</x:v>
      </x:c>
      <x:c r="E170" s="7"/>
    </x:row>
    <x:row r="171" ht="22.049999237060547" customHeight="1">
      <x:c r="A171" s="4">
        <x:v>166</x:v>
      </x:c>
      <x:c r="B171" s="4" t="s">
        <x:v>22</x:v>
      </x:c>
      <x:c r="C171" s="12" t="str">
        <x:f>HYPERLINK("https://hdlbits.01xz.net/wiki/tb/tb2","Testbench2")</x:f>
        <x:v>Testbench2</x:v>
      </x:c>
      <x:c r="D171" s="4" t="s">
        <x:v>20</x:v>
      </x:c>
      <x:c r="E171" s="7"/>
    </x:row>
    <x:row r="172" ht="22.049999237060547" customHeight="1">
      <x:c r="A172" s="4">
        <x:v>167</x:v>
      </x:c>
      <x:c r="B172" s="4" t="s">
        <x:v>22</x:v>
      </x:c>
      <x:c r="C172" s="12" t="str">
        <x:f>HYPERLINK("https://hdlbits.01xz.net/wiki/always_case2","Priority encoder")</x:f>
        <x:v>Priority encoder</x:v>
      </x:c>
      <x:c r="D172" s="4" t="s">
        <x:v>20</x:v>
      </x:c>
      <x:c r="E172" s="7"/>
    </x:row>
    <x:row r="173" ht="22.049999237060547" customHeight="1">
      <x:c r="A173" s="4">
        <x:v>168</x:v>
      </x:c>
      <x:c r="B173" s="4" t="s">
        <x:v>22</x:v>
      </x:c>
      <x:c r="C173" s="12" t="str">
        <x:f>HYPERLINK("https://hdlbits.01xz.net/wiki/rule90","Rule 90")</x:f>
        <x:v>Rule 90</x:v>
      </x:c>
      <x:c r="D173" s="4" t="s">
        <x:v>20</x:v>
      </x:c>
      <x:c r="E173" s="7"/>
    </x:row>
    <x:row r="174" ht="22.049999237060547" customHeight="1">
      <x:c r="A174" s="4">
        <x:v>169</x:v>
      </x:c>
      <x:c r="B174" s="4" t="s">
        <x:v>22</x:v>
      </x:c>
      <x:c r="C174" s="12" t="str">
        <x:f>HYPERLINK("https://hdlbits.01xz.net/wiki/exams/m2014_q3","Karnaugh map")</x:f>
        <x:v>Karnaugh map</x:v>
      </x:c>
      <x:c r="D174" s="4" t="s">
        <x:v>20</x:v>
      </x:c>
      <x:c r="E174" s="7"/>
    </x:row>
    <x:row r="175" ht="22.049999237060547" customHeight="1">
      <x:c r="A175" s="4">
        <x:v>170</x:v>
      </x:c>
      <x:c r="B175" s="4" t="s">
        <x:v>22</x:v>
      </x:c>
      <x:c r="C175" s="12" t="str">
        <x:f>HYPERLINK("https://hdlbits.01xz.net/wiki/exams/review2015_fancytimer","The complete timer")</x:f>
        <x:v>The complete timer</x:v>
      </x:c>
      <x:c r="D175" s="4" t="s">
        <x:v>20</x:v>
      </x:c>
      <x:c r="E175" s="7"/>
    </x:row>
    <x:row r="176" ht="22.049999237060547" customHeight="1">
      <x:c r="A176" s="4">
        <x:v>171</x:v>
      </x:c>
      <x:c r="B176" s="4" t="s">
        <x:v>22</x:v>
      </x:c>
      <x:c r="C176" s="12" t="str">
        <x:f>HYPERLINK("https://hdlbits.01xz.net/wiki/always_casez","Priority encoder with casez")</x:f>
        <x:v>Priority encoder with casez</x:v>
      </x:c>
      <x:c r="D176" s="4" t="s">
        <x:v>20</x:v>
      </x:c>
      <x:c r="E176" s="7"/>
    </x:row>
    <x:row r="177" ht="22.049999237060547" customHeight="1">
      <x:c r="A177" s="4">
        <x:v>172</x:v>
      </x:c>
      <x:c r="B177" s="4" t="s">
        <x:v>22</x:v>
      </x:c>
      <x:c r="C177" s="12" t="str">
        <x:f>HYPERLINK("https://hdlbits.01xz.net/wiki/rule110","Rule 110")</x:f>
        <x:v>Rule 110</x:v>
      </x:c>
      <x:c r="D177" s="4" t="s">
        <x:v>20</x:v>
      </x:c>
      <x:c r="E177" s="7"/>
    </x:row>
    <x:row r="178" ht="22.049999237060547" customHeight="1">
      <x:c r="A178" s="4">
        <x:v>173</x:v>
      </x:c>
      <x:c r="B178" s="4" t="s">
        <x:v>22</x:v>
      </x:c>
      <x:c r="C178" s="12" t="str">
        <x:f>HYPERLINK("https://hdlbits.01xz.net/wiki/exams/2012_q1g","Karnaugh map")</x:f>
        <x:v>Karnaugh map</x:v>
      </x:c>
      <x:c r="D178" s="4" t="s">
        <x:v>20</x:v>
      </x:c>
      <x:c r="E178" s="7"/>
    </x:row>
    <x:row r="179" ht="22.049999237060547" customHeight="1">
      <x:c r="A179" s="4">
        <x:v>174</x:v>
      </x:c>
      <x:c r="B179" s="4" t="s">
        <x:v>22</x:v>
      </x:c>
      <x:c r="C179" s="12" t="str">
        <x:f>HYPERLINK("https://hdlbits.01xz.net/wiki/tb/tff","T flip-flop")</x:f>
        <x:v>T flip-flop</x:v>
      </x:c>
      <x:c r="D179" s="4" t="s">
        <x:v>20</x:v>
      </x:c>
      <x:c r="E179" s="7"/>
    </x:row>
    <x:row r="180" ht="22.049999237060547" customHeight="1">
      <x:c r="A180" s="4">
        <x:v>175</x:v>
      </x:c>
      <x:c r="B180" s="4" t="s">
        <x:v>22</x:v>
      </x:c>
      <x:c r="C180" s="12" t="str">
        <x:f>HYPERLINK("https://hdlbits.01xz.net/wiki/exams/review2015_fsmonehot","FSM: One-hot logic equations")</x:f>
        <x:v>FSM: One-hot logic equations</x:v>
      </x:c>
      <x:c r="D180" s="4" t="s">
        <x:v>20</x:v>
      </x:c>
      <x:c r="E180" s="7"/>
    </x:row>
    <x:row r="181" ht="22.049999237060547" customHeight="1">
      <x:c r="A181" s="4">
        <x:v>176</x:v>
      </x:c>
      <x:c r="B181" s="4" t="s">
        <x:v>22</x:v>
      </x:c>
      <x:c r="C181" s="12" t="str">
        <x:f>HYPERLINK("https://hdlbits.01xz.net/wiki/always_nolatches","Avoiding latches")</x:f>
        <x:v>Avoiding latches</x:v>
      </x:c>
      <x:c r="D181" s="4" t="s">
        <x:v>20</x:v>
      </x:c>
      <x:c r="E181" s="7"/>
    </x:row>
    <x:row r="182" ht="22.049999237060547" customHeight="1">
      <x:c r="A182" s="4">
        <x:v>177</x:v>
      </x:c>
      <x:c r="B182" s="4" t="s">
        <x:v>22</x:v>
      </x:c>
      <x:c r="C182" s="12" t="str">
        <x:f>HYPERLINK("https://hdlbits.01xz.net/wiki/conwaylife","Conway's Game of Life 16x16")</x:f>
        <x:v>Conway's Game of Life 16x16</x:v>
      </x:c>
      <x:c r="D182" s="4" t="s">
        <x:v>20</x:v>
      </x:c>
      <x:c r="E182" s="7"/>
    </x:row>
    <x:row r="183" ht="22.049999237060547" customHeight="1">
      <x:c r="A183" s="5">
        <x:v>178</x:v>
      </x:c>
      <x:c r="B183" s="5" t="s">
        <x:v>22</x:v>
      </x:c>
      <x:c r="C183" s="13" t="str">
        <x:f>HYPERLINK("https://hdlbits.01xz.net/wiki/exams/ece241_2014_q3","K-map implemented with a multiplexer")</x:f>
        <x:v>K-map implemented with a multiplexer</x:v>
      </x:c>
      <x:c r="D183" s="5" t="s">
        <x:v>20</x:v>
      </x:c>
      <x:c r="E183" s="8"/>
    </x:row>
  </x:sheetData>
  <x:mergeCells>
    <x:mergeCell ref="A1:E1"/>
    <x:mergeCell ref="A2:E2"/>
  </x:mergeCells>
  <x:conditionalFormatting sqref="D6:D183">
    <x:cfRule type="expression" dxfId="1" priority="1">
      <x:formula>$D6="Done"</x:formula>
    </x:cfRule>
    <x:cfRule type="expression" dxfId="0" priority="2">
      <x:formula>$D6="Pending"</x:formula>
    </x:cfRule>
  </x:conditionalFormatting>
  <x:dataValidations count="1">
    <x:dataValidation type="list" sqref="D6:D183">
      <x:formula1>"Done,Pending"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ff62c36c4b42ca"/>
  </x:tableParts>
</x:worksheet>
</file>