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/>
  <mc:AlternateContent xmlns:mc="http://schemas.openxmlformats.org/markup-compatibility/2006">
    <mc:Choice Requires="x15">
      <x15ac:absPath xmlns:x15ac="http://schemas.microsoft.com/office/spreadsheetml/2010/11/ac" url="C:\Users\kapil\OneDrive\Desktop\hdlBits\HDLBits Attempt 2\"/>
    </mc:Choice>
  </mc:AlternateContent>
  <xr:revisionPtr revIDLastSave="0" documentId="8_{AAECB8FF-CC6D-4096-A616-CE1C565EEEBC}" xr6:coauthVersionLast="47" xr6:coauthVersionMax="47" xr10:uidLastSave="{00000000-0000-0000-0000-000000000000}"/>
  <bookViews>
    <workbookView xWindow="-108" yWindow="-108" windowWidth="23256" windowHeight="13176" xr2:uid="{00000000-000D-0000-FFFF-FFFF00000000}"/>
  </bookViews>
  <sheets>
    <sheet name="Tracker" sheetId="1" r:id="rId1"/>
  </sheets>
  <calcPr calcId="191029"/>
  <fileRecoveryPr repairLoad="1"/>
</workbook>
</file>

<file path=xl/calcChain.xml><?xml version="1.0" encoding="utf-8"?>
<calcChain xmlns="http://schemas.openxmlformats.org/spreadsheetml/2006/main">
  <c r="C183" i="1" l="1"/>
  <c r="C182" i="1"/>
  <c r="C181" i="1"/>
  <c r="C180" i="1"/>
  <c r="C179" i="1"/>
  <c r="C178" i="1"/>
  <c r="C177" i="1"/>
  <c r="C176" i="1"/>
  <c r="C175" i="1"/>
  <c r="C174" i="1"/>
  <c r="C173" i="1"/>
  <c r="C172" i="1"/>
  <c r="C171" i="1"/>
  <c r="C170" i="1"/>
  <c r="C169" i="1"/>
  <c r="C168" i="1"/>
  <c r="C167" i="1"/>
  <c r="C166" i="1"/>
  <c r="C165" i="1"/>
  <c r="C164" i="1"/>
  <c r="C163" i="1"/>
  <c r="C162" i="1"/>
  <c r="C161" i="1"/>
  <c r="C160" i="1"/>
  <c r="C159" i="1"/>
  <c r="C158" i="1"/>
  <c r="C157" i="1"/>
  <c r="C156" i="1"/>
  <c r="C155" i="1"/>
  <c r="C154" i="1"/>
  <c r="C153" i="1"/>
  <c r="C152" i="1"/>
  <c r="C151" i="1"/>
  <c r="C150" i="1"/>
  <c r="C149" i="1"/>
  <c r="C148" i="1"/>
  <c r="C147" i="1"/>
  <c r="C146" i="1"/>
  <c r="C145" i="1"/>
  <c r="C144" i="1"/>
  <c r="C143" i="1"/>
  <c r="C142" i="1"/>
  <c r="C141" i="1"/>
  <c r="C140" i="1"/>
  <c r="C139" i="1"/>
  <c r="C138" i="1"/>
  <c r="C137" i="1"/>
  <c r="C136" i="1"/>
  <c r="C135" i="1"/>
  <c r="C134" i="1"/>
  <c r="C133" i="1"/>
  <c r="C132" i="1"/>
  <c r="C131" i="1"/>
  <c r="C130" i="1"/>
  <c r="C129" i="1"/>
  <c r="C128" i="1"/>
  <c r="C127" i="1"/>
  <c r="C126" i="1"/>
  <c r="C125" i="1"/>
  <c r="C124" i="1"/>
  <c r="C123" i="1"/>
  <c r="C122" i="1"/>
  <c r="C121" i="1"/>
  <c r="C120" i="1"/>
  <c r="C119" i="1"/>
  <c r="C118" i="1"/>
  <c r="C117" i="1"/>
  <c r="C116" i="1"/>
  <c r="C115" i="1"/>
  <c r="E114" i="1"/>
  <c r="C114" i="1"/>
  <c r="C113" i="1"/>
  <c r="E112" i="1"/>
  <c r="C112" i="1"/>
  <c r="C111" i="1"/>
  <c r="C110" i="1"/>
  <c r="C109" i="1"/>
  <c r="C108" i="1"/>
  <c r="E107" i="1"/>
  <c r="C107" i="1"/>
  <c r="C106" i="1"/>
  <c r="C105" i="1"/>
  <c r="C104" i="1"/>
  <c r="C103" i="1"/>
  <c r="C102" i="1"/>
  <c r="C101" i="1"/>
  <c r="C100" i="1"/>
  <c r="C99" i="1"/>
  <c r="C98" i="1"/>
  <c r="C97" i="1"/>
  <c r="C96" i="1"/>
  <c r="E95" i="1"/>
  <c r="C95" i="1"/>
  <c r="E94" i="1"/>
  <c r="C94" i="1"/>
  <c r="C93" i="1"/>
  <c r="E92" i="1"/>
  <c r="C92" i="1"/>
  <c r="C91" i="1"/>
  <c r="E90" i="1"/>
  <c r="C90" i="1"/>
  <c r="E89" i="1"/>
  <c r="C89" i="1"/>
  <c r="E88" i="1"/>
  <c r="C88" i="1"/>
  <c r="E87" i="1"/>
  <c r="C87" i="1"/>
  <c r="E86" i="1"/>
  <c r="C86" i="1"/>
  <c r="E85" i="1"/>
  <c r="C85" i="1"/>
  <c r="C84" i="1"/>
  <c r="C83" i="1"/>
  <c r="E82" i="1"/>
  <c r="C82" i="1"/>
  <c r="C81" i="1"/>
  <c r="E80" i="1"/>
  <c r="C80" i="1"/>
  <c r="E79" i="1"/>
  <c r="C79" i="1"/>
  <c r="C78" i="1"/>
  <c r="C77" i="1"/>
  <c r="C76" i="1"/>
  <c r="E75" i="1"/>
  <c r="C75" i="1"/>
  <c r="C74" i="1"/>
  <c r="C73" i="1"/>
  <c r="E72" i="1"/>
  <c r="C72" i="1"/>
  <c r="E71" i="1"/>
  <c r="C71" i="1"/>
  <c r="C70" i="1"/>
  <c r="C69" i="1"/>
  <c r="C68" i="1"/>
  <c r="C67" i="1"/>
  <c r="C66" i="1"/>
  <c r="C65" i="1"/>
  <c r="C64" i="1"/>
  <c r="C63" i="1"/>
  <c r="C62" i="1"/>
  <c r="C61" i="1"/>
  <c r="C60" i="1"/>
  <c r="E59" i="1"/>
  <c r="C59" i="1"/>
  <c r="C58" i="1"/>
  <c r="C57" i="1"/>
  <c r="C56" i="1"/>
  <c r="C55" i="1"/>
  <c r="C54" i="1"/>
  <c r="C53" i="1"/>
  <c r="C52" i="1"/>
  <c r="C51" i="1"/>
  <c r="C50" i="1"/>
  <c r="C49" i="1"/>
  <c r="C48" i="1"/>
  <c r="C47" i="1"/>
  <c r="C46" i="1"/>
  <c r="C45" i="1"/>
  <c r="C44" i="1"/>
  <c r="E43" i="1"/>
  <c r="C43" i="1"/>
  <c r="C42" i="1"/>
  <c r="E41" i="1"/>
  <c r="C41" i="1"/>
  <c r="C40" i="1"/>
  <c r="C39" i="1"/>
  <c r="C38" i="1"/>
  <c r="C37" i="1"/>
  <c r="E36" i="1"/>
  <c r="C36" i="1"/>
  <c r="E35" i="1"/>
  <c r="C35" i="1"/>
  <c r="E34" i="1"/>
  <c r="C34" i="1"/>
  <c r="E33" i="1"/>
  <c r="C33" i="1"/>
  <c r="E32" i="1"/>
  <c r="C32" i="1"/>
  <c r="E31" i="1"/>
  <c r="C31" i="1"/>
  <c r="E30" i="1"/>
  <c r="C30" i="1"/>
  <c r="E29" i="1"/>
  <c r="C29" i="1"/>
  <c r="E28" i="1"/>
  <c r="C28" i="1"/>
  <c r="E27" i="1"/>
  <c r="C27" i="1"/>
  <c r="E26" i="1"/>
  <c r="C26" i="1"/>
  <c r="E25" i="1"/>
  <c r="C25" i="1"/>
  <c r="E24" i="1"/>
  <c r="C24" i="1"/>
  <c r="C23" i="1"/>
  <c r="C22" i="1"/>
  <c r="C21" i="1"/>
  <c r="C20" i="1"/>
  <c r="C19" i="1"/>
  <c r="E18" i="1"/>
  <c r="C18" i="1"/>
  <c r="C17" i="1"/>
  <c r="C16" i="1"/>
  <c r="C15" i="1"/>
  <c r="C14" i="1"/>
  <c r="E13" i="1"/>
  <c r="C13" i="1"/>
  <c r="E12" i="1"/>
  <c r="C12" i="1"/>
  <c r="E11" i="1"/>
  <c r="C11" i="1"/>
  <c r="C10" i="1"/>
  <c r="E9" i="1"/>
  <c r="C9" i="1"/>
  <c r="C8" i="1"/>
  <c r="E7" i="1"/>
  <c r="C7" i="1"/>
  <c r="C6" i="1"/>
</calcChain>
</file>

<file path=xl/sharedStrings.xml><?xml version="1.0" encoding="utf-8"?>
<sst xmlns="http://schemas.openxmlformats.org/spreadsheetml/2006/main" count="448" uniqueCount="23">
  <si>
    <t>HDLBits Attempt 2 — Simple 10-Day Tracker</t>
  </si>
  <si>
    <t>Green = Done · Red = Pending · Notes: PDF groups share a color · Yellow = question · Gray = no questions</t>
  </si>
  <si>
    <t>Solved</t>
  </si>
  <si>
    <t>Remaining</t>
  </si>
  <si>
    <t>Total: 178</t>
  </si>
  <si>
    <t>No.</t>
  </si>
  <si>
    <t>Day</t>
  </si>
  <si>
    <t>Problem</t>
  </si>
  <si>
    <t>Status</t>
  </si>
  <si>
    <t>Notes / Discussion</t>
  </si>
  <si>
    <t>Day 1</t>
  </si>
  <si>
    <t>Done</t>
  </si>
  <si>
    <t>No questions asked</t>
  </si>
  <si>
    <t>Day 2</t>
  </si>
  <si>
    <t>Day 3</t>
  </si>
  <si>
    <t>Day 4</t>
  </si>
  <si>
    <t>Day 5</t>
  </si>
  <si>
    <t>Day 6</t>
  </si>
  <si>
    <t>Day 7</t>
  </si>
  <si>
    <t>Pending</t>
  </si>
  <si>
    <t>Day 8</t>
  </si>
  <si>
    <t>Day 9</t>
  </si>
  <si>
    <t>Day 10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</si>
</sst>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8">
    <font>
      <sz val="11"/>
      <name val="Carlito"/>
    </font>
    <font>
      <b/>
      <sz val="11"/>
      <color rgb="FFFFFFFF"/>
      <name val="Carlito"/>
    </font>
    <font>
      <sz val="11"/>
      <color rgb="FF1F2937"/>
      <name val="Carlito"/>
    </font>
    <font>
      <b/>
      <sz val="11"/>
      <color rgb="FF002060"/>
      <name val="Carlito"/>
    </font>
    <font>
      <sz val="11"/>
      <color rgb="FF0563C1"/>
      <name val="Carlito"/>
    </font>
    <font>
      <sz val="11"/>
      <color rgb="FF374151"/>
      <name val="Carlito"/>
    </font>
    <font>
      <sz val="11"/>
      <color rgb="FF4B5563"/>
      <name val="Carlito"/>
    </font>
    <font>
      <sz val="11"/>
      <color rgb="FF0563C1"/>
      <name val="Carlito"/>
    </font>
  </fonts>
  <fills count="18">
    <fill>
      <patternFill patternType="none"/>
    </fill>
    <fill>
      <patternFill patternType="gray125"/>
    </fill>
    <fill>
      <patternFill patternType="solid">
        <fgColor rgb="FF002060"/>
      </patternFill>
    </fill>
    <fill>
      <patternFill patternType="solid">
        <fgColor rgb="FFD9E1F2"/>
      </patternFill>
    </fill>
    <fill>
      <patternFill patternType="solid">
        <fgColor rgb="FFFFFFFF"/>
      </patternFill>
    </fill>
    <fill>
      <patternFill patternType="solid">
        <fgColor rgb="FFF2F2F2"/>
      </patternFill>
    </fill>
    <fill>
      <patternFill patternType="solid">
        <fgColor rgb="FFDDEBF7"/>
      </patternFill>
    </fill>
    <fill>
      <patternFill patternType="solid">
        <fgColor rgb="FFE4DFEC"/>
      </patternFill>
    </fill>
    <fill>
      <patternFill patternType="solid">
        <fgColor rgb="FFFCE4D6"/>
      </patternFill>
    </fill>
    <fill>
      <patternFill patternType="solid">
        <fgColor rgb="FFF2F2F2"/>
      </patternFill>
    </fill>
    <fill>
      <patternFill patternType="solid">
        <fgColor rgb="FFFFF2CC"/>
      </patternFill>
    </fill>
    <fill>
      <patternFill patternType="solid">
        <fgColor rgb="FFF2F2F2"/>
      </patternFill>
    </fill>
    <fill>
      <patternFill patternType="solid">
        <fgColor rgb="FFF2F2F2"/>
      </patternFill>
    </fill>
    <fill>
      <patternFill patternType="solid">
        <fgColor rgb="FFFFF2CC"/>
      </patternFill>
    </fill>
    <fill>
      <patternFill patternType="solid">
        <fgColor rgb="FFFFF2CC"/>
      </patternFill>
    </fill>
    <fill>
      <patternFill patternType="solid">
        <fgColor rgb="FFF2F2F2"/>
      </patternFill>
    </fill>
    <fill>
      <patternFill patternType="solid">
        <fgColor rgb="FFFFF2CC"/>
      </patternFill>
    </fill>
    <fill>
      <patternFill patternType="solid">
        <fgColor rgb="FFFFF2CC"/>
      </patternFill>
    </fill>
  </fills>
  <borders count="5">
    <border>
      <left/>
      <right/>
      <top/>
      <bottom/>
      <diagonal/>
    </border>
    <border>
      <left style="thin">
        <color rgb="FFA6B7D4"/>
      </left>
      <right style="thin">
        <color rgb="FFA6B7D4"/>
      </right>
      <top style="thin">
        <color rgb="FFA6B7D4"/>
      </top>
      <bottom style="thin">
        <color rgb="FFA6B7D4"/>
      </bottom>
      <diagonal/>
    </border>
    <border>
      <left/>
      <right/>
      <top/>
      <bottom style="thin">
        <color rgb="FFE5E7EB"/>
      </bottom>
      <diagonal/>
    </border>
    <border>
      <left/>
      <right/>
      <top style="thin">
        <color rgb="FFE5E7EB"/>
      </top>
      <bottom style="thin">
        <color rgb="FFE5E7EB"/>
      </bottom>
      <diagonal/>
    </border>
    <border>
      <left/>
      <right/>
      <top style="thin">
        <color rgb="FFE5E7EB"/>
      </top>
      <bottom/>
      <diagonal/>
    </border>
  </borders>
  <cellStyleXfs count="1">
    <xf numFmtId="0" fontId="0" fillId="0" borderId="0"/>
  </cellStyleXfs>
  <cellXfs count="29">
    <xf numFmtId="0" fontId="0" fillId="0" borderId="0" xfId="0"/>
    <xf numFmtId="0" fontId="3" fillId="4" borderId="1" xfId="0" applyFont="1" applyFill="1" applyBorder="1" applyAlignment="1">
      <alignment horizontal="center" vertical="center"/>
    </xf>
    <xf numFmtId="0" fontId="1" fillId="2" borderId="0" xfId="0" applyFont="1" applyFill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3" xfId="0" applyFont="1" applyBorder="1" applyAlignment="1">
      <alignment horizontal="center" vertical="center"/>
    </xf>
    <xf numFmtId="0" fontId="2" fillId="0" borderId="4" xfId="0" applyFont="1" applyBorder="1" applyAlignment="1">
      <alignment horizontal="center" vertical="center"/>
    </xf>
    <xf numFmtId="0" fontId="4" fillId="0" borderId="3" xfId="0" applyFont="1" applyBorder="1" applyAlignment="1">
      <alignment vertical="center"/>
    </xf>
    <xf numFmtId="0" fontId="5" fillId="0" borderId="3" xfId="0" applyFont="1" applyBorder="1" applyAlignment="1">
      <alignment vertical="center"/>
    </xf>
    <xf numFmtId="0" fontId="5" fillId="0" borderId="4" xfId="0" applyFont="1" applyBorder="1" applyAlignment="1">
      <alignment vertical="center"/>
    </xf>
    <xf numFmtId="0" fontId="6" fillId="5" borderId="2" xfId="0" applyFont="1" applyFill="1" applyBorder="1" applyAlignment="1">
      <alignment horizontal="left" vertical="center"/>
    </xf>
    <xf numFmtId="0" fontId="6" fillId="5" borderId="3" xfId="0" applyFont="1" applyFill="1" applyBorder="1" applyAlignment="1">
      <alignment horizontal="left" vertical="center"/>
    </xf>
    <xf numFmtId="0" fontId="7" fillId="0" borderId="2" xfId="0" applyFont="1" applyBorder="1" applyAlignment="1">
      <alignment vertical="center"/>
    </xf>
    <xf numFmtId="0" fontId="7" fillId="0" borderId="3" xfId="0" applyFont="1" applyBorder="1" applyAlignment="1">
      <alignment vertical="center"/>
    </xf>
    <xf numFmtId="0" fontId="7" fillId="0" borderId="4" xfId="0" applyFont="1" applyBorder="1" applyAlignment="1">
      <alignment vertical="center"/>
    </xf>
    <xf numFmtId="0" fontId="4" fillId="6" borderId="3" xfId="0" applyFont="1" applyFill="1" applyBorder="1" applyAlignment="1">
      <alignment horizontal="left" vertical="center"/>
    </xf>
    <xf numFmtId="0" fontId="6" fillId="9" borderId="3" xfId="0" applyFont="1" applyFill="1" applyBorder="1" applyAlignment="1">
      <alignment horizontal="left" vertical="center"/>
    </xf>
    <xf numFmtId="0" fontId="4" fillId="10" borderId="3" xfId="0" applyFont="1" applyFill="1" applyBorder="1" applyAlignment="1">
      <alignment horizontal="left" vertical="center"/>
    </xf>
    <xf numFmtId="0" fontId="6" fillId="11" borderId="3" xfId="0" applyFont="1" applyFill="1" applyBorder="1" applyAlignment="1">
      <alignment horizontal="left" vertical="center"/>
    </xf>
    <xf numFmtId="0" fontId="6" fillId="12" borderId="3" xfId="0" applyFont="1" applyFill="1" applyBorder="1" applyAlignment="1">
      <alignment horizontal="left" vertical="center"/>
    </xf>
    <xf numFmtId="0" fontId="4" fillId="8" borderId="3" xfId="0" applyFont="1" applyFill="1" applyBorder="1" applyAlignment="1">
      <alignment horizontal="left" vertical="center"/>
    </xf>
    <xf numFmtId="0" fontId="4" fillId="7" borderId="3" xfId="0" applyFont="1" applyFill="1" applyBorder="1" applyAlignment="1">
      <alignment horizontal="left" vertical="center"/>
    </xf>
    <xf numFmtId="0" fontId="4" fillId="8" borderId="3" xfId="0" applyFont="1" applyFill="1" applyBorder="1" applyAlignment="1">
      <alignment vertical="center"/>
    </xf>
    <xf numFmtId="0" fontId="4" fillId="13" borderId="3" xfId="0" applyFont="1" applyFill="1" applyBorder="1" applyAlignment="1">
      <alignment horizontal="left" vertical="center"/>
    </xf>
    <xf numFmtId="0" fontId="4" fillId="14" borderId="3" xfId="0" applyFont="1" applyFill="1" applyBorder="1" applyAlignment="1">
      <alignment horizontal="left" vertical="center"/>
    </xf>
    <xf numFmtId="0" fontId="6" fillId="15" borderId="3" xfId="0" applyFont="1" applyFill="1" applyBorder="1" applyAlignment="1">
      <alignment horizontal="left" vertical="center"/>
    </xf>
    <xf numFmtId="0" fontId="4" fillId="16" borderId="3" xfId="0" applyFont="1" applyFill="1" applyBorder="1" applyAlignment="1">
      <alignment horizontal="left" vertical="center"/>
    </xf>
    <xf numFmtId="0" fontId="4" fillId="17" borderId="3" xfId="0" applyFont="1" applyFill="1" applyBorder="1" applyAlignment="1">
      <alignment horizontal="left" vertical="center"/>
    </xf>
    <xf numFmtId="0" fontId="1" fillId="2" borderId="0" xfId="0" applyFont="1" applyFill="1" applyAlignment="1">
      <alignment horizontal="left" vertical="center"/>
    </xf>
    <xf numFmtId="0" fontId="2" fillId="3" borderId="0" xfId="0" applyFont="1" applyFill="1" applyAlignment="1">
      <alignment horizontal="left" vertical="center"/>
    </xf>
  </cellXfs>
  <cellStyles count="1">
    <cellStyle name="Normal" xfId="0" builtinId="0"/>
  </cellStyles>
  <dxfs count="2">
    <dxf>
      <font>
        <b/>
        <color rgb="FF991B1B"/>
      </font>
      <fill>
        <patternFill>
          <bgColor rgb="FFFECACA"/>
        </patternFill>
      </fill>
    </dxf>
    <dxf>
      <font>
        <b/>
        <color rgb="FF166534"/>
      </font>
      <fill>
        <patternFill>
          <bgColor rgb="FFCCFFCC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SimpleTrackerTable" displayName="SimpleTrackerTable" ref="A5:E183" totalsRowShown="0">
  <autoFilter ref="A5:E183" xr:uid="{00000000-0009-0000-0100-000001000000}"/>
  <tableColumns count="5">
    <tableColumn id="1" xr3:uid="{00000000-0010-0000-0000-000001000000}" name="No."/>
    <tableColumn id="2" xr3:uid="{00000000-0010-0000-0000-000002000000}" name="Day"/>
    <tableColumn id="3" xr3:uid="{00000000-0010-0000-0000-000003000000}" name="Problem"/>
    <tableColumn id="4" xr3:uid="{00000000-0010-0000-0000-000004000000}" name="Status"/>
    <tableColumn id="5" xr3:uid="{00000000-0010-0000-0000-000005000000}" name="Notes / Discussion"/>
  </tableColumns>
  <tableStyleInfo name="TableStyleLight1" showFirstColumn="0" showLastColumn="0" showRowStripes="0" showColumnStripes="0"/>
</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E183"/>
  <sheetViews>
    <sheetView showGridLines="0" tabSelected="1" topLeftCell="A127" workbookViewId="0">
      <selection activeCell="C136" sqref="C136"/>
    </sheetView>
  </sheetViews>
  <sheetFormatPr defaultRowHeight="13.8"/>
  <cols>
    <col min="1" max="1" width="8" customWidth="1"/>
    <col min="2" max="2" width="11" customWidth="1"/>
    <col min="3" max="3" width="42" customWidth="1"/>
    <col min="4" max="4" width="14" customWidth="1"/>
    <col min="5" max="5" width="30" customWidth="1"/>
  </cols>
  <sheetData>
    <row r="1" spans="1:5" ht="28.95" customHeight="1">
      <c r="A1" s="27" t="s">
        <v>0</v>
      </c>
      <c r="B1" s="27"/>
      <c r="C1" s="27"/>
      <c r="D1" s="27"/>
      <c r="E1" s="27"/>
    </row>
    <row r="2" spans="1:5" ht="22.95" customHeight="1">
      <c r="A2" s="28" t="s">
        <v>1</v>
      </c>
      <c r="B2" s="28"/>
      <c r="C2" s="28"/>
      <c r="D2" s="28"/>
      <c r="E2" s="28"/>
    </row>
    <row r="3" spans="1:5" ht="25.05" customHeight="1">
      <c r="A3" s="1" t="s">
        <v>2</v>
      </c>
      <c r="B3" s="1" t="n">
        <v>128</v>
      </c>
      <c r="C3" s="1" t="s">
        <v>3</v>
      </c>
      <c r="D3" s="1" t="n">
        <v>50</v>
      </c>
      <c r="E3" s="1" t="s">
        <v>4</v>
      </c>
    </row>
    <row r="5" spans="1:5" ht="25.95" customHeight="1">
      <c r="A5" s="2" t="s">
        <v>5</v>
      </c>
      <c r="B5" s="2" t="s">
        <v>6</v>
      </c>
      <c r="C5" s="2" t="s">
        <v>7</v>
      </c>
      <c r="D5" s="2" t="s">
        <v>8</v>
      </c>
      <c r="E5" s="2" t="s">
        <v>9</v>
      </c>
    </row>
    <row r="6" spans="1:5" ht="22.05" customHeight="1">
      <c r="A6" s="3">
        <v>1</v>
      </c>
      <c r="B6" s="3" t="s">
        <v>10</v>
      </c>
      <c r="C6" s="11" t="str">
        <f>HYPERLINK("https://hdlbits.01xz.net/wiki/lemmings1","Lemmings 1")</f>
        <v>Lemmings 1</v>
      </c>
      <c r="D6" s="3" t="s">
        <v>11</v>
      </c>
      <c r="E6" s="9" t="s">
        <v>12</v>
      </c>
    </row>
    <row r="7" spans="1:5" ht="22.05" customHeight="1">
      <c r="A7" s="4">
        <v>2</v>
      </c>
      <c r="B7" s="4" t="s">
        <v>10</v>
      </c>
      <c r="C7" s="12" t="str">
        <f>HYPERLINK("https://hdlbits.01xz.net/wiki/fsm_serial","Serial receiver")</f>
        <v>Serial receiver</v>
      </c>
      <c r="D7" s="4" t="s">
        <v>11</v>
      </c>
      <c r="E7" s="14" t="str">
        <f>HYPERLINK("HDLBits_Fsm_serialdata_For_Loops_vs_Clock_Cycles.pdf","Serial discussion PDF")</f>
        <v>Serial discussion PDF</v>
      </c>
    </row>
    <row r="8" spans="1:5" ht="22.05" customHeight="1">
      <c r="A8" s="4">
        <v>3</v>
      </c>
      <c r="B8" s="4" t="s">
        <v>10</v>
      </c>
      <c r="C8" s="12" t="str">
        <f>HYPERLINK("https://hdlbits.01xz.net/wiki/lemmings2","Lemmings 2")</f>
        <v>Lemmings 2</v>
      </c>
      <c r="D8" s="4" t="s">
        <v>11</v>
      </c>
      <c r="E8" s="10" t="s">
        <v>12</v>
      </c>
    </row>
    <row r="9" spans="1:5" ht="22.05" customHeight="1">
      <c r="A9" s="4">
        <v>4</v>
      </c>
      <c r="B9" s="4" t="s">
        <v>10</v>
      </c>
      <c r="C9" s="12" t="str">
        <f>HYPERLINK("https://hdlbits.01xz.net/wiki/fsm_serialdata","Serial receiver and datapath")</f>
        <v>Serial receiver and datapath</v>
      </c>
      <c r="D9" s="4" t="s">
        <v>11</v>
      </c>
      <c r="E9" s="14" t="str">
        <f>HYPERLINK("HDLBits_Fsm_serialdata_For_Loops_vs_Clock_Cycles.pdf","Serial discussion PDF")</f>
        <v>Serial discussion PDF</v>
      </c>
    </row>
    <row r="10" spans="1:5" ht="22.05" customHeight="1">
      <c r="A10" s="4">
        <v>5</v>
      </c>
      <c r="B10" s="4" t="s">
        <v>10</v>
      </c>
      <c r="C10" s="12" t="str">
        <f>HYPERLINK("https://hdlbits.01xz.net/wiki/lemmings3","Lemmings 3")</f>
        <v>Lemmings 3</v>
      </c>
      <c r="D10" s="4" t="s">
        <v>11</v>
      </c>
      <c r="E10" s="10" t="s">
        <v>12</v>
      </c>
    </row>
    <row r="11" spans="1:5" ht="22.05" customHeight="1">
      <c r="A11" s="4">
        <v>6</v>
      </c>
      <c r="B11" s="4" t="s">
        <v>10</v>
      </c>
      <c r="C11" s="12" t="str">
        <f>HYPERLINK("https://hdlbits.01xz.net/wiki/fsm_serialdp","Serial receiver with parity checking")</f>
        <v>Serial receiver with parity checking</v>
      </c>
      <c r="D11" s="4" t="s">
        <v>11</v>
      </c>
      <c r="E11" s="14" t="str">
        <f>HYPERLINK("HDLBits_Fsm_serialdata_For_Loops_vs_Clock_Cycles.pdf","Serial discussion PDF")</f>
        <v>Serial discussion PDF</v>
      </c>
    </row>
    <row r="12" spans="1:5" ht="22.05" customHeight="1">
      <c r="A12" s="4">
        <v>7</v>
      </c>
      <c r="B12" s="4" t="s">
        <v>10</v>
      </c>
      <c r="C12" s="12" t="str">
        <f>HYPERLINK("https://hdlbits.01xz.net/wiki/lemmings4","Lemmings 4")</f>
        <v>Lemmings 4</v>
      </c>
      <c r="D12" s="4" t="s">
        <v>11</v>
      </c>
      <c r="E12" s="19" t="str">
        <f>HYPERLINK("HDLBits_Combined_Questions_and_Day2_Review.pdf","Combined questions PDF")</f>
        <v>Combined questions PDF</v>
      </c>
    </row>
    <row r="13" spans="1:5" ht="22.05" customHeight="1">
      <c r="A13" s="4">
        <v>8</v>
      </c>
      <c r="B13" s="4" t="s">
        <v>10</v>
      </c>
      <c r="C13" s="12" t="str">
        <f>HYPERLINK("https://hdlbits.01xz.net/wiki/fsm_hdlc","Sequence recognition")</f>
        <v>Sequence recognition</v>
      </c>
      <c r="D13" s="4" t="s">
        <v>11</v>
      </c>
      <c r="E13" s="20" t="str">
        <f>HYPERLINK("HDLBits_Fsm_hdlc_Mealy_to_Moore_Deep_Dive.pdf","HDLC discussion PDF")</f>
        <v>HDLC discussion PDF</v>
      </c>
    </row>
    <row r="14" spans="1:5" ht="22.05" customHeight="1">
      <c r="A14" s="4">
        <v>9</v>
      </c>
      <c r="B14" s="4" t="s">
        <v>10</v>
      </c>
      <c r="C14" s="12" t="str">
        <f>HYPERLINK("https://hdlbits.01xz.net/wiki/conditional","Conditional ternary operator")</f>
        <v>Conditional ternary operator</v>
      </c>
      <c r="D14" s="4" t="s">
        <v>11</v>
      </c>
      <c r="E14" s="10" t="s">
        <v>12</v>
      </c>
    </row>
    <row r="15" spans="1:5" ht="22.05" customHeight="1">
      <c r="A15" s="4">
        <v>10</v>
      </c>
      <c r="B15" s="4" t="s">
        <v>10</v>
      </c>
      <c r="C15" s="12" t="str">
        <f>HYPERLINK("https://hdlbits.01xz.net/wiki/dff","D flip-flop")</f>
        <v>D flip-flop</v>
      </c>
      <c r="D15" s="4" t="s">
        <v>11</v>
      </c>
      <c r="E15" s="10" t="s">
        <v>12</v>
      </c>
    </row>
    <row r="16" spans="1:5" ht="22.05" customHeight="1">
      <c r="A16" s="4">
        <v>11</v>
      </c>
      <c r="B16" s="4" t="s">
        <v>10</v>
      </c>
      <c r="C16" s="12" t="str">
        <f>HYPERLINK("https://hdlbits.01xz.net/wiki/step_one","Getting Started")</f>
        <v>Getting Started</v>
      </c>
      <c r="D16" s="4" t="s">
        <v>11</v>
      </c>
      <c r="E16" s="10" t="s">
        <v>12</v>
      </c>
    </row>
    <row r="17" spans="1:5" ht="22.05" customHeight="1">
      <c r="A17" s="4">
        <v>12</v>
      </c>
      <c r="B17" s="4" t="s">
        <v>10</v>
      </c>
      <c r="C17" s="12" t="str">
        <f>HYPERLINK("https://hdlbits.01xz.net/wiki/fsm1","Simple FSM 1 (asynchronous reset)")</f>
        <v>Simple FSM 1 (asynchronous reset)</v>
      </c>
      <c r="D17" s="4" t="s">
        <v>11</v>
      </c>
      <c r="E17" s="10" t="s">
        <v>12</v>
      </c>
    </row>
    <row r="18" spans="1:5" ht="22.05" customHeight="1">
      <c r="A18" s="4">
        <v>13</v>
      </c>
      <c r="B18" s="4" t="s">
        <v>10</v>
      </c>
      <c r="C18" s="12" t="str">
        <f>HYPERLINK("https://hdlbits.01xz.net/wiki/bugs_mux2","Mux")</f>
        <v>Mux</v>
      </c>
      <c r="D18" s="4" t="s">
        <v>11</v>
      </c>
      <c r="E18" s="19" t="str">
        <f>HYPERLINK("HDLBits_Combined_Questions_and_Day2_Review.pdf","Combined questions PDF")</f>
        <v>Combined questions PDF</v>
      </c>
    </row>
    <row r="19" spans="1:5" ht="22.05" customHeight="1">
      <c r="A19" s="4">
        <v>14</v>
      </c>
      <c r="B19" s="4" t="s">
        <v>10</v>
      </c>
      <c r="C19" s="12" t="str">
        <f>HYPERLINK("https://hdlbits.01xz.net/wiki/reduction","Reduction operators")</f>
        <v>Reduction operators</v>
      </c>
      <c r="D19" s="4" t="s">
        <v>11</v>
      </c>
      <c r="E19" s="10" t="s">
        <v>12</v>
      </c>
    </row>
    <row r="20" spans="1:5" ht="22.05" customHeight="1">
      <c r="A20" s="4">
        <v>15</v>
      </c>
      <c r="B20" s="4" t="s">
        <v>10</v>
      </c>
      <c r="C20" s="12" t="str">
        <f>HYPERLINK("https://hdlbits.01xz.net/wiki/dff8","D flip-flops")</f>
        <v>D flip-flops</v>
      </c>
      <c r="D20" s="4" t="s">
        <v>11</v>
      </c>
      <c r="E20" s="10" t="s">
        <v>12</v>
      </c>
    </row>
    <row r="21" spans="1:5" ht="22.05" customHeight="1">
      <c r="A21" s="4">
        <v>16</v>
      </c>
      <c r="B21" s="4" t="s">
        <v>10</v>
      </c>
      <c r="C21" s="12" t="str">
        <f>HYPERLINK("https://hdlbits.01xz.net/wiki/zero","Output Zero")</f>
        <v>Output Zero</v>
      </c>
      <c r="D21" s="4" t="s">
        <v>11</v>
      </c>
      <c r="E21" s="10" t="s">
        <v>12</v>
      </c>
    </row>
    <row r="22" spans="1:5" ht="22.05" customHeight="1">
      <c r="A22" s="4">
        <v>17</v>
      </c>
      <c r="B22" s="4" t="s">
        <v>10</v>
      </c>
      <c r="C22" s="12" t="str">
        <f>HYPERLINK("https://hdlbits.01xz.net/wiki/fsm1s","Simple FSM 1 (synchronous reset)")</f>
        <v>Simple FSM 1 (synchronous reset)</v>
      </c>
      <c r="D22" s="4" t="s">
        <v>11</v>
      </c>
      <c r="E22" s="10" t="s">
        <v>12</v>
      </c>
    </row>
    <row r="23" spans="1:5" ht="22.05" customHeight="1">
      <c r="A23" s="4">
        <v>18</v>
      </c>
      <c r="B23" s="4" t="s">
        <v>10</v>
      </c>
      <c r="C23" s="12" t="str">
        <f>HYPERLINK("https://hdlbits.01xz.net/wiki/gates100","Reduction: Even wider gates")</f>
        <v>Reduction: Even wider gates</v>
      </c>
      <c r="D23" s="4" t="s">
        <v>11</v>
      </c>
      <c r="E23" s="10" t="s">
        <v>12</v>
      </c>
    </row>
    <row r="24" spans="1:5" ht="22.05" customHeight="1">
      <c r="A24" s="4">
        <v>19</v>
      </c>
      <c r="B24" s="4" t="s">
        <v>13</v>
      </c>
      <c r="C24" s="12" t="str">
        <f>HYPERLINK("https://hdlbits.01xz.net/wiki/dff8r","DFF with reset")</f>
        <v>DFF with reset</v>
      </c>
      <c r="D24" s="4" t="s">
        <v>11</v>
      </c>
      <c r="E24" s="21" t="str">
        <f t="shared" ref="E24:E36" si="0">HYPERLINK("HDLBits_Combined_Questions_and_Day2_Review.pdf","Combined questions PDF")</f>
        <v>Combined questions PDF</v>
      </c>
    </row>
    <row r="25" spans="1:5" ht="22.05" customHeight="1">
      <c r="A25" s="4">
        <v>20</v>
      </c>
      <c r="B25" s="4" t="s">
        <v>13</v>
      </c>
      <c r="C25" s="12" t="str">
        <f>HYPERLINK("https://hdlbits.01xz.net/wiki/wire","Simple wire")</f>
        <v>Simple wire</v>
      </c>
      <c r="D25" s="4" t="s">
        <v>11</v>
      </c>
      <c r="E25" s="21" t="str">
        <f t="shared" si="0"/>
        <v>Combined questions PDF</v>
      </c>
    </row>
    <row r="26" spans="1:5" ht="22.05" customHeight="1">
      <c r="A26" s="4">
        <v>21</v>
      </c>
      <c r="B26" s="4" t="s">
        <v>13</v>
      </c>
      <c r="C26" s="12" t="str">
        <f>HYPERLINK("https://hdlbits.01xz.net/wiki/bugs_nand3","NAND")</f>
        <v>NAND</v>
      </c>
      <c r="D26" s="4" t="s">
        <v>11</v>
      </c>
      <c r="E26" s="21" t="str">
        <f t="shared" si="0"/>
        <v>Combined questions PDF</v>
      </c>
    </row>
    <row r="27" spans="1:5" ht="22.05" customHeight="1">
      <c r="A27" s="4">
        <v>22</v>
      </c>
      <c r="B27" s="4" t="s">
        <v>13</v>
      </c>
      <c r="C27" s="12" t="str">
        <f>HYPERLINK("https://hdlbits.01xz.net/wiki/fsm2","Simple FSM 2 (asynchronous reset)")</f>
        <v>Simple FSM 2 (asynchronous reset)</v>
      </c>
      <c r="D27" s="4" t="s">
        <v>11</v>
      </c>
      <c r="E27" s="21" t="str">
        <f t="shared" si="0"/>
        <v>Combined questions PDF</v>
      </c>
    </row>
    <row r="28" spans="1:5" ht="22.05" customHeight="1">
      <c r="A28" s="4">
        <v>23</v>
      </c>
      <c r="B28" s="4" t="s">
        <v>13</v>
      </c>
      <c r="C28" s="12" t="str">
        <f>HYPERLINK("https://hdlbits.01xz.net/wiki/vector100r","Combinational for-loop: Vector reversal 2")</f>
        <v>Combinational for-loop: Vector reversal 2</v>
      </c>
      <c r="D28" s="4" t="s">
        <v>11</v>
      </c>
      <c r="E28" s="21" t="str">
        <f t="shared" si="0"/>
        <v>Combined questions PDF</v>
      </c>
    </row>
    <row r="29" spans="1:5" ht="22.05" customHeight="1">
      <c r="A29" s="4">
        <v>24</v>
      </c>
      <c r="B29" s="4" t="s">
        <v>13</v>
      </c>
      <c r="C29" s="12" t="str">
        <f>HYPERLINK("https://hdlbits.01xz.net/wiki/dff8p","DFF with reset value")</f>
        <v>DFF with reset value</v>
      </c>
      <c r="D29" s="4" t="s">
        <v>11</v>
      </c>
      <c r="E29" s="21" t="str">
        <f t="shared" si="0"/>
        <v>Combined questions PDF</v>
      </c>
    </row>
    <row r="30" spans="1:5" ht="22.05" customHeight="1">
      <c r="A30" s="4">
        <v>25</v>
      </c>
      <c r="B30" s="4" t="s">
        <v>13</v>
      </c>
      <c r="C30" s="12" t="str">
        <f>HYPERLINK("https://hdlbits.01xz.net/wiki/wire4","Four wires")</f>
        <v>Four wires</v>
      </c>
      <c r="D30" s="4" t="s">
        <v>11</v>
      </c>
      <c r="E30" s="21" t="str">
        <f t="shared" si="0"/>
        <v>Combined questions PDF</v>
      </c>
    </row>
    <row r="31" spans="1:5" ht="22.05" customHeight="1">
      <c r="A31" s="4">
        <v>26</v>
      </c>
      <c r="B31" s="4" t="s">
        <v>13</v>
      </c>
      <c r="C31" s="12" t="str">
        <f>HYPERLINK("https://hdlbits.01xz.net/wiki/popcount255","Combinational for-loop: 255-bit population count")</f>
        <v>Combinational for-loop: 255-bit population count</v>
      </c>
      <c r="D31" s="4" t="s">
        <v>11</v>
      </c>
      <c r="E31" s="21" t="str">
        <f t="shared" si="0"/>
        <v>Combined questions PDF</v>
      </c>
    </row>
    <row r="32" spans="1:5" ht="22.05" customHeight="1">
      <c r="A32" s="4">
        <v>27</v>
      </c>
      <c r="B32" s="4" t="s">
        <v>13</v>
      </c>
      <c r="C32" s="12" t="str">
        <f>HYPERLINK("https://hdlbits.01xz.net/wiki/fsm2s","Simple FSM 2 (synchronous reset)")</f>
        <v>Simple FSM 2 (synchronous reset)</v>
      </c>
      <c r="D32" s="4" t="s">
        <v>11</v>
      </c>
      <c r="E32" s="21" t="str">
        <f t="shared" si="0"/>
        <v>Combined questions PDF</v>
      </c>
    </row>
    <row r="33" spans="1:5" ht="22.05" customHeight="1">
      <c r="A33" s="4">
        <v>28</v>
      </c>
      <c r="B33" s="4" t="s">
        <v>13</v>
      </c>
      <c r="C33" s="12" t="str">
        <f>HYPERLINK("https://hdlbits.01xz.net/wiki/dff8ar","DFF with asynchronous reset")</f>
        <v>DFF with asynchronous reset</v>
      </c>
      <c r="D33" s="4" t="s">
        <v>11</v>
      </c>
      <c r="E33" s="21" t="str">
        <f t="shared" si="0"/>
        <v>Combined questions PDF</v>
      </c>
    </row>
    <row r="34" spans="1:5" ht="22.05" customHeight="1">
      <c r="A34" s="4">
        <v>29</v>
      </c>
      <c r="B34" s="4" t="s">
        <v>13</v>
      </c>
      <c r="C34" s="12" t="str">
        <f>HYPERLINK("https://hdlbits.01xz.net/wiki/bugs_mux4","Mux")</f>
        <v>Mux</v>
      </c>
      <c r="D34" s="4" t="s">
        <v>11</v>
      </c>
      <c r="E34" s="21" t="str">
        <f t="shared" si="0"/>
        <v>Combined questions PDF</v>
      </c>
    </row>
    <row r="35" spans="1:5" ht="22.05" customHeight="1">
      <c r="A35" s="4">
        <v>30</v>
      </c>
      <c r="B35" s="4" t="s">
        <v>13</v>
      </c>
      <c r="C35" s="12" t="str">
        <f>HYPERLINK("https://hdlbits.01xz.net/wiki/adder100i","Generate for-loop: 100-bit binary adder 2")</f>
        <v>Generate for-loop: 100-bit binary adder 2</v>
      </c>
      <c r="D35" s="4" t="s">
        <v>11</v>
      </c>
      <c r="E35" s="21" t="str">
        <f t="shared" si="0"/>
        <v>Combined questions PDF</v>
      </c>
    </row>
    <row r="36" spans="1:5" ht="22.05" customHeight="1">
      <c r="A36" s="4">
        <v>31</v>
      </c>
      <c r="B36" s="4" t="s">
        <v>13</v>
      </c>
      <c r="C36" s="6" t="str">
        <f>HYPERLINK("https://hdlbits.01xz.net/wiki/notgate","Inverter")</f>
        <v>Inverter</v>
      </c>
      <c r="D36" s="4" t="s">
        <v>11</v>
      </c>
      <c r="E36" s="6" t="str">
        <f t="shared" si="0"/>
        <v>Combined questions PDF</v>
      </c>
    </row>
    <row r="37" spans="1:5" ht="22.05" customHeight="1">
      <c r="A37" s="4">
        <v>32</v>
      </c>
      <c r="B37" s="4" t="s">
        <v>13</v>
      </c>
      <c r="C37" s="6" t="str">
        <f>HYPERLINK("https://hdlbits.01xz.net/wiki/fsm3comb","Simple state transitions 3")</f>
        <v>Simple state transitions 3</v>
      </c>
      <c r="D37" s="4" t="s">
        <v>11</v>
      </c>
      <c r="E37" s="7" t="s">
        <v>12</v>
      </c>
    </row>
    <row r="38" spans="1:5" ht="22.05" customHeight="1">
      <c r="A38" s="4">
        <v>33</v>
      </c>
      <c r="B38" s="4" t="s">
        <v>13</v>
      </c>
      <c r="C38" s="12" t="str">
        <f>HYPERLINK("https://hdlbits.01xz.net/wiki/dff16e","DFF with byte enable")</f>
        <v>DFF with byte enable</v>
      </c>
      <c r="D38" s="4" t="s">
        <v>11</v>
      </c>
      <c r="E38" s="7" t="s">
        <v>12</v>
      </c>
    </row>
    <row r="39" spans="1:5" ht="22.05" customHeight="1">
      <c r="A39" s="4">
        <v>34</v>
      </c>
      <c r="B39" s="4" t="s">
        <v>13</v>
      </c>
      <c r="C39" s="12" t="str">
        <f>HYPERLINK("https://hdlbits.01xz.net/wiki/bcdadd100","Generate for-loop: 100-digit BCD adder")</f>
        <v>Generate for-loop: 100-digit BCD adder</v>
      </c>
      <c r="D39" s="4" t="s">
        <v>11</v>
      </c>
      <c r="E39" s="7" t="s">
        <v>12</v>
      </c>
    </row>
    <row r="40" spans="1:5" ht="22.05" customHeight="1">
      <c r="A40" s="4">
        <v>35</v>
      </c>
      <c r="B40" s="4" t="s">
        <v>13</v>
      </c>
      <c r="C40" s="12" t="str">
        <f>HYPERLINK("https://hdlbits.01xz.net/wiki/andgate","AND gate")</f>
        <v>AND gate</v>
      </c>
      <c r="D40" s="4" t="s">
        <v>11</v>
      </c>
      <c r="E40" s="7" t="s">
        <v>12</v>
      </c>
    </row>
    <row r="41" spans="1:5" ht="22.05" customHeight="1">
      <c r="A41" s="4">
        <v>36</v>
      </c>
      <c r="B41" s="4" t="s">
        <v>13</v>
      </c>
      <c r="C41" s="12" t="str">
        <f>HYPERLINK("https://hdlbits.01xz.net/wiki/bugs_addsubz","Add/sub")</f>
        <v>Add/sub</v>
      </c>
      <c r="D41" s="4" t="s">
        <v>11</v>
      </c>
      <c r="E41" s="6" t="str">
        <f>HYPERLINK("HDLBits_Combined_Questions_and_Day2_Review.pdf","Combined questions PDF")</f>
        <v>Combined questions PDF</v>
      </c>
    </row>
    <row r="42" spans="1:5" ht="22.05" customHeight="1">
      <c r="A42" s="4">
        <v>37</v>
      </c>
      <c r="B42" s="4" t="s">
        <v>14</v>
      </c>
      <c r="C42" s="12" t="str">
        <f>HYPERLINK("https://hdlbits.01xz.net/wiki/exams/m2014_q4h","Wire")</f>
        <v>Wire</v>
      </c>
      <c r="D42" s="4" t="s">
        <v>11</v>
      </c>
      <c r="E42" s="7" t="s">
        <v>12</v>
      </c>
    </row>
    <row r="43" spans="1:5" ht="22.05" customHeight="1">
      <c r="A43" s="4">
        <v>38</v>
      </c>
      <c r="B43" s="4" t="s">
        <v>14</v>
      </c>
      <c r="C43" s="12" t="str">
        <f>HYPERLINK("https://hdlbits.01xz.net/wiki/exams/m2014_q4a","D Latch")</f>
        <v>D Latch</v>
      </c>
      <c r="D43" s="4" t="s">
        <v>11</v>
      </c>
      <c r="E43" s="6" t="str">
        <f>HYPERLINK("HDLBits_Combined_Questions_and_Day2_Review.pdf","Combined questions PDF")</f>
        <v>Combined questions PDF</v>
      </c>
    </row>
    <row r="44" spans="1:5" ht="22.05" customHeight="1">
      <c r="A44" s="4">
        <v>39</v>
      </c>
      <c r="B44" s="4" t="s">
        <v>14</v>
      </c>
      <c r="C44" s="12" t="str">
        <f>HYPERLINK("https://hdlbits.01xz.net/wiki/fsm3onehot","Simple one-hot state transitions 3")</f>
        <v>Simple one-hot state transitions 3</v>
      </c>
      <c r="D44" s="4" t="s">
        <v>11</v>
      </c>
      <c r="E44" s="7" t="s">
        <v>12</v>
      </c>
    </row>
    <row r="45" spans="1:5" ht="22.05" customHeight="1">
      <c r="A45" s="4">
        <v>40</v>
      </c>
      <c r="B45" s="4" t="s">
        <v>14</v>
      </c>
      <c r="C45" s="12" t="str">
        <f>HYPERLINK("https://hdlbits.01xz.net/wiki/norgate","NOR gate")</f>
        <v>NOR gate</v>
      </c>
      <c r="D45" s="4" t="s">
        <v>11</v>
      </c>
      <c r="E45" s="7" t="s">
        <v>12</v>
      </c>
    </row>
    <row r="46" spans="1:5" ht="22.05" customHeight="1">
      <c r="A46" s="4">
        <v>41</v>
      </c>
      <c r="B46" s="4" t="s">
        <v>14</v>
      </c>
      <c r="C46" s="12" t="str">
        <f>HYPERLINK("https://hdlbits.01xz.net/wiki/exams/m2014_q4i","GND")</f>
        <v>GND</v>
      </c>
      <c r="D46" s="4" t="s">
        <v>11</v>
      </c>
      <c r="E46" s="7" t="s">
        <v>12</v>
      </c>
    </row>
    <row r="47" spans="1:5" ht="22.05" customHeight="1">
      <c r="A47" s="4">
        <v>42</v>
      </c>
      <c r="B47" s="4" t="s">
        <v>14</v>
      </c>
      <c r="C47" s="12" t="str">
        <f>HYPERLINK("https://hdlbits.01xz.net/wiki/exams/m2014_q4b","DFF")</f>
        <v>DFF</v>
      </c>
      <c r="D47" s="4" t="s">
        <v>11</v>
      </c>
      <c r="E47" s="7" t="s">
        <v>12</v>
      </c>
    </row>
    <row r="48" spans="1:5" ht="22.05" customHeight="1">
      <c r="A48" s="4">
        <v>43</v>
      </c>
      <c r="B48" s="4" t="s">
        <v>14</v>
      </c>
      <c r="C48" s="12" t="str">
        <f>HYPERLINK("https://hdlbits.01xz.net/wiki/fsm3","Simple FSM 3 (asynchronous reset)")</f>
        <v>Simple FSM 3 (asynchronous reset)</v>
      </c>
      <c r="D48" s="4" t="s">
        <v>11</v>
      </c>
      <c r="E48" s="7" t="s">
        <v>12</v>
      </c>
    </row>
    <row r="49" spans="1:5" ht="22.05" customHeight="1">
      <c r="A49" s="4">
        <v>44</v>
      </c>
      <c r="B49" s="4" t="s">
        <v>14</v>
      </c>
      <c r="C49" s="12" t="str">
        <f>HYPERLINK("https://hdlbits.01xz.net/wiki/xnorgate","XNOR gate")</f>
        <v>XNOR gate</v>
      </c>
      <c r="D49" s="4" t="s">
        <v>11</v>
      </c>
      <c r="E49" s="7" t="s">
        <v>12</v>
      </c>
    </row>
    <row r="50" spans="1:5" ht="22.05" customHeight="1">
      <c r="A50" s="4">
        <v>45</v>
      </c>
      <c r="B50" s="4" t="s">
        <v>14</v>
      </c>
      <c r="C50" s="12" t="str">
        <f>HYPERLINK("https://hdlbits.01xz.net/wiki/exams/m2014_q4e","NOR")</f>
        <v>NOR</v>
      </c>
      <c r="D50" s="4" t="s">
        <v>11</v>
      </c>
      <c r="E50" s="7" t="s">
        <v>12</v>
      </c>
    </row>
    <row r="51" spans="1:5" ht="22.05" customHeight="1">
      <c r="A51" s="4">
        <v>46</v>
      </c>
      <c r="B51" s="4" t="s">
        <v>14</v>
      </c>
      <c r="C51" s="12" t="str">
        <f>HYPERLINK("https://hdlbits.01xz.net/wiki/exams/m2014_q4c","DFF")</f>
        <v>DFF</v>
      </c>
      <c r="D51" s="4" t="s">
        <v>11</v>
      </c>
      <c r="E51" s="7" t="s">
        <v>12</v>
      </c>
    </row>
    <row r="52" spans="1:5" ht="22.05" customHeight="1">
      <c r="A52" s="4">
        <v>47</v>
      </c>
      <c r="B52" s="4" t="s">
        <v>14</v>
      </c>
      <c r="C52" s="12" t="str">
        <f>HYPERLINK("https://hdlbits.01xz.net/wiki/always_case","Case statement")</f>
        <v>Case statement</v>
      </c>
      <c r="D52" s="4" t="s">
        <v>11</v>
      </c>
      <c r="E52" s="7" t="s">
        <v>12</v>
      </c>
    </row>
    <row r="53" spans="1:5" ht="22.05" customHeight="1">
      <c r="A53" s="4">
        <v>48</v>
      </c>
      <c r="B53" s="4" t="s">
        <v>14</v>
      </c>
      <c r="C53" s="12" t="str">
        <f>HYPERLINK("https://hdlbits.01xz.net/wiki/fsm3s","Simple FSM 3 (synchronous reset)")</f>
        <v>Simple FSM 3 (synchronous reset)</v>
      </c>
      <c r="D53" s="4" t="s">
        <v>11</v>
      </c>
      <c r="E53" s="7" t="s">
        <v>12</v>
      </c>
    </row>
    <row r="54" spans="1:5" ht="22.05" customHeight="1">
      <c r="A54" s="4">
        <v>49</v>
      </c>
      <c r="B54" s="4" t="s">
        <v>14</v>
      </c>
      <c r="C54" s="12" t="str">
        <f>HYPERLINK("https://hdlbits.01xz.net/wiki/wire_decl","Declaring wires")</f>
        <v>Declaring wires</v>
      </c>
      <c r="D54" s="4" t="s">
        <v>11</v>
      </c>
      <c r="E54" s="7" t="s">
        <v>12</v>
      </c>
    </row>
    <row r="55" spans="1:5" ht="22.05" customHeight="1">
      <c r="A55" s="4">
        <v>50</v>
      </c>
      <c r="B55" s="4" t="s">
        <v>14</v>
      </c>
      <c r="C55" s="12" t="str">
        <f>HYPERLINK("https://hdlbits.01xz.net/wiki/exams/m2014_q4f","Another gate")</f>
        <v>Another gate</v>
      </c>
      <c r="D55" s="4" t="s">
        <v>11</v>
      </c>
      <c r="E55" s="7" t="s">
        <v>12</v>
      </c>
    </row>
    <row r="56" spans="1:5" ht="22.05" customHeight="1">
      <c r="A56" s="4">
        <v>51</v>
      </c>
      <c r="B56" s="4" t="s">
        <v>14</v>
      </c>
      <c r="C56" s="12" t="str">
        <f>HYPERLINK("https://hdlbits.01xz.net/wiki/exams/m2014_q4d","DFF+gate")</f>
        <v>DFF+gate</v>
      </c>
      <c r="D56" s="4" t="s">
        <v>11</v>
      </c>
      <c r="E56" s="18" t="s">
        <v>12</v>
      </c>
    </row>
    <row r="57" spans="1:5" ht="22.05" customHeight="1">
      <c r="A57" s="4">
        <v>52</v>
      </c>
      <c r="B57" s="4" t="s">
        <v>14</v>
      </c>
      <c r="C57" s="12" t="str">
        <f>HYPERLINK("https://hdlbits.01xz.net/wiki/exams/m2014_q4g","Two gates")</f>
        <v>Two gates</v>
      </c>
      <c r="D57" s="4" t="s">
        <v>11</v>
      </c>
      <c r="E57" s="18" t="s">
        <v>12</v>
      </c>
    </row>
    <row r="58" spans="1:5" ht="22.05" customHeight="1">
      <c r="A58" s="4">
        <v>53</v>
      </c>
      <c r="B58" s="4" t="s">
        <v>14</v>
      </c>
      <c r="C58" s="12" t="str">
        <f>HYPERLINK("https://hdlbits.01xz.net/wiki/7458","7458 chip")</f>
        <v>7458 chip</v>
      </c>
      <c r="D58" s="4" t="s">
        <v>11</v>
      </c>
      <c r="E58" s="18" t="s">
        <v>12</v>
      </c>
    </row>
    <row r="59" spans="1:5" ht="22.05" customHeight="1">
      <c r="A59" s="4">
        <v>54</v>
      </c>
      <c r="B59" s="4" t="s">
        <v>14</v>
      </c>
      <c r="C59" s="12" t="str">
        <f>HYPERLINK("https://hdlbits.01xz.net/wiki/exams/ece241_2013_q4","Design a Moore FSM")</f>
        <v>Design a Moore FSM</v>
      </c>
      <c r="D59" s="4" t="s">
        <v>11</v>
      </c>
      <c r="E59" s="23" t="str">
        <f>HYPERLINK("HDLBits_Recovered_Code_Questions_54_74_75_77.pdf","Recovered questions PDF")</f>
        <v>Recovered questions PDF</v>
      </c>
    </row>
    <row r="60" spans="1:5" ht="22.05" customHeight="1">
      <c r="A60" s="4">
        <v>55</v>
      </c>
      <c r="B60" s="4" t="s">
        <v>15</v>
      </c>
      <c r="C60" s="12" t="str">
        <f>HYPERLINK("https://hdlbits.01xz.net/wiki/sim/circuit1","Combinational circuit 1")</f>
        <v>Combinational circuit 1</v>
      </c>
      <c r="D60" s="4" t="s">
        <v>11</v>
      </c>
      <c r="E60" s="18" t="s">
        <v>12</v>
      </c>
    </row>
    <row r="61" spans="1:5" ht="22.05" customHeight="1">
      <c r="A61" s="4">
        <v>56</v>
      </c>
      <c r="B61" s="4" t="s">
        <v>15</v>
      </c>
      <c r="C61" s="12" t="str">
        <f>HYPERLINK("https://hdlbits.01xz.net/wiki/mt2015_muxdff","Mux and DFF")</f>
        <v>Mux and DFF</v>
      </c>
      <c r="D61" s="4" t="s">
        <v>11</v>
      </c>
      <c r="E61" s="18" t="s">
        <v>12</v>
      </c>
    </row>
    <row r="62" spans="1:5" ht="22.05" customHeight="1">
      <c r="A62" s="4">
        <v>57</v>
      </c>
      <c r="B62" s="4" t="s">
        <v>15</v>
      </c>
      <c r="C62" s="12" t="str">
        <f>HYPERLINK("https://hdlbits.01xz.net/wiki/gates","More logic gates")</f>
        <v>More logic gates</v>
      </c>
      <c r="D62" s="4" t="s">
        <v>11</v>
      </c>
      <c r="E62" s="18" t="s">
        <v>12</v>
      </c>
    </row>
    <row r="63" spans="1:5" ht="22.05" customHeight="1">
      <c r="A63" s="4">
        <v>58</v>
      </c>
      <c r="B63" s="4" t="s">
        <v>15</v>
      </c>
      <c r="C63" s="12" t="str">
        <f>HYPERLINK("https://hdlbits.01xz.net/wiki/vector0","Vectors")</f>
        <v>Vectors</v>
      </c>
      <c r="D63" s="4" t="s">
        <v>11</v>
      </c>
      <c r="E63" s="18" t="s">
        <v>12</v>
      </c>
    </row>
    <row r="64" spans="1:5" ht="22.05" customHeight="1">
      <c r="A64" s="4">
        <v>59</v>
      </c>
      <c r="B64" s="4" t="s">
        <v>15</v>
      </c>
      <c r="C64" s="12" t="str">
        <f>HYPERLINK("https://hdlbits.01xz.net/wiki/fsm_onehot","One-hot FSM")</f>
        <v>One-hot FSM</v>
      </c>
      <c r="D64" s="4" t="s">
        <v>11</v>
      </c>
      <c r="E64" s="18" t="s">
        <v>12</v>
      </c>
    </row>
    <row r="65" spans="1:5" ht="22.05" customHeight="1">
      <c r="A65" s="4">
        <v>60</v>
      </c>
      <c r="B65" s="4" t="s">
        <v>15</v>
      </c>
      <c r="C65" s="12" t="str">
        <f>HYPERLINK("https://hdlbits.01xz.net/wiki/exams/2014_q4a","Mux and DFF")</f>
        <v>Mux and DFF</v>
      </c>
      <c r="D65" s="4" t="s">
        <v>11</v>
      </c>
      <c r="E65" s="18" t="s">
        <v>12</v>
      </c>
    </row>
    <row r="66" spans="1:5" ht="22.05" customHeight="1">
      <c r="A66" s="4">
        <v>61</v>
      </c>
      <c r="B66" s="4" t="s">
        <v>15</v>
      </c>
      <c r="C66" s="12" t="str">
        <f>HYPERLINK("https://hdlbits.01xz.net/wiki/7420","7420 chip")</f>
        <v>7420 chip</v>
      </c>
      <c r="D66" s="4" t="s">
        <v>11</v>
      </c>
      <c r="E66" s="18" t="s">
        <v>12</v>
      </c>
    </row>
    <row r="67" spans="1:5" ht="22.05" customHeight="1">
      <c r="A67" s="4">
        <v>62</v>
      </c>
      <c r="B67" s="4" t="s">
        <v>15</v>
      </c>
      <c r="C67" s="12" t="str">
        <f>HYPERLINK("https://hdlbits.01xz.net/wiki/vector1","Vectors in more detail")</f>
        <v>Vectors in more detail</v>
      </c>
      <c r="D67" s="4" t="s">
        <v>11</v>
      </c>
      <c r="E67" s="18" t="s">
        <v>12</v>
      </c>
    </row>
    <row r="68" spans="1:5" ht="22.05" customHeight="1">
      <c r="A68" s="4">
        <v>63</v>
      </c>
      <c r="B68" s="4" t="s">
        <v>15</v>
      </c>
      <c r="C68" s="12" t="str">
        <f>HYPERLINK("https://hdlbits.01xz.net/wiki/sim/circuit2","Combinational circuit 2")</f>
        <v>Combinational circuit 2</v>
      </c>
      <c r="D68" s="4" t="s">
        <v>11</v>
      </c>
      <c r="E68" s="15" t="s">
        <v>12</v>
      </c>
    </row>
    <row r="69" spans="1:5" ht="22.05" customHeight="1">
      <c r="A69" s="4">
        <v>64</v>
      </c>
      <c r="B69" s="4" t="s">
        <v>15</v>
      </c>
      <c r="C69" s="12" t="str">
        <f>HYPERLINK("https://hdlbits.01xz.net/wiki/fsm_ps2","PS/2 packet parser")</f>
        <v>PS/2 packet parser</v>
      </c>
      <c r="D69" s="4" t="s">
        <v>11</v>
      </c>
      <c r="E69" s="15" t="s">
        <v>12</v>
      </c>
    </row>
    <row r="70" spans="1:5" ht="22.05" customHeight="1">
      <c r="A70" s="4">
        <v>65</v>
      </c>
      <c r="B70" s="4" t="s">
        <v>15</v>
      </c>
      <c r="C70" s="12" t="str">
        <f>HYPERLINK("https://hdlbits.01xz.net/wiki/truthtable1","Truth tables")</f>
        <v>Truth tables</v>
      </c>
      <c r="D70" s="4" t="s">
        <v>11</v>
      </c>
      <c r="E70" s="15" t="s">
        <v>12</v>
      </c>
    </row>
    <row r="71" spans="1:5" ht="22.05" customHeight="1">
      <c r="A71" s="4">
        <v>66</v>
      </c>
      <c r="B71" s="4" t="s">
        <v>15</v>
      </c>
      <c r="C71" s="12" t="str">
        <f>HYPERLINK("https://hdlbits.01xz.net/wiki/exams/ece241_2014_q4","DFFs and gates")</f>
        <v>DFFs and gates</v>
      </c>
      <c r="D71" s="4" t="s">
        <v>11</v>
      </c>
      <c r="E71" s="16" t="str">
        <f>HYPERLINK("HDLBits_Day4_Questions_Vector_DFF_PS2.pdf","Day 4 questions PDF")</f>
        <v>Day 4 questions PDF</v>
      </c>
    </row>
    <row r="72" spans="1:5" ht="22.05" customHeight="1">
      <c r="A72" s="4">
        <v>67</v>
      </c>
      <c r="B72" s="4" t="s">
        <v>15</v>
      </c>
      <c r="C72" s="12" t="str">
        <f>HYPERLINK("https://hdlbits.01xz.net/wiki/vector2","Vector part select")</f>
        <v>Vector part select</v>
      </c>
      <c r="D72" s="4" t="s">
        <v>11</v>
      </c>
      <c r="E72" s="16" t="str">
        <f>HYPERLINK("HDLBits_Day4_Questions_Vector_DFF_PS2.pdf","Day 4 questions PDF")</f>
        <v>Day 4 questions PDF</v>
      </c>
    </row>
    <row r="73" spans="1:5" ht="22.05" customHeight="1">
      <c r="A73" s="4">
        <v>68</v>
      </c>
      <c r="B73" s="4" t="s">
        <v>15</v>
      </c>
      <c r="C73" s="12" t="str">
        <f>HYPERLINK("https://hdlbits.01xz.net/wiki/mt2015_eq2","Two-bit equality")</f>
        <v>Two-bit equality</v>
      </c>
      <c r="D73" s="4" t="s">
        <v>11</v>
      </c>
      <c r="E73" s="15" t="s">
        <v>12</v>
      </c>
    </row>
    <row r="74" spans="1:5" ht="22.05" customHeight="1">
      <c r="A74" s="4">
        <v>69</v>
      </c>
      <c r="B74" s="4" t="s">
        <v>15</v>
      </c>
      <c r="C74" s="12" t="str">
        <f>HYPERLINK("https://hdlbits.01xz.net/wiki/exams/ece241_2013_q7","Create circuit from truth table")</f>
        <v>Create circuit from truth table</v>
      </c>
      <c r="D74" s="4" t="s">
        <v>11</v>
      </c>
      <c r="E74" s="15" t="s">
        <v>12</v>
      </c>
    </row>
    <row r="75" spans="1:5" ht="22.05" customHeight="1">
      <c r="A75" s="4">
        <v>70</v>
      </c>
      <c r="B75" s="4" t="s">
        <v>15</v>
      </c>
      <c r="C75" s="12" t="str">
        <f>HYPERLINK("https://hdlbits.01xz.net/wiki/fsm_ps2data","PS/2 packet parser and datapath")</f>
        <v>PS/2 packet parser and datapath</v>
      </c>
      <c r="D75" s="4" t="s">
        <v>11</v>
      </c>
      <c r="E75" s="16" t="str">
        <f>HYPERLINK("HDLBits_Day4_Questions_Vector_DFF_PS2.pdf","Day 4 questions PDF")</f>
        <v>Day 4 questions PDF</v>
      </c>
    </row>
    <row r="76" spans="1:5" ht="22.05" customHeight="1">
      <c r="A76" s="4">
        <v>71</v>
      </c>
      <c r="B76" s="4" t="s">
        <v>15</v>
      </c>
      <c r="C76" s="12" t="str">
        <f>HYPERLINK("https://hdlbits.01xz.net/wiki/sim/circuit3","Combinational circuit 3")</f>
        <v>Combinational circuit 3</v>
      </c>
      <c r="D76" s="4" t="s">
        <v>11</v>
      </c>
      <c r="E76" s="17" t="s">
        <v>12</v>
      </c>
    </row>
    <row r="77" spans="1:5" ht="22.05" customHeight="1">
      <c r="A77" s="4">
        <v>72</v>
      </c>
      <c r="B77" s="4" t="s">
        <v>15</v>
      </c>
      <c r="C77" s="12" t="str">
        <f>HYPERLINK("https://hdlbits.01xz.net/wiki/mt2015_q4a","Simple circuit A")</f>
        <v>Simple circuit A</v>
      </c>
      <c r="D77" s="4" t="s">
        <v>11</v>
      </c>
      <c r="E77" s="17" t="s">
        <v>12</v>
      </c>
    </row>
    <row r="78" spans="1:5" ht="22.05" customHeight="1">
      <c r="A78" s="4">
        <v>73</v>
      </c>
      <c r="B78" s="4" t="s">
        <v>16</v>
      </c>
      <c r="C78" s="12" t="str">
        <f>HYPERLINK("https://hdlbits.01xz.net/wiki/vectorgates","Bitwise operators")</f>
        <v>Bitwise operators</v>
      </c>
      <c r="D78" s="4" t="s">
        <v>11</v>
      </c>
      <c r="E78" s="17" t="s">
        <v>12</v>
      </c>
    </row>
    <row r="79" spans="1:5" ht="22.05" customHeight="1">
      <c r="A79" s="4">
        <v>74</v>
      </c>
      <c r="B79" s="4" t="s">
        <v>16</v>
      </c>
      <c r="C79" s="12" t="str">
        <f>HYPERLINK("https://hdlbits.01xz.net/wiki/edgedetect","Detect an edge")</f>
        <v>Detect an edge</v>
      </c>
      <c r="D79" s="4" t="s">
        <v>11</v>
      </c>
      <c r="E79" s="23" t="str">
        <f>HYPERLINK("HDLBits_Recovered_Code_Questions_54_74_75_77.pdf","Recovered questions PDF")</f>
        <v>Recovered questions PDF</v>
      </c>
    </row>
    <row r="80" spans="1:5" ht="22.05" customHeight="1">
      <c r="A80" s="4">
        <v>75</v>
      </c>
      <c r="B80" s="4" t="s">
        <v>16</v>
      </c>
      <c r="C80" s="12" t="str">
        <f>HYPERLINK("https://hdlbits.01xz.net/wiki/exams/ece241_2013_q8","Q8: Design a Mealy FSM")</f>
        <v>Q8: Design a Mealy FSM</v>
      </c>
      <c r="D80" s="4" t="s">
        <v>11</v>
      </c>
      <c r="E80" s="23" t="str">
        <f>HYPERLINK("HDLBits_Recovered_Code_Questions_54_74_75_77.pdf","Recovered questions PDF")</f>
        <v>Recovered questions PDF</v>
      </c>
    </row>
    <row r="81" spans="1:5" ht="22.05" customHeight="1">
      <c r="A81" s="4">
        <v>76</v>
      </c>
      <c r="B81" s="4" t="s">
        <v>16</v>
      </c>
      <c r="C81" s="12" t="str">
        <f>HYPERLINK("https://hdlbits.01xz.net/wiki/mt2015_q4b","Simple circuit B")</f>
        <v>Simple circuit B</v>
      </c>
      <c r="D81" s="4" t="s">
        <v>11</v>
      </c>
      <c r="E81" s="17" t="s">
        <v>12</v>
      </c>
    </row>
    <row r="82" spans="1:5" ht="22.05" customHeight="1">
      <c r="A82" s="4">
        <v>77</v>
      </c>
      <c r="B82" s="4" t="s">
        <v>16</v>
      </c>
      <c r="C82" s="12" t="str">
        <f>HYPERLINK("https://hdlbits.01xz.net/wiki/gates4","Four-input gates")</f>
        <v>Four-input gates</v>
      </c>
      <c r="D82" s="4" t="s">
        <v>11</v>
      </c>
      <c r="E82" s="23" t="str">
        <f>HYPERLINK("HDLBits_Recovered_Code_Questions_54_74_75_77.pdf","Recovered questions PDF")</f>
        <v>Recovered questions PDF</v>
      </c>
    </row>
    <row r="83" spans="1:5" ht="22.05" customHeight="1">
      <c r="A83" s="4">
        <v>78</v>
      </c>
      <c r="B83" s="4" t="s">
        <v>16</v>
      </c>
      <c r="C83" s="12" t="str">
        <f>HYPERLINK("https://hdlbits.01xz.net/wiki/edgedetect2","Detect both edges")</f>
        <v>Detect both edges</v>
      </c>
      <c r="D83" s="4" t="s">
        <v>11</v>
      </c>
      <c r="E83" s="17" t="s">
        <v>12</v>
      </c>
    </row>
    <row r="84" spans="1:5" ht="22.05" customHeight="1">
      <c r="A84" s="4">
        <v>79</v>
      </c>
      <c r="B84" s="4" t="s">
        <v>16</v>
      </c>
      <c r="C84" s="12" t="str">
        <f>HYPERLINK("https://hdlbits.01xz.net/wiki/mt2015_q4","Combine circuits A and B")</f>
        <v>Combine circuits A and B</v>
      </c>
      <c r="D84" s="4" t="s">
        <v>11</v>
      </c>
      <c r="E84" s="17" t="s">
        <v>12</v>
      </c>
    </row>
    <row r="85" spans="1:5" ht="22.05" customHeight="1">
      <c r="A85" s="4">
        <v>80</v>
      </c>
      <c r="B85" s="4" t="s">
        <v>16</v>
      </c>
      <c r="C85" s="12" t="str">
        <f>HYPERLINK("https://hdlbits.01xz.net/wiki/exams/ece241_2014_q5a","Q5a: Serial two's complementer (Moore FSM)")</f>
        <v>Q5a: Serial two's complementer (Moore FSM)</v>
      </c>
      <c r="D85" s="4" t="s">
        <v>11</v>
      </c>
      <c r="E85" s="22" t="str">
        <f>HYPERLINK("HDLBits_Entry80_Moore_Serial_Twos_Complement_Deep_Dive.pdf","Entry 80 Moore FSM PDF")</f>
        <v>Entry 80 Moore FSM PDF</v>
      </c>
    </row>
    <row r="86" spans="1:5" ht="22.05" customHeight="1">
      <c r="A86" s="4">
        <v>81</v>
      </c>
      <c r="B86" s="4" t="s">
        <v>16</v>
      </c>
      <c r="C86" s="12" t="str">
        <f>HYPERLINK("https://hdlbits.01xz.net/wiki/sim/circuit4","Combinational circuit 4")</f>
        <v>Combinational circuit 4</v>
      </c>
      <c r="D86" s="4" t="s">
        <v>11</v>
      </c>
      <c r="E86" s="22" t="str">
        <f>HYPERLINK("HDLBits_Day5_Original_Submissions_Review.md","Day 5 submission review")</f>
        <v>Day 5 submission review</v>
      </c>
    </row>
    <row r="87" spans="1:5" ht="22.05" customHeight="1">
      <c r="A87" s="4">
        <v>82</v>
      </c>
      <c r="B87" s="4" t="s">
        <v>16</v>
      </c>
      <c r="C87" s="12" t="str">
        <f>HYPERLINK("https://hdlbits.01xz.net/wiki/vector3","Vector concatenation operator")</f>
        <v>Vector concatenation operator</v>
      </c>
      <c r="D87" s="4" t="s">
        <v>11</v>
      </c>
      <c r="E87" s="22" t="str">
        <f>HYPERLINK("HDLBits_Day5_Original_Submissions_Review.md","Day 5 submission review")</f>
        <v>Day 5 submission review</v>
      </c>
    </row>
    <row r="88" spans="1:5" ht="22.05" customHeight="1">
      <c r="A88" s="4">
        <v>83</v>
      </c>
      <c r="B88" s="4" t="s">
        <v>16</v>
      </c>
      <c r="C88" s="12" t="str">
        <f>HYPERLINK("https://hdlbits.01xz.net/wiki/edgecapture","Edge capture register")</f>
        <v>Edge capture register</v>
      </c>
      <c r="D88" s="4" t="s">
        <v>11</v>
      </c>
      <c r="E88" s="22" t="str">
        <f>HYPERLINK("HDLBits_Day5_Original_Submissions_Review.md","Day 5 submission review")</f>
        <v>Day 5 submission review</v>
      </c>
    </row>
    <row r="89" spans="1:5" ht="22.05" customHeight="1">
      <c r="A89" s="4">
        <v>84</v>
      </c>
      <c r="B89" s="4" t="s">
        <v>16</v>
      </c>
      <c r="C89" s="12" t="str">
        <f>HYPERLINK("https://hdlbits.01xz.net/wiki/ringer","Ring or vibrate?")</f>
        <v>Ring or vibrate?</v>
      </c>
      <c r="D89" s="4" t="s">
        <v>11</v>
      </c>
      <c r="E89" s="22" t="str">
        <f>HYPERLINK("HDLBits_Day5_Original_Submissions_Review.md","Day 5 submission review")</f>
        <v>Day 5 submission review</v>
      </c>
    </row>
    <row r="90" spans="1:5" ht="22.05" customHeight="1">
      <c r="A90" s="4">
        <v>85</v>
      </c>
      <c r="B90" s="4" t="s">
        <v>16</v>
      </c>
      <c r="C90" s="12" t="str">
        <f>HYPERLINK("https://hdlbits.01xz.net/wiki/exams/ece241_2014_q5b","Q5b: Serial two's complementer (Mealy FSM)")</f>
        <v>Q5b: Serial two's complementer (Mealy FSM)</v>
      </c>
      <c r="D90" s="4" t="s">
        <v>11</v>
      </c>
      <c r="E90" s="22" t="str">
        <f>HYPERLINK("HDLBits_Day5_Original_Submissions_Review.md","Day 5 submission review")</f>
        <v>Day 5 submission review</v>
      </c>
    </row>
    <row r="91" spans="1:5" ht="22.05" customHeight="1">
      <c r="A91" s="4">
        <v>86</v>
      </c>
      <c r="B91" s="4" t="s">
        <v>16</v>
      </c>
      <c r="C91" s="12" t="str">
        <f>HYPERLINK("https://hdlbits.01xz.net/wiki/vectorr","Vector reversal 1")</f>
        <v>Vector reversal 1</v>
      </c>
      <c r="D91" s="4" t="s">
        <v>11</v>
      </c>
      <c r="E91" s="24" t="s">
        <v>12</v>
      </c>
    </row>
    <row r="92" spans="1:5" ht="22.05" customHeight="1">
      <c r="A92" s="4">
        <v>87</v>
      </c>
      <c r="B92" s="4" t="s">
        <v>16</v>
      </c>
      <c r="C92" s="12" t="str">
        <f>HYPERLINK("https://hdlbits.01xz.net/wiki/dualedge","Dual-edge triggered flip-flop")</f>
        <v>Dual-edge triggered flip-flop</v>
      </c>
      <c r="D92" s="4" t="s">
        <v>11</v>
      </c>
      <c r="E92" s="25" t="str">
        <f>HYPERLINK("HDLBits_Day6_Non_FSM_QA_Dualedge_and_Circuit5.pdf","Day 6 non-FSM Q&amp;A")</f>
        <v>Day 6 non-FSM Q&amp;A</v>
      </c>
    </row>
    <row r="93" spans="1:5" ht="22.05" customHeight="1">
      <c r="A93" s="4">
        <v>88</v>
      </c>
      <c r="B93" s="4" t="s">
        <v>16</v>
      </c>
      <c r="C93" s="12" t="str">
        <f>HYPERLINK("https://hdlbits.01xz.net/wiki/thermostat","Thermostat")</f>
        <v>Thermostat</v>
      </c>
      <c r="D93" s="4" t="s">
        <v>11</v>
      </c>
      <c r="E93" s="24" t="s">
        <v>12</v>
      </c>
    </row>
    <row r="94" spans="1:5" ht="22.05" customHeight="1">
      <c r="A94" s="4">
        <v>89</v>
      </c>
      <c r="B94" s="4" t="s">
        <v>16</v>
      </c>
      <c r="C94" s="12" t="str">
        <f>HYPERLINK("https://hdlbits.01xz.net/wiki/sim/circuit5","Combinational circuit 5")</f>
        <v>Combinational circuit 5</v>
      </c>
      <c r="D94" s="4" t="s">
        <v>11</v>
      </c>
      <c r="E94" s="25" t="str">
        <f>HYPERLINK("HDLBits_Day6_Non_FSM_QA_Dualedge_and_Circuit5.pdf","Day 6 non-FSM Q&amp;A")</f>
        <v>Day 6 non-FSM Q&amp;A</v>
      </c>
    </row>
    <row r="95" spans="1:5" ht="22.05" customHeight="1">
      <c r="A95" s="4">
        <v>90</v>
      </c>
      <c r="B95" s="4" t="s">
        <v>17</v>
      </c>
      <c r="C95" s="12" t="str">
        <f>HYPERLINK("https://hdlbits.01xz.net/wiki/exams/2014_q3fsm","Q3a: FSM")</f>
        <v>Q3a: FSM</v>
      </c>
      <c r="D95" s="4" t="s">
        <v>11</v>
      </c>
      <c r="E95" s="25" t="str">
        <f>HYPERLINK("HDLBits_Entry90_Exams_2014_Q3FSM_Three_Sample_Window_Deep_Dive.pdf","Q3FSM deep-dive PDF")</f>
        <v>Q3FSM deep-dive PDF</v>
      </c>
    </row>
    <row r="96" spans="1:5" ht="22.05" customHeight="1">
      <c r="A96" s="4">
        <v>91</v>
      </c>
      <c r="B96" s="4" t="s">
        <v>17</v>
      </c>
      <c r="C96" s="12" t="str">
        <f>HYPERLINK("https://hdlbits.01xz.net/wiki/vector4","Replication operator")</f>
        <v>Replication operator</v>
      </c>
      <c r="D96" s="4" t="s">
        <v>11</v>
      </c>
      <c r="E96" s="24" t="s">
        <v>12</v>
      </c>
    </row>
    <row r="97" spans="1:5" ht="22.05" customHeight="1">
      <c r="A97" s="4">
        <v>92</v>
      </c>
      <c r="B97" s="4" t="s">
        <v>17</v>
      </c>
      <c r="C97" s="12" t="str">
        <f>HYPERLINK("https://hdlbits.01xz.net/wiki/count15","Four-bit binary counter")</f>
        <v>Four-bit binary counter</v>
      </c>
      <c r="D97" s="4" t="s">
        <v>11</v>
      </c>
      <c r="E97" s="24" t="s">
        <v>12</v>
      </c>
    </row>
    <row r="98" spans="1:5" ht="22.05" customHeight="1">
      <c r="A98" s="4">
        <v>93</v>
      </c>
      <c r="B98" s="4" t="s">
        <v>17</v>
      </c>
      <c r="C98" s="12" t="str">
        <f>HYPERLINK("https://hdlbits.01xz.net/wiki/popcount3","3-bit population count")</f>
        <v>3-bit population count</v>
      </c>
      <c r="D98" s="4" t="s">
        <v>11</v>
      </c>
      <c r="E98" s="24" t="s">
        <v>12</v>
      </c>
    </row>
    <row r="99" spans="1:5" ht="22.05" customHeight="1">
      <c r="A99" s="4">
        <v>94</v>
      </c>
      <c r="B99" s="4" t="s">
        <v>17</v>
      </c>
      <c r="C99" s="12" t="str">
        <f>HYPERLINK("https://hdlbits.01xz.net/wiki/gatesv","Gates and vectors")</f>
        <v>Gates and vectors</v>
      </c>
      <c r="D99" s="4" t="s">
        <v>11</v>
      </c>
      <c r="E99" s="7" t="s">
        <v>12</v>
      </c>
    </row>
    <row r="100" spans="1:5" ht="22.05" customHeight="1">
      <c r="A100" s="4">
        <v>95</v>
      </c>
      <c r="B100" s="4" t="s">
        <v>17</v>
      </c>
      <c r="C100" s="12" t="str">
        <f>HYPERLINK("https://hdlbits.01xz.net/wiki/count10","Decade counter")</f>
        <v>Decade counter</v>
      </c>
      <c r="D100" s="4" t="s">
        <v>11</v>
      </c>
      <c r="E100" s="7" t="s">
        <v>12</v>
      </c>
    </row>
    <row r="101" spans="1:5" ht="22.05" customHeight="1">
      <c r="A101" s="4">
        <v>96</v>
      </c>
      <c r="B101" s="4" t="s">
        <v>17</v>
      </c>
      <c r="C101" s="12" t="str">
        <f>HYPERLINK("https://hdlbits.01xz.net/wiki/vector5","More replication")</f>
        <v>More replication</v>
      </c>
      <c r="D101" s="4" t="s">
        <v>11</v>
      </c>
      <c r="E101" s="7" t="s">
        <v>12</v>
      </c>
    </row>
    <row r="102" spans="1:5" ht="22.05" customHeight="1">
      <c r="A102" s="4">
        <v>97</v>
      </c>
      <c r="B102" s="4" t="s">
        <v>17</v>
      </c>
      <c r="C102" s="12" t="str">
        <f>HYPERLINK("https://hdlbits.01xz.net/wiki/exams/2014_q3bfsm","Q3b: FSM")</f>
        <v>Q3b: FSM</v>
      </c>
      <c r="D102" s="4" t="s">
        <v>11</v>
      </c>
      <c r="E102" s="7" t="s">
        <v>12</v>
      </c>
    </row>
    <row r="103" spans="1:5" ht="22.05" customHeight="1">
      <c r="A103" s="4">
        <v>98</v>
      </c>
      <c r="B103" s="4" t="s">
        <v>17</v>
      </c>
      <c r="C103" s="12" t="str">
        <f>HYPERLINK("https://hdlbits.01xz.net/wiki/sim/circuit6","Combinational circuit 6")</f>
        <v>Combinational circuit 6</v>
      </c>
      <c r="D103" s="4" t="s">
        <v>11</v>
      </c>
      <c r="E103" s="7" t="s">
        <v>12</v>
      </c>
    </row>
    <row r="104" spans="1:5" ht="22.05" customHeight="1">
      <c r="A104" s="4">
        <v>99</v>
      </c>
      <c r="B104" s="4" t="s">
        <v>17</v>
      </c>
      <c r="C104" s="12" t="str">
        <f>HYPERLINK("https://hdlbits.01xz.net/wiki/gatesv100","Even longer vectors")</f>
        <v>Even longer vectors</v>
      </c>
      <c r="D104" s="4" t="s">
        <v>11</v>
      </c>
      <c r="E104" s="7" t="s">
        <v>12</v>
      </c>
    </row>
    <row r="105" spans="1:5" ht="22.05" customHeight="1">
      <c r="A105" s="4">
        <v>100</v>
      </c>
      <c r="B105" s="4" t="s">
        <v>17</v>
      </c>
      <c r="C105" s="12" t="str">
        <f>HYPERLINK("https://hdlbits.01xz.net/wiki/count1to10","Decade counter again")</f>
        <v>Decade counter again</v>
      </c>
      <c r="D105" s="4" t="s">
        <v>11</v>
      </c>
      <c r="E105" s="7" t="s">
        <v>12</v>
      </c>
    </row>
    <row r="106" spans="1:5" ht="22.05" customHeight="1">
      <c r="A106" s="4">
        <v>101</v>
      </c>
      <c r="B106" s="4" t="s">
        <v>17</v>
      </c>
      <c r="C106" s="12" t="str">
        <f>HYPERLINK("https://hdlbits.01xz.net/wiki/module","Modules")</f>
        <v>Modules</v>
      </c>
      <c r="D106" s="4" t="s">
        <v>11</v>
      </c>
      <c r="E106" s="7" t="s">
        <v>12</v>
      </c>
    </row>
    <row r="107" spans="1:5" ht="22.05" customHeight="1">
      <c r="A107" s="4">
        <v>102</v>
      </c>
      <c r="B107" s="4" t="s">
        <v>17</v>
      </c>
      <c r="C107" s="12" t="str">
        <f>HYPERLINK("https://hdlbits.01xz.net/wiki/exams/2014_q3c","Q3c: FSM logic")</f>
        <v>Q3c: FSM logic</v>
      </c>
      <c r="D107" s="4" t="s">
        <v>11</v>
      </c>
      <c r="E107" s="26" t="str">
        <f>HYPERLINK("HDLBits_Day7_QA_FSM_Warnings_and_Counter_Interface.pdf","Day 7 Q&amp;A")</f>
        <v>Day 7 Q&amp;A</v>
      </c>
    </row>
    <row r="108" spans="1:5" ht="22.05" customHeight="1">
      <c r="A108" s="4">
        <v>103</v>
      </c>
      <c r="B108" s="4" t="s">
        <v>17</v>
      </c>
      <c r="C108" s="12" t="str">
        <f>HYPERLINK("https://hdlbits.01xz.net/wiki/mux2to1","2-to-1 multiplexer")</f>
        <v>2-to-1 multiplexer</v>
      </c>
      <c r="D108" s="4" t="s">
        <v>11</v>
      </c>
      <c r="E108" s="7" t="s">
        <v>12</v>
      </c>
    </row>
    <row r="109" spans="1:5" ht="22.05" customHeight="1">
      <c r="A109" s="4">
        <v>104</v>
      </c>
      <c r="B109" s="4" t="s">
        <v>17</v>
      </c>
      <c r="C109" s="12" t="str">
        <f>HYPERLINK("https://hdlbits.01xz.net/wiki/countslow","Slow decade counter")</f>
        <v>Slow decade counter</v>
      </c>
      <c r="D109" s="4" t="s">
        <v>11</v>
      </c>
      <c r="E109" s="7" t="s">
        <v>12</v>
      </c>
    </row>
    <row r="110" spans="1:5" ht="22.05" customHeight="1">
      <c r="A110" s="4">
        <v>105</v>
      </c>
      <c r="B110" s="4" t="s">
        <v>17</v>
      </c>
      <c r="C110" s="12" t="str">
        <f>HYPERLINK("https://hdlbits.01xz.net/wiki/module_pos","Connecting ports by position")</f>
        <v>Connecting ports by position</v>
      </c>
      <c r="D110" s="4" t="s">
        <v>11</v>
      </c>
      <c r="E110" s="7" t="s">
        <v>12</v>
      </c>
    </row>
    <row r="111" spans="1:5" ht="22.05" customHeight="1">
      <c r="A111" s="4">
        <v>106</v>
      </c>
      <c r="B111" s="4" t="s">
        <v>17</v>
      </c>
      <c r="C111" s="12" t="str">
        <f>HYPERLINK("https://hdlbits.01xz.net/wiki/sim/circuit7","Sequential circuit 7")</f>
        <v>Sequential circuit 7</v>
      </c>
      <c r="D111" s="4" t="s">
        <v>11</v>
      </c>
      <c r="E111" s="7" t="s">
        <v>12</v>
      </c>
    </row>
    <row r="112" spans="1:5" ht="22.05" customHeight="1">
      <c r="A112" s="4">
        <v>107</v>
      </c>
      <c r="B112" s="4" t="s">
        <v>17</v>
      </c>
      <c r="C112" s="12" t="str">
        <f>HYPERLINK("https://hdlbits.01xz.net/wiki/exams/m2014_q6b","Q6b: FSM next-state logic")</f>
        <v>Q6b: FSM next-state logic</v>
      </c>
      <c r="D112" s="4" t="s">
        <v>11</v>
      </c>
      <c r="E112" s="26" t="str">
        <f>HYPERLINK("HDLBits_Day7_QA_FSM_Warnings_and_Counter_Interface.pdf","Day 7 Q&amp;A")</f>
        <v>Day 7 Q&amp;A</v>
      </c>
    </row>
    <row r="113" spans="1:5" ht="22.05" customHeight="1">
      <c r="A113" s="4">
        <v>108</v>
      </c>
      <c r="B113" s="4" t="s">
        <v>18</v>
      </c>
      <c r="C113" s="12" t="str">
        <f>HYPERLINK("https://hdlbits.01xz.net/wiki/mux2to1v","2-to-1 bus multiplexer")</f>
        <v>2-to-1 bus multiplexer</v>
      </c>
      <c r="D113" s="4" t="s">
        <v>11</v>
      </c>
      <c r="E113" s="7" t="s">
        <v>12</v>
      </c>
    </row>
    <row r="114" spans="1:5" ht="22.05" customHeight="1">
      <c r="A114" s="4">
        <v>109</v>
      </c>
      <c r="B114" s="4" t="s">
        <v>18</v>
      </c>
      <c r="C114" s="12" t="str">
        <f>HYPERLINK("https://hdlbits.01xz.net/wiki/exams/ece241_2014_q7a","Counter 1-12")</f>
        <v>Counter 1-12</v>
      </c>
      <c r="D114" s="4" t="s">
        <v>11</v>
      </c>
      <c r="E114" s="26" t="str">
        <f>HYPERLINK("HDLBits_Day7_QA_FSM_Warnings_and_Counter_Interface.pdf","Day 7 Q&amp;A")</f>
        <v>Day 7 Q&amp;A</v>
      </c>
    </row>
    <row r="115" spans="1:5" ht="22.05" customHeight="1">
      <c r="A115" s="4">
        <v>110</v>
      </c>
      <c r="B115" s="4" t="s">
        <v>18</v>
      </c>
      <c r="C115" s="12" t="str">
        <f>HYPERLINK("https://hdlbits.01xz.net/wiki/module_name","Connecting ports by name")</f>
        <v>Connecting ports by name</v>
      </c>
      <c r="D115" s="4" t="s">
        <v>11</v>
      </c>
      <c r="E115" s="7" t="s">
        <v>12</v>
      </c>
    </row>
    <row r="116" spans="1:5" ht="22.05" customHeight="1">
      <c r="A116" s="4">
        <v>111</v>
      </c>
      <c r="B116" s="4" t="s">
        <v>18</v>
      </c>
      <c r="C116" s="12" t="str">
        <f>HYPERLINK("https://hdlbits.01xz.net/wiki/mux9to1v","9-to-1 multiplexer")</f>
        <v>9-to-1 multiplexer</v>
      </c>
      <c r="D116" s="4" t="s">
        <v>11</v>
      </c>
      <c r="E116" s="7" t="s">
        <v>12</v>
      </c>
    </row>
    <row r="117" spans="1:5" ht="22.05" customHeight="1">
      <c r="A117" s="4">
        <v>112</v>
      </c>
      <c r="B117" s="4" t="s">
        <v>18</v>
      </c>
      <c r="C117" s="12" t="str">
        <f>HYPERLINK("https://hdlbits.01xz.net/wiki/exams/m2014_q6c","Q6c: FSM one-hot next-state logic")</f>
        <v>Q6c: FSM one-hot next-state logic</v>
      </c>
      <c r="D117" s="4" t="s">
        <v>11</v>
      </c>
      <c r="E117" s="7" t="s">
        <v>12</v>
      </c>
    </row>
    <row r="118" spans="1:5" ht="22.05" customHeight="1">
      <c r="A118" s="4">
        <v>113</v>
      </c>
      <c r="B118" s="4" t="s">
        <v>18</v>
      </c>
      <c r="C118" s="12" t="str">
        <f>HYPERLINK("https://hdlbits.01xz.net/wiki/exams/ece241_2014_q7b","Counter 1000")</f>
        <v>Counter 1000</v>
      </c>
      <c r="D118" s="4" t="s">
        <v>11</v>
      </c>
      <c r="E118" s="7" t="s">
        <v>12</v>
      </c>
    </row>
    <row r="119" spans="1:5" ht="22.05" customHeight="1">
      <c r="A119" s="4">
        <v>114</v>
      </c>
      <c r="B119" s="4" t="s">
        <v>18</v>
      </c>
      <c r="C119" s="12" t="str">
        <f>HYPERLINK("https://hdlbits.01xz.net/wiki/sim/circuit8","Sequential circuit 8")</f>
        <v>Sequential circuit 8</v>
      </c>
      <c r="D119" s="4" t="s">
        <v>11</v>
      </c>
      <c r="E119" s="7" t="s">
        <v>12</v>
      </c>
    </row>
    <row r="120" spans="1:5" ht="22.05" customHeight="1">
      <c r="A120" s="4">
        <v>115</v>
      </c>
      <c r="B120" s="4" t="s">
        <v>18</v>
      </c>
      <c r="C120" s="12" t="str">
        <f>HYPERLINK("https://hdlbits.01xz.net/wiki/mux256to1","256-to-1 multiplexer")</f>
        <v>256-to-1 multiplexer</v>
      </c>
      <c r="D120" s="4" t="s">
        <v>11</v>
      </c>
      <c r="E120" s="7" t="s">
        <v>12</v>
      </c>
    </row>
    <row r="121" spans="1:5" ht="22.05" customHeight="1">
      <c r="A121" s="4">
        <v>116</v>
      </c>
      <c r="B121" s="4" t="s">
        <v>18</v>
      </c>
      <c r="C121" s="12" t="str">
        <f>HYPERLINK("https://hdlbits.01xz.net/wiki/module_shift","Three modules")</f>
        <v>Three modules</v>
      </c>
      <c r="D121" s="4" t="s">
        <v>11</v>
      </c>
      <c r="E121" s="7" t="s">
        <v>12</v>
      </c>
    </row>
    <row r="122" spans="1:5" ht="22.05" customHeight="1">
      <c r="A122" s="4">
        <v>117</v>
      </c>
      <c r="B122" s="4" t="s">
        <v>18</v>
      </c>
      <c r="C122" s="12" t="str">
        <f>HYPERLINK("https://hdlbits.01xz.net/wiki/exams/m2014_q6","Q6: FSM")</f>
        <v>Q6: FSM</v>
      </c>
      <c r="D122" s="4" t="s">
        <v>11</v>
      </c>
      <c r="E122" s="7" t="s">
        <v>12</v>
      </c>
    </row>
    <row r="123" spans="1:5" ht="22.05" customHeight="1">
      <c r="A123" s="4">
        <v>118</v>
      </c>
      <c r="B123" s="4" t="s">
        <v>18</v>
      </c>
      <c r="C123" s="12" t="str">
        <f>HYPERLINK("https://hdlbits.01xz.net/wiki/countbcd","4-digit decimal counter")</f>
        <v>4-digit decimal counter</v>
      </c>
      <c r="D123" s="4" t="s">
        <v>11</v>
      </c>
      <c r="E123" s="7" t="s">
        <v>12</v>
      </c>
    </row>
    <row r="124" spans="1:5" ht="22.05" customHeight="1">
      <c r="A124" s="4">
        <v>119</v>
      </c>
      <c r="B124" s="4" t="s">
        <v>18</v>
      </c>
      <c r="C124" s="12" t="str">
        <f>HYPERLINK("https://hdlbits.01xz.net/wiki/mux256to1v","256-to-1 4-bit multiplexer")</f>
        <v>256-to-1 4-bit multiplexer</v>
      </c>
      <c r="D124" s="4" t="s">
        <v>11</v>
      </c>
      <c r="E124" s="7" t="s">
        <v>12</v>
      </c>
    </row>
    <row r="125" spans="1:5" ht="22.05" customHeight="1">
      <c r="A125" s="4">
        <v>120</v>
      </c>
      <c r="B125" s="4" t="s">
        <v>18</v>
      </c>
      <c r="C125" s="12" t="str">
        <f>HYPERLINK("https://hdlbits.01xz.net/wiki/module_shift8","Modules and vectors")</f>
        <v>Modules and vectors</v>
      </c>
      <c r="D125" s="4" t="s">
        <v>11</v>
      </c>
      <c r="E125" s="7" t="s">
        <v>12</v>
      </c>
    </row>
    <row r="126" spans="1:5" ht="22.05" customHeight="1">
      <c r="A126" s="4">
        <v>121</v>
      </c>
      <c r="B126" s="4" t="s">
        <v>18</v>
      </c>
      <c r="C126" s="12" t="str">
        <f>HYPERLINK("https://hdlbits.01xz.net/wiki/sim/circuit9","Sequential circuit 9")</f>
        <v>Sequential circuit 9</v>
      </c>
      <c r="D126" s="4" t="s">
        <v>11</v>
      </c>
      <c r="E126" s="7" t="s">
        <v>12</v>
      </c>
    </row>
    <row r="127" spans="1:5" ht="22.05" customHeight="1">
      <c r="A127" s="4">
        <v>122</v>
      </c>
      <c r="B127" s="4" t="s">
        <v>18</v>
      </c>
      <c r="C127" s="12" t="str">
        <f>HYPERLINK("https://hdlbits.01xz.net/wiki/hadd","Half adder")</f>
        <v>Half adder</v>
      </c>
      <c r="D127" s="4" t="s">
        <v>11</v>
      </c>
      <c r="E127" s="7" t="s">
        <v>12</v>
      </c>
    </row>
    <row r="128" spans="1:5" ht="22.05" customHeight="1">
      <c r="A128" s="4">
        <v>123</v>
      </c>
      <c r="B128" s="4" t="s">
        <v>18</v>
      </c>
      <c r="C128" s="12" t="str">
        <f>HYPERLINK("https://hdlbits.01xz.net/wiki/count_clock","12-hour clock")</f>
        <v>12-hour clock</v>
      </c>
      <c r="D128" s="4" t="s">
        <v>19</v>
      </c>
      <c r="E128" s="26" t="str">
        <f>HYPERLINK("HDLBits_Day8_QA_Wire_Reg_and_Shift_Reset.pdf","Day 8 Q&amp;A")</f>
        <v>Day 8 Q&amp;A</v>
      </c>
    </row>
    <row r="129" spans="1:5" ht="22.05" customHeight="1">
      <c r="A129" s="4">
        <v>124</v>
      </c>
      <c r="B129" s="4" t="s">
        <v>18</v>
      </c>
      <c r="C129" s="12" t="str">
        <f>HYPERLINK("https://hdlbits.01xz.net/wiki/exams/2012_q2fsm","Q2a: FSM")</f>
        <v>Q2a: FSM</v>
      </c>
      <c r="D129" s="4" t="inlineStr">
        <is>
          <t>Done</t>
        </is>
      </c>
      <c r="E129" s="7" t="inlineStr">
        <is>
          <t>No questions asked</t>
        </is>
      </c>
    </row>
    <row r="130" spans="1:5" ht="22.05" customHeight="1">
      <c r="A130" s="4">
        <v>125</v>
      </c>
      <c r="B130" s="4" t="s">
        <v>18</v>
      </c>
      <c r="C130" s="12" t="str">
        <f>HYPERLINK("https://hdlbits.01xz.net/wiki/module_add","Adder 1")</f>
        <v>Adder 1</v>
      </c>
      <c r="D130" s="4" t="inlineStr">
        <is>
          <t>Done</t>
        </is>
      </c>
      <c r="E130" s="7" t="inlineStr">
        <is>
          <t>No questions asked</t>
        </is>
      </c>
    </row>
    <row r="131" spans="1:5" ht="22.05" customHeight="1">
      <c r="A131" s="4">
        <v>126</v>
      </c>
      <c r="B131" s="4" t="s">
        <v>20</v>
      </c>
      <c r="C131" s="12" t="str">
        <f>HYPERLINK("https://hdlbits.01xz.net/wiki/fadd","Full adder")</f>
        <v>Full adder</v>
      </c>
      <c r="D131" s="4" t="inlineStr">
        <is>
          <t>Done</t>
        </is>
      </c>
      <c r="E131" s="7" t="inlineStr">
        <is>
          <t>No questions asked</t>
        </is>
      </c>
    </row>
    <row r="132" spans="1:5" ht="22.05" customHeight="1">
      <c r="A132" s="4">
        <v>127</v>
      </c>
      <c r="B132" s="4" t="s">
        <v>20</v>
      </c>
      <c r="C132" s="12" t="str">
        <f>HYPERLINK("https://hdlbits.01xz.net/wiki/shift4","4-bit shift register")</f>
        <v>4-bit shift register</v>
      </c>
      <c r="D132" s="4" t="inlineStr">
        <is>
          <t>Done</t>
        </is>
      </c>
      <c r="E132" s="26" t="str">
        <f>HYPERLINK("HDLBits_Day8_QA_Wire_Reg_and_Shift_Reset.pdf","Day 8 Q&amp;A")</f>
        <v>Day 8 Q&amp;A</v>
      </c>
    </row>
    <row r="133" spans="1:5" ht="22.05" customHeight="1">
      <c r="A133" s="4">
        <v>128</v>
      </c>
      <c r="B133" s="4" t="s">
        <v>20</v>
      </c>
      <c r="C133" s="12" t="str">
        <f>HYPERLINK("https://hdlbits.01xz.net/wiki/exams/2012_q2b","Q2b: One-hot FSM equations")</f>
        <v>Q2b: One-hot FSM equations</v>
      </c>
      <c r="D133" s="4" t="s">
        <v>19</v>
      </c>
      <c r="E133" s="7"/>
    </row>
    <row r="134" spans="1:5" ht="22.05" customHeight="1">
      <c r="A134" s="4">
        <v>129</v>
      </c>
      <c r="B134" s="4" t="s">
        <v>20</v>
      </c>
      <c r="C134" s="12" t="str">
        <f>HYPERLINK("https://hdlbits.01xz.net/wiki/module_fadd","Adder 2")</f>
        <v>Adder 2</v>
      </c>
      <c r="D134" s="4" t="inlineStr">
        <is>
          <t>Done</t>
        </is>
      </c>
      <c r="E134" s="26" t="str">
        <f>HYPERLINK("HDLBits_Day8_QA_Wire_Reg_and_Shift_Reset.pdf","Day 8 Q&amp;A")</f>
        <v>Day 8 Q&amp;A</v>
      </c>
    </row>
    <row r="135" spans="1:5" ht="22.05" customHeight="1">
      <c r="A135" s="4">
        <v>130</v>
      </c>
      <c r="B135" s="4" t="s">
        <v>20</v>
      </c>
      <c r="C135" s="12" t="str">
        <f>HYPERLINK("https://hdlbits.01xz.net/wiki/adder3","3-bit binary adder")</f>
        <v>3-bit binary adder</v>
      </c>
      <c r="D135" s="4" t="inlineStr">
        <is>
          <t>Done</t>
        </is>
      </c>
      <c r="E135" s="7" t="inlineStr">
        <is>
          <t>No questions asked</t>
        </is>
      </c>
    </row>
    <row r="136" spans="1:5" ht="22.05" customHeight="1">
      <c r="A136" s="4">
        <v>131</v>
      </c>
      <c r="B136" s="4" t="s">
        <v>20</v>
      </c>
      <c r="C136" s="12" t="str">
        <f>HYPERLINK("https://hdlbits.01xz.net/wiki/rotate100","Left/right rotator")</f>
        <v>Left/right rotator</v>
      </c>
      <c r="D136" s="4" t="s">
        <v>19</v>
      </c>
      <c r="E136" s="7"/>
    </row>
    <row r="137" spans="1:5" ht="22.05" customHeight="1">
      <c r="A137" s="4">
        <v>132</v>
      </c>
      <c r="B137" s="4" t="s">
        <v>20</v>
      </c>
      <c r="C137" s="12" t="str">
        <f>HYPERLINK("https://hdlbits.01xz.net/wiki/sim/circuit10","Sequential circuit 10")</f>
        <v>Sequential circuit 10</v>
      </c>
      <c r="D137" s="4" t="s">
        <v>19</v>
      </c>
      <c r="E137" s="7"/>
    </row>
    <row r="138" spans="1:5" ht="22.05" customHeight="1">
      <c r="A138" s="4">
        <v>133</v>
      </c>
      <c r="B138" s="4" t="s">
        <v>20</v>
      </c>
      <c r="C138" s="12" t="str">
        <f>HYPERLINK("https://hdlbits.01xz.net/wiki/exams/2013_q2afsm","Q2a: FSM")</f>
        <v>Q2a: FSM</v>
      </c>
      <c r="D138" s="4" t="s">
        <v>19</v>
      </c>
      <c r="E138" s="7"/>
    </row>
    <row r="139" spans="1:5" ht="22.05" customHeight="1">
      <c r="A139" s="4">
        <v>134</v>
      </c>
      <c r="B139" s="4" t="s">
        <v>20</v>
      </c>
      <c r="C139" s="12" t="str">
        <f>HYPERLINK("https://hdlbits.01xz.net/wiki/module_cseladd","Carry-select adder")</f>
        <v>Carry-select adder</v>
      </c>
      <c r="D139" s="4" t="s">
        <v>19</v>
      </c>
      <c r="E139" s="7"/>
    </row>
    <row r="140" spans="1:5" ht="22.05" customHeight="1">
      <c r="A140" s="4">
        <v>135</v>
      </c>
      <c r="B140" s="4" t="s">
        <v>20</v>
      </c>
      <c r="C140" s="12" t="str">
        <f>HYPERLINK("https://hdlbits.01xz.net/wiki/exams/m2014_q4j","Adder")</f>
        <v>Adder</v>
      </c>
      <c r="D140" s="4" t="s">
        <v>19</v>
      </c>
      <c r="E140" s="7"/>
    </row>
    <row r="141" spans="1:5" ht="22.05" customHeight="1">
      <c r="A141" s="4">
        <v>136</v>
      </c>
      <c r="B141" s="4" t="s">
        <v>20</v>
      </c>
      <c r="C141" s="12" t="str">
        <f>HYPERLINK("https://hdlbits.01xz.net/wiki/shift18","Left/right arithmetic shift by 1 or 8")</f>
        <v>Left/right arithmetic shift by 1 or 8</v>
      </c>
      <c r="D141" s="4" t="s">
        <v>19</v>
      </c>
      <c r="E141" s="7"/>
    </row>
    <row r="142" spans="1:5" ht="22.05" customHeight="1">
      <c r="A142" s="4">
        <v>137</v>
      </c>
      <c r="B142" s="4" t="s">
        <v>20</v>
      </c>
      <c r="C142" s="12" t="str">
        <f>HYPERLINK("https://hdlbits.01xz.net/wiki/exams/ece241_2014_q1c","Signed addition overflow")</f>
        <v>Signed addition overflow</v>
      </c>
      <c r="D142" s="4" t="s">
        <v>19</v>
      </c>
      <c r="E142" s="7"/>
    </row>
    <row r="143" spans="1:5" ht="22.05" customHeight="1">
      <c r="A143" s="4">
        <v>138</v>
      </c>
      <c r="B143" s="4" t="s">
        <v>20</v>
      </c>
      <c r="C143" s="12" t="str">
        <f>HYPERLINK("https://hdlbits.01xz.net/wiki/module_addsub","Adder-subtractor")</f>
        <v>Adder-subtractor</v>
      </c>
      <c r="D143" s="4" t="s">
        <v>19</v>
      </c>
      <c r="E143" s="7"/>
    </row>
    <row r="144" spans="1:5" ht="22.05" customHeight="1">
      <c r="A144" s="4">
        <v>139</v>
      </c>
      <c r="B144" s="4" t="s">
        <v>20</v>
      </c>
      <c r="C144" s="12" t="str">
        <f>HYPERLINK("https://hdlbits.01xz.net/wiki/exams/2013_q2bfsm","Q2b: Another FSM")</f>
        <v>Q2b: Another FSM</v>
      </c>
      <c r="D144" s="4" t="s">
        <v>19</v>
      </c>
      <c r="E144" s="7"/>
    </row>
    <row r="145" spans="1:5" ht="22.05" customHeight="1">
      <c r="A145" s="4">
        <v>140</v>
      </c>
      <c r="B145" s="4" t="s">
        <v>20</v>
      </c>
      <c r="C145" s="12" t="str">
        <f>HYPERLINK("https://hdlbits.01xz.net/wiki/tb/clock","Clock")</f>
        <v>Clock</v>
      </c>
      <c r="D145" s="4" t="s">
        <v>19</v>
      </c>
      <c r="E145" s="7"/>
    </row>
    <row r="146" spans="1:5" ht="22.05" customHeight="1">
      <c r="A146" s="4">
        <v>141</v>
      </c>
      <c r="B146" s="4" t="s">
        <v>20</v>
      </c>
      <c r="C146" s="12" t="str">
        <f>HYPERLINK("https://hdlbits.01xz.net/wiki/lfsr5","5-bit LFSR")</f>
        <v>5-bit LFSR</v>
      </c>
      <c r="D146" s="4" t="s">
        <v>19</v>
      </c>
      <c r="E146" s="7"/>
    </row>
    <row r="147" spans="1:5" ht="22.05" customHeight="1">
      <c r="A147" s="4">
        <v>142</v>
      </c>
      <c r="B147" s="4" t="s">
        <v>20</v>
      </c>
      <c r="C147" s="12" t="str">
        <f>HYPERLINK("https://hdlbits.01xz.net/wiki/adder100","100-bit binary adder")</f>
        <v>100-bit binary adder</v>
      </c>
      <c r="D147" s="4" t="s">
        <v>19</v>
      </c>
      <c r="E147" s="7"/>
    </row>
    <row r="148" spans="1:5" ht="22.05" customHeight="1">
      <c r="A148" s="4">
        <v>143</v>
      </c>
      <c r="B148" s="4" t="s">
        <v>20</v>
      </c>
      <c r="C148" s="12" t="str">
        <f>HYPERLINK("https://hdlbits.01xz.net/wiki/alwaysblock1","Always blocks (combinational)")</f>
        <v>Always blocks (combinational)</v>
      </c>
      <c r="D148" s="4" t="s">
        <v>19</v>
      </c>
      <c r="E148" s="7"/>
    </row>
    <row r="149" spans="1:5" ht="22.05" customHeight="1">
      <c r="A149" s="4">
        <v>144</v>
      </c>
      <c r="B149" s="4" t="s">
        <v>21</v>
      </c>
      <c r="C149" s="12" t="str">
        <f>HYPERLINK("https://hdlbits.01xz.net/wiki/exams/review2015_count1k","Counter with period 1000")</f>
        <v>Counter with period 1000</v>
      </c>
      <c r="D149" s="4" t="s">
        <v>19</v>
      </c>
      <c r="E149" s="7"/>
    </row>
    <row r="150" spans="1:5" ht="22.05" customHeight="1">
      <c r="A150" s="4">
        <v>145</v>
      </c>
      <c r="B150" s="4" t="s">
        <v>21</v>
      </c>
      <c r="C150" s="12" t="str">
        <f>HYPERLINK("https://hdlbits.01xz.net/wiki/mt2015_lfsr","3-bit LFSR")</f>
        <v>3-bit LFSR</v>
      </c>
      <c r="D150" s="4" t="s">
        <v>19</v>
      </c>
      <c r="E150" s="7"/>
    </row>
    <row r="151" spans="1:5" ht="22.05" customHeight="1">
      <c r="A151" s="4">
        <v>146</v>
      </c>
      <c r="B151" s="4" t="s">
        <v>21</v>
      </c>
      <c r="C151" s="12" t="str">
        <f>HYPERLINK("https://hdlbits.01xz.net/wiki/bcdadd4","4-digit BCD adder")</f>
        <v>4-digit BCD adder</v>
      </c>
      <c r="D151" s="4" t="s">
        <v>19</v>
      </c>
      <c r="E151" s="7"/>
    </row>
    <row r="152" spans="1:5" ht="22.05" customHeight="1">
      <c r="A152" s="4">
        <v>147</v>
      </c>
      <c r="B152" s="4" t="s">
        <v>21</v>
      </c>
      <c r="C152" s="12" t="str">
        <f>HYPERLINK("https://hdlbits.01xz.net/wiki/alwaysblock2","Always blocks (clocked)")</f>
        <v>Always blocks (clocked)</v>
      </c>
      <c r="D152" s="4" t="s">
        <v>19</v>
      </c>
      <c r="E152" s="7"/>
    </row>
    <row r="153" spans="1:5" ht="22.05" customHeight="1">
      <c r="A153" s="4">
        <v>148</v>
      </c>
      <c r="B153" s="4" t="s">
        <v>21</v>
      </c>
      <c r="C153" s="12" t="str">
        <f>HYPERLINK("https://hdlbits.01xz.net/wiki/tb/tb1","Testbench1")</f>
        <v>Testbench1</v>
      </c>
      <c r="D153" s="4" t="s">
        <v>19</v>
      </c>
      <c r="E153" s="7"/>
    </row>
    <row r="154" spans="1:5" ht="22.05" customHeight="1">
      <c r="A154" s="4">
        <v>149</v>
      </c>
      <c r="B154" s="4" t="s">
        <v>21</v>
      </c>
      <c r="C154" s="12" t="str">
        <f>HYPERLINK("https://hdlbits.01xz.net/wiki/exams/review2015_shiftcount","4-bit shift register and down counter")</f>
        <v>4-bit shift register and down counter</v>
      </c>
      <c r="D154" s="4" t="s">
        <v>19</v>
      </c>
      <c r="E154" s="7"/>
    </row>
    <row r="155" spans="1:5" ht="22.05" customHeight="1">
      <c r="A155" s="4">
        <v>150</v>
      </c>
      <c r="B155" s="4" t="s">
        <v>21</v>
      </c>
      <c r="C155" s="12" t="str">
        <f>HYPERLINK("https://hdlbits.01xz.net/wiki/kmap1","3-variable")</f>
        <v>3-variable</v>
      </c>
      <c r="D155" s="4" t="s">
        <v>19</v>
      </c>
      <c r="E155" s="7"/>
    </row>
    <row r="156" spans="1:5" ht="22.05" customHeight="1">
      <c r="A156" s="4">
        <v>151</v>
      </c>
      <c r="B156" s="4" t="s">
        <v>21</v>
      </c>
      <c r="C156" s="12" t="str">
        <f>HYPERLINK("https://hdlbits.01xz.net/wiki/lfsr32","32-bit LFSR")</f>
        <v>32-bit LFSR</v>
      </c>
      <c r="D156" s="4" t="s">
        <v>19</v>
      </c>
      <c r="E156" s="7"/>
    </row>
    <row r="157" spans="1:5" ht="22.05" customHeight="1">
      <c r="A157" s="4">
        <v>152</v>
      </c>
      <c r="B157" s="4" t="s">
        <v>21</v>
      </c>
      <c r="C157" s="12" t="str">
        <f>HYPERLINK("https://hdlbits.01xz.net/wiki/always_if","If statement")</f>
        <v>If statement</v>
      </c>
      <c r="D157" s="4" t="s">
        <v>19</v>
      </c>
      <c r="E157" s="7"/>
    </row>
    <row r="158" spans="1:5" ht="22.05" customHeight="1">
      <c r="A158" s="4">
        <v>153</v>
      </c>
      <c r="B158" s="4" t="s">
        <v>21</v>
      </c>
      <c r="C158" s="12" t="str">
        <f>HYPERLINK("https://hdlbits.01xz.net/wiki/kmap2","4-variable")</f>
        <v>4-variable</v>
      </c>
      <c r="D158" s="4" t="s">
        <v>19</v>
      </c>
      <c r="E158" s="7"/>
    </row>
    <row r="159" spans="1:5" ht="22.05" customHeight="1">
      <c r="A159" s="4">
        <v>154</v>
      </c>
      <c r="B159" s="4" t="s">
        <v>21</v>
      </c>
      <c r="C159" s="12" t="str">
        <f>HYPERLINK("https://hdlbits.01xz.net/wiki/exams/m2014_q4k","Shift register")</f>
        <v>Shift register</v>
      </c>
      <c r="D159" s="4" t="s">
        <v>19</v>
      </c>
      <c r="E159" s="7"/>
    </row>
    <row r="160" spans="1:5" ht="22.05" customHeight="1">
      <c r="A160" s="4">
        <v>155</v>
      </c>
      <c r="B160" s="4" t="s">
        <v>21</v>
      </c>
      <c r="C160" s="12" t="str">
        <f>HYPERLINK("https://hdlbits.01xz.net/wiki/exams/review2015_fsmseq","FSM: Sequence 1101 recognizer")</f>
        <v>FSM: Sequence 1101 recognizer</v>
      </c>
      <c r="D160" s="4" t="s">
        <v>19</v>
      </c>
      <c r="E160" s="7"/>
    </row>
    <row r="161" spans="1:5" ht="22.05" customHeight="1">
      <c r="A161" s="4">
        <v>156</v>
      </c>
      <c r="B161" s="4" t="s">
        <v>21</v>
      </c>
      <c r="C161" s="12" t="str">
        <f>HYPERLINK("https://hdlbits.01xz.net/wiki/tb/and","AND gate")</f>
        <v>AND gate</v>
      </c>
      <c r="D161" s="4" t="s">
        <v>19</v>
      </c>
      <c r="E161" s="7"/>
    </row>
    <row r="162" spans="1:5" ht="22.05" customHeight="1">
      <c r="A162" s="4">
        <v>157</v>
      </c>
      <c r="B162" s="4" t="s">
        <v>21</v>
      </c>
      <c r="C162" s="12" t="str">
        <f>HYPERLINK("https://hdlbits.01xz.net/wiki/kmap3","4-variable")</f>
        <v>4-variable</v>
      </c>
      <c r="D162" s="4" t="s">
        <v>19</v>
      </c>
      <c r="E162" s="7"/>
    </row>
    <row r="163" spans="1:5" ht="22.05" customHeight="1">
      <c r="A163" s="4">
        <v>158</v>
      </c>
      <c r="B163" s="4" t="s">
        <v>21</v>
      </c>
      <c r="C163" s="12" t="str">
        <f>HYPERLINK("https://hdlbits.01xz.net/wiki/always_if2","If statement latches")</f>
        <v>If statement latches</v>
      </c>
      <c r="D163" s="4" t="s">
        <v>19</v>
      </c>
      <c r="E163" s="7"/>
    </row>
    <row r="164" spans="1:5" ht="22.05" customHeight="1">
      <c r="A164" s="4">
        <v>159</v>
      </c>
      <c r="B164" s="4" t="s">
        <v>21</v>
      </c>
      <c r="C164" s="12" t="str">
        <f>HYPERLINK("https://hdlbits.01xz.net/wiki/exams/2014_q4b","Shift register")</f>
        <v>Shift register</v>
      </c>
      <c r="D164" s="4" t="s">
        <v>19</v>
      </c>
      <c r="E164" s="7"/>
    </row>
    <row r="165" spans="1:5" ht="22.05" customHeight="1">
      <c r="A165" s="4">
        <v>160</v>
      </c>
      <c r="B165" s="4" t="s">
        <v>21</v>
      </c>
      <c r="C165" s="12" t="str">
        <f>HYPERLINK("https://hdlbits.01xz.net/wiki/exams/review2015_fsmshift","FSM: Enable shift register")</f>
        <v>FSM: Enable shift register</v>
      </c>
      <c r="D165" s="4" t="s">
        <v>19</v>
      </c>
      <c r="E165" s="7"/>
    </row>
    <row r="166" spans="1:5" ht="22.05" customHeight="1">
      <c r="A166" s="4">
        <v>161</v>
      </c>
      <c r="B166" s="4" t="s">
        <v>21</v>
      </c>
      <c r="C166" s="12" t="str">
        <f>HYPERLINK("https://hdlbits.01xz.net/wiki/kmap4","4-variable")</f>
        <v>4-variable</v>
      </c>
      <c r="D166" s="4" t="s">
        <v>19</v>
      </c>
      <c r="E166" s="7"/>
    </row>
    <row r="167" spans="1:5" ht="22.05" customHeight="1">
      <c r="A167" s="4">
        <v>162</v>
      </c>
      <c r="B167" s="4" t="s">
        <v>22</v>
      </c>
      <c r="C167" s="12" t="str">
        <f>HYPERLINK("https://hdlbits.01xz.net/wiki/bugs_case","Case statement")</f>
        <v>Case statement</v>
      </c>
      <c r="D167" s="4" t="s">
        <v>19</v>
      </c>
      <c r="E167" s="7"/>
    </row>
    <row r="168" spans="1:5" ht="22.05" customHeight="1">
      <c r="A168" s="4">
        <v>163</v>
      </c>
      <c r="B168" s="4" t="s">
        <v>22</v>
      </c>
      <c r="C168" s="12" t="str">
        <f>HYPERLINK("https://hdlbits.01xz.net/wiki/exams/ece241_2013_q12","3-input LUT")</f>
        <v>3-input LUT</v>
      </c>
      <c r="D168" s="4" t="s">
        <v>19</v>
      </c>
      <c r="E168" s="7"/>
    </row>
    <row r="169" spans="1:5" ht="22.05" customHeight="1">
      <c r="A169" s="4">
        <v>164</v>
      </c>
      <c r="B169" s="4" t="s">
        <v>22</v>
      </c>
      <c r="C169" s="12" t="str">
        <f>HYPERLINK("https://hdlbits.01xz.net/wiki/exams/ece241_2013_q2","Minimum SOP and POS")</f>
        <v>Minimum SOP and POS</v>
      </c>
      <c r="D169" s="4" t="s">
        <v>19</v>
      </c>
      <c r="E169" s="7"/>
    </row>
    <row r="170" spans="1:5" ht="22.05" customHeight="1">
      <c r="A170" s="4">
        <v>165</v>
      </c>
      <c r="B170" s="4" t="s">
        <v>22</v>
      </c>
      <c r="C170" s="12" t="str">
        <f>HYPERLINK("https://hdlbits.01xz.net/wiki/exams/review2015_fsm","FSM: The complete FSM")</f>
        <v>FSM: The complete FSM</v>
      </c>
      <c r="D170" s="4" t="s">
        <v>19</v>
      </c>
      <c r="E170" s="7"/>
    </row>
    <row r="171" spans="1:5" ht="22.05" customHeight="1">
      <c r="A171" s="4">
        <v>166</v>
      </c>
      <c r="B171" s="4" t="s">
        <v>22</v>
      </c>
      <c r="C171" s="12" t="str">
        <f>HYPERLINK("https://hdlbits.01xz.net/wiki/tb/tb2","Testbench2")</f>
        <v>Testbench2</v>
      </c>
      <c r="D171" s="4" t="s">
        <v>19</v>
      </c>
      <c r="E171" s="7"/>
    </row>
    <row r="172" spans="1:5" ht="22.05" customHeight="1">
      <c r="A172" s="4">
        <v>167</v>
      </c>
      <c r="B172" s="4" t="s">
        <v>22</v>
      </c>
      <c r="C172" s="12" t="str">
        <f>HYPERLINK("https://hdlbits.01xz.net/wiki/always_case2","Priority encoder")</f>
        <v>Priority encoder</v>
      </c>
      <c r="D172" s="4" t="s">
        <v>19</v>
      </c>
      <c r="E172" s="7"/>
    </row>
    <row r="173" spans="1:5" ht="22.05" customHeight="1">
      <c r="A173" s="4">
        <v>168</v>
      </c>
      <c r="B173" s="4" t="s">
        <v>22</v>
      </c>
      <c r="C173" s="12" t="str">
        <f>HYPERLINK("https://hdlbits.01xz.net/wiki/rule90","Rule 90")</f>
        <v>Rule 90</v>
      </c>
      <c r="D173" s="4" t="s">
        <v>19</v>
      </c>
      <c r="E173" s="7"/>
    </row>
    <row r="174" spans="1:5" ht="22.05" customHeight="1">
      <c r="A174" s="4">
        <v>169</v>
      </c>
      <c r="B174" s="4" t="s">
        <v>22</v>
      </c>
      <c r="C174" s="12" t="str">
        <f>HYPERLINK("https://hdlbits.01xz.net/wiki/exams/m2014_q3","Karnaugh map")</f>
        <v>Karnaugh map</v>
      </c>
      <c r="D174" s="4" t="s">
        <v>19</v>
      </c>
      <c r="E174" s="7"/>
    </row>
    <row r="175" spans="1:5" ht="22.05" customHeight="1">
      <c r="A175" s="4">
        <v>170</v>
      </c>
      <c r="B175" s="4" t="s">
        <v>22</v>
      </c>
      <c r="C175" s="12" t="str">
        <f>HYPERLINK("https://hdlbits.01xz.net/wiki/exams/review2015_fancytimer","The complete timer")</f>
        <v>The complete timer</v>
      </c>
      <c r="D175" s="4" t="s">
        <v>19</v>
      </c>
      <c r="E175" s="7"/>
    </row>
    <row r="176" spans="1:5" ht="22.05" customHeight="1">
      <c r="A176" s="4">
        <v>171</v>
      </c>
      <c r="B176" s="4" t="s">
        <v>22</v>
      </c>
      <c r="C176" s="12" t="str">
        <f>HYPERLINK("https://hdlbits.01xz.net/wiki/always_casez","Priority encoder with casez")</f>
        <v>Priority encoder with casez</v>
      </c>
      <c r="D176" s="4" t="s">
        <v>19</v>
      </c>
      <c r="E176" s="7"/>
    </row>
    <row r="177" spans="1:5" ht="22.05" customHeight="1">
      <c r="A177" s="4">
        <v>172</v>
      </c>
      <c r="B177" s="4" t="s">
        <v>22</v>
      </c>
      <c r="C177" s="12" t="str">
        <f>HYPERLINK("https://hdlbits.01xz.net/wiki/rule110","Rule 110")</f>
        <v>Rule 110</v>
      </c>
      <c r="D177" s="4" t="s">
        <v>19</v>
      </c>
      <c r="E177" s="7"/>
    </row>
    <row r="178" spans="1:5" ht="22.05" customHeight="1">
      <c r="A178" s="4">
        <v>173</v>
      </c>
      <c r="B178" s="4" t="s">
        <v>22</v>
      </c>
      <c r="C178" s="12" t="str">
        <f>HYPERLINK("https://hdlbits.01xz.net/wiki/exams/2012_q1g","Karnaugh map")</f>
        <v>Karnaugh map</v>
      </c>
      <c r="D178" s="4" t="s">
        <v>19</v>
      </c>
      <c r="E178" s="7"/>
    </row>
    <row r="179" spans="1:5" ht="22.05" customHeight="1">
      <c r="A179" s="4">
        <v>174</v>
      </c>
      <c r="B179" s="4" t="s">
        <v>22</v>
      </c>
      <c r="C179" s="12" t="str">
        <f>HYPERLINK("https://hdlbits.01xz.net/wiki/tb/tff","T flip-flop")</f>
        <v>T flip-flop</v>
      </c>
      <c r="D179" s="4" t="s">
        <v>19</v>
      </c>
      <c r="E179" s="7"/>
    </row>
    <row r="180" spans="1:5" ht="22.05" customHeight="1">
      <c r="A180" s="4">
        <v>175</v>
      </c>
      <c r="B180" s="4" t="s">
        <v>22</v>
      </c>
      <c r="C180" s="12" t="str">
        <f>HYPERLINK("https://hdlbits.01xz.net/wiki/exams/review2015_fsmonehot","FSM: One-hot logic equations")</f>
        <v>FSM: One-hot logic equations</v>
      </c>
      <c r="D180" s="4" t="s">
        <v>19</v>
      </c>
      <c r="E180" s="7"/>
    </row>
    <row r="181" spans="1:5" ht="22.05" customHeight="1">
      <c r="A181" s="4">
        <v>176</v>
      </c>
      <c r="B181" s="4" t="s">
        <v>22</v>
      </c>
      <c r="C181" s="12" t="str">
        <f>HYPERLINK("https://hdlbits.01xz.net/wiki/always_nolatches","Avoiding latches")</f>
        <v>Avoiding latches</v>
      </c>
      <c r="D181" s="4" t="s">
        <v>19</v>
      </c>
      <c r="E181" s="7"/>
    </row>
    <row r="182" spans="1:5" ht="22.05" customHeight="1">
      <c r="A182" s="4">
        <v>177</v>
      </c>
      <c r="B182" s="4" t="s">
        <v>22</v>
      </c>
      <c r="C182" s="12" t="str">
        <f>HYPERLINK("https://hdlbits.01xz.net/wiki/conwaylife","Conway's Game of Life 16x16")</f>
        <v>Conway's Game of Life 16x16</v>
      </c>
      <c r="D182" s="4" t="s">
        <v>19</v>
      </c>
      <c r="E182" s="7"/>
    </row>
    <row r="183" spans="1:5" ht="22.05" customHeight="1">
      <c r="A183" s="5">
        <v>178</v>
      </c>
      <c r="B183" s="5" t="s">
        <v>22</v>
      </c>
      <c r="C183" s="13" t="str">
        <f>HYPERLINK("https://hdlbits.01xz.net/wiki/exams/ece241_2014_q3","K-map implemented with a multiplexer")</f>
        <v>K-map implemented with a multiplexer</v>
      </c>
      <c r="D183" s="5" t="s">
        <v>19</v>
      </c>
      <c r="E183" s="8"/>
    </row>
  </sheetData>
  <mergeCells count="2">
    <mergeCell ref="A1:E1"/>
    <mergeCell ref="A2:E2"/>
  </mergeCells>
  <conditionalFormatting sqref="D6:D183">
    <cfRule type="expression" dxfId="1" priority="1">
      <formula>$D6="Done"</formula>
    </cfRule>
    <cfRule type="expression" dxfId="0" priority="2">
      <formula>$D6="Pending"</formula>
    </cfRule>
  </conditionalFormatting>
  <dataValidations count="1">
    <dataValidation type="list" sqref="D6:D183" xr:uid="{00000000-0002-0000-0000-000000000000}">
      <formula1>"Done,Pending"</formula1>
    </dataValidation>
  </dataValidations>
  <pageMargins left="0.7" right="0.7" top="0.75" bottom="0.75" header="0.3" footer="0.3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Tracker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kapil</dc:creator>
  <cp:lastModifiedBy>Kapil Tripathi</cp:lastModifiedBy>
  <dcterms:modified xsi:type="dcterms:W3CDTF">2026-09-05T17:21:51Z</dcterms:modified>
</cp:coreProperties>
</file>