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233c04ec347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24fd5a7559b4faf"/>
    <x:sheet xmlns:r="http://schemas.openxmlformats.org/officeDocument/2006/relationships" name="Learning Plan" sheetId="2" r:id="R56489f75889a478b"/>
    <x:sheet xmlns:r="http://schemas.openxmlformats.org/officeDocument/2006/relationships" name="Revision Calendar" sheetId="3" r:id="R9d87d165262a4366"/>
    <x:sheet xmlns:r="http://schemas.openxmlformats.org/officeDocument/2006/relationships" name="Daily Calendar" sheetId="4" r:id="R56f9477bc0d848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7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7365D"/>
      <x:name val="Carlito"/>
    </x:font>
    <x:font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B8CCE4"/>
      </x:left>
      <x:top style="thin">
        <x:color rgb="FFB8CCE4"/>
      </x:top>
    </x:border>
    <x:border>
      <x:right style="thin">
        <x:color rgb="FFB8CCE4"/>
      </x:right>
      <x:top style="thin">
        <x:color rgb="FFB8CCE4"/>
      </x:top>
    </x:border>
    <x:border>
      <x:left style="thin">
        <x:color rgb="FFB8CCE4"/>
      </x:left>
      <x:bottom style="thin">
        <x:color rgb="FFB8CCE4"/>
      </x:bottom>
    </x:border>
    <x:border>
      <x:right style="thin">
        <x:color rgb="FFB8CCE4"/>
      </x:right>
      <x:bottom style="thin">
        <x:color rgb="FFB8CCE4"/>
      </x:bottom>
    </x:border>
    <x:border>
      <x:left style="thin">
        <x:color rgb="FFB8CCE4"/>
      </x:left>
      <x:right style="thin">
        <x:color rgb="FFB8CCE4"/>
      </x:right>
      <x:bottom style="thin">
        <x:color rgb="FFB8CCE4"/>
      </x:bottom>
    </x:border>
    <x:border>
      <x:right style="thin">
        <x:color rgb="FFB8CCE4"/>
      </x:right>
      <x:top style="thin">
        <x:color rgb="FFB8CCE4"/>
      </x:top>
      <x:bottom style="thin">
        <x:color rgb="FFB8CCE4"/>
      </x:bottom>
    </x:border>
    <x:border>
      <x:left style="thin">
        <x:color rgb="FFB8CCE4"/>
      </x:left>
      <x:right style="thin">
        <x:color rgb="FFB8CCE4"/>
      </x:right>
      <x:top style="thin">
        <x:color rgb="FFB8CCE4"/>
      </x:top>
      <x:bottom style="thin">
        <x:color rgb="FFB8CCE4"/>
      </x:bottom>
    </x:border>
    <x:border>
      <x:left style="thin">
        <x:color rgb="FFB8CCE4"/>
      </x:left>
      <x:top style="thin">
        <x:color rgb="FFB8CCE4"/>
      </x:top>
      <x:bottom style="thin">
        <x:color rgb="FFB8CCE4"/>
      </x:bottom>
    </x:border>
    <x:border>
      <x:left style="thin">
        <x:color rgb="FFB8CCE4"/>
      </x:left>
      <x:right style="thin">
        <x:color rgb="FFB8CCE4"/>
      </x:right>
      <x:top style="thin">
        <x:color rgb="FFB8CCE4"/>
      </x:top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200" fontId="4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201" fontId="4" fillId="4" borderId="3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3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7" borderId="0" xfId="0" applyNumberFormat="1" applyFont="1" applyFill="1" applyBorder="1"/>
    <x:xf numFmtId="201" fontId="0" fillId="7" borderId="0" xfId="0" applyNumberFormat="1" applyFont="1" applyFill="1" applyBorder="1"/>
    <x:xf numFmtId="200" fontId="0" fillId="3" borderId="0" xfId="0" applyNumberFormat="1" applyFont="1" applyFill="1" applyBorder="1"/>
    <x:xf numFmtId="200" fontId="0" fillId="5" borderId="0" xfId="0" applyNumberFormat="1" applyFont="1" applyFill="1" applyBorder="1"/>
    <x:xf numFmtId="200" fontId="0" fillId="6" borderId="0" xfId="0" applyNumberFormat="1" applyFont="1" applyFill="1" applyBorder="1"/>
    <x:xf numFmtId="200" fontId="0" fillId="7" borderId="0" xfId="0" applyNumberFormat="1" applyFont="1" applyFill="1" applyBorder="1"/>
    <x:xf numFmtId="0" fontId="0" fillId="3" borderId="4" xfId="0" applyNumberFormat="1" applyFont="1" applyFill="1" applyBorder="1"/>
    <x:xf numFmtId="201" fontId="0" fillId="3" borderId="5" xfId="0" applyNumberFormat="1" applyFont="1" applyFill="1" applyBorder="1"/>
    <x:xf numFmtId="0" fontId="0" fillId="3" borderId="5" xfId="0" applyNumberFormat="1" applyFont="1" applyFill="1" applyBorder="1"/>
    <x:xf numFmtId="200" fontId="0" fillId="3" borderId="5" xfId="0" applyNumberFormat="1" applyFont="1" applyFill="1" applyBorder="1"/>
    <x:xf numFmtId="0" fontId="0" fillId="3" borderId="3" xfId="0" applyNumberFormat="1" applyFont="1" applyFill="1" applyBorder="1"/>
    <x:xf numFmtId="0" fontId="0" fillId="5" borderId="6" xfId="0" applyNumberFormat="1" applyFont="1" applyFill="1" applyBorder="1"/>
    <x:xf numFmtId="201" fontId="0" fillId="5" borderId="7" xfId="0" applyNumberFormat="1" applyFont="1" applyFill="1" applyBorder="1"/>
    <x:xf numFmtId="0" fontId="0" fillId="5" borderId="7" xfId="0" applyNumberFormat="1" applyFont="1" applyFill="1" applyBorder="1"/>
    <x:xf numFmtId="20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6" borderId="6" xfId="0" applyNumberFormat="1" applyFont="1" applyFill="1" applyBorder="1"/>
    <x:xf numFmtId="201" fontId="0" fillId="6" borderId="7" xfId="0" applyNumberFormat="1" applyFont="1" applyFill="1" applyBorder="1"/>
    <x:xf numFmtId="0" fontId="0" fillId="6" borderId="7" xfId="0" applyNumberFormat="1" applyFont="1" applyFill="1" applyBorder="1"/>
    <x:xf numFmtId="20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7" borderId="2" xfId="0" applyNumberFormat="1" applyFont="1" applyFill="1" applyBorder="1"/>
    <x:xf numFmtId="201" fontId="0" fillId="7" borderId="9" xfId="0" applyNumberFormat="1" applyFont="1" applyFill="1" applyBorder="1"/>
    <x:xf numFmtId="0" fontId="0" fillId="7" borderId="9" xfId="0" applyNumberFormat="1" applyFont="1" applyFill="1" applyBorder="1"/>
    <x:xf numFmtId="200" fontId="0" fillId="7" borderId="9" xfId="0" applyNumberFormat="1" applyFont="1" applyFill="1" applyBorder="1"/>
    <x:xf numFmtId="0" fontId="0" fillId="7" borderId="1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201" fontId="0" fillId="3" borderId="5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200" fontId="0" fillId="3" borderId="5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201" fontId="0" fillId="5" borderId="7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20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201" fontId="0" fillId="6" borderId="7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20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wrapText="1"/>
    </x:xf>
    <x:xf numFmtId="201" fontId="0" fillId="7" borderId="9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200" fontId="0" fillId="7" borderId="9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16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DDEBF7"/>
        </x:patternFill>
      </x:fill>
    </x:dxf>
    <x:dxf>
      <x:font>
        <x:b/>
        <x:color rgb="FF17365D"/>
      </x:font>
      <x:fill>
        <x:patternFill patternType="solid">
          <x:bgColor rgb="FFFCE4D6"/>
        </x:patternFill>
      </x:fill>
    </x:dxf>
    <x:dxf>
      <x:font>
        <x:b/>
        <x:color rgb="FF17365D"/>
      </x:font>
      <x:fill>
        <x:patternFill patternType="solid">
          <x:bgColor rgb="FFE2F0D9"/>
        </x:patternFill>
      </x:fill>
    </x:dxf>
    <x:dxf>
      <x:font>
        <x:b/>
        <x:color rgb="FF17365D"/>
      </x:font>
      <x:fill>
        <x:patternFill patternType="solid">
          <x:bgColor rgb="FFDCE6F1"/>
        </x:patternFill>
      </x:fill>
    </x:dxf>
    <x:dxf>
      <x:font>
        <x:b/>
        <x:color rgb="FF17365D"/>
      </x:font>
      <x:fill>
        <x:patternFill patternType="solid">
          <x:bgColor rgb="FFDDEBF7"/>
        </x:patternFill>
      </x:fill>
    </x:dxf>
    <x:dxf>
      <x:font>
        <x:b/>
        <x:color rgb="FF17365D"/>
      </x:font>
      <x:fill>
        <x:patternFill patternType="solid">
          <x:bgColor rgb="FFFCE4D6"/>
        </x:patternFill>
      </x:fill>
    </x:dxf>
    <x:dxf>
      <x:font>
        <x:b/>
        <x:color rgb="FF17365D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b5668b8654826" /><Relationship Type="http://schemas.openxmlformats.org/officeDocument/2006/relationships/theme" Target="/xl/theme/theme1.xml" Id="R63417de3b10d40cc" /><Relationship Type="http://schemas.openxmlformats.org/officeDocument/2006/relationships/sharedStrings" Target="/xl/sharedStrings.xml" Id="Rbb199c9a7bf845ea" /><Relationship Type="http://schemas.openxmlformats.org/officeDocument/2006/relationships/worksheet" Target="/xl/worksheets/sheet1.xml" Id="Ra24fd5a7559b4faf" /><Relationship Type="http://schemas.openxmlformats.org/officeDocument/2006/relationships/worksheet" Target="/xl/worksheets/sheet2.xml" Id="R56489f75889a478b" /><Relationship Type="http://schemas.openxmlformats.org/officeDocument/2006/relationships/worksheet" Target="/xl/worksheets/sheet3.xml" Id="R9d87d165262a4366" /><Relationship Type="http://schemas.openxmlformats.org/officeDocument/2006/relationships/worksheet" Target="/xl/worksheets/sheet4.xml" Id="R56f9477bc0d848f7" /></Relationships>
</file>

<file path=xl/tables/table1.xml><?xml version="1.0" encoding="utf-8"?>
<x:table xmlns:x="http://schemas.openxmlformats.org/spreadsheetml/2006/main" id="1" name="LearningPlanTable" displayName="LearningPlanTable" ref="A6:Q184" headerRowCount="1" totalsRowCount="0" totalsRowShown="0">
  <x:autoFilter ref="A6:Q184"/>
  <x:tableColumns count="17">
    <x:tableColumn id="1" name="Date"/>
    <x:tableColumn id="2" name="Plan day"/>
    <x:tableColumn id="3" name="Website #"/>
    <x:tableColumn id="4" name="Archive #"/>
    <x:tableColumn id="5" name="Major section"/>
    <x:tableColumn id="6" name="Subsection"/>
    <x:tableColumn id="7" name="Problem"/>
    <x:tableColumn id="8" name="HDLBits ID"/>
    <x:tableColumn id="9" name="Goal"/>
    <x:tableColumn id="10" name="Status"/>
    <x:tableColumn id="11" name="Confidence 1–5"/>
    <x:tableColumn id="12" name="Difficulty"/>
    <x:tableColumn id="13" name="Error type"/>
    <x:tableColumn id="14" name="Mistake noticed"/>
    <x:tableColumn id="15" name="One-line rule"/>
    <x:tableColumn id="16" name="Next action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sionCalendarTable" displayName="RevisionCalendarTable" ref="A6:N540" headerRowCount="1" totalsRowCount="0" totalsRowShown="0">
  <x:autoFilter ref="A6:N540"/>
  <x:tableColumns count="14">
    <x:tableColumn id="1" name="Date"/>
    <x:tableColumn id="2" name="Round"/>
    <x:tableColumn id="3" name="Round day"/>
    <x:tableColumn id="4" name="Website #"/>
    <x:tableColumn id="5" name="Archive #"/>
    <x:tableColumn id="6" name="Topic"/>
    <x:tableColumn id="7" name="Problem"/>
    <x:tableColumn id="8" name="Goal"/>
    <x:tableColumn id="9" name="Status"/>
    <x:tableColumn id="10" name="Confidence 1–5"/>
    <x:tableColumn id="11" name="Error type"/>
    <x:tableColumn id="12" name="Mistake still repeated?"/>
    <x:tableColumn id="13" name="One-line correction"/>
    <x:tableColumn id="14" name="Next 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ilyCalendarTable" displayName="DailyCalendarTable" ref="A6:K78" headerRowCount="1" totalsRowCount="0" totalsRowShown="0">
  <x:autoFilter ref="A6:K78"/>
  <x:tableColumns count="11">
    <x:tableColumn id="1" name="Phase"/>
    <x:tableColumn id="2" name="Day"/>
    <x:tableColumn id="3" name="Date"/>
    <x:tableColumn id="4" name="Website #"/>
    <x:tableColumn id="5" name="Archive IDs"/>
    <x:tableColumn id="6" name="Problems"/>
    <x:tableColumn id="7" name="Count"/>
    <x:tableColumn id="8" name="Completed"/>
    <x:tableColumn id="9" name="Progress"/>
    <x:tableColumn id="10" name="Goal"/>
    <x:tableColumn id="11" name="Daily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c1894ca5ba4d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601da8b7134a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cd480291cc4e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0.5600004196167" hidden="0" customWidth="1"/>
    <x:col min="3" max="3" width="10.5600004196167" hidden="0" customWidth="1"/>
    <x:col min="4" max="4" width="11.109999656677246" hidden="0" customWidth="1"/>
    <x:col min="5" max="5" width="11.109999656677246" hidden="0" customWidth="1"/>
    <x:col min="6" max="6" width="11.109999656677246" hidden="0" customWidth="1"/>
    <x:col min="7" max="7" width="11.109999656677246" hidden="0" customWidth="1"/>
    <x:col min="8" max="8" width="46.66999816894531" hidden="0" customWidth="1"/>
  </x:cols>
  <x:sheetData>
    <x:row r="1" ht="24" customHeight="1">
      <x:c r="A1" s="4" t="str">
        <x:v>HDLBits 10-Questions-a-Day Revision Tracker</x:v>
      </x:c>
      <x:c r="B1" s="4" t="str">
        <x:v>HDLBits 10-Questions-a-Day Revision Tracker</x:v>
      </x:c>
      <x:c r="C1" s="4" t="str">
        <x:v>HDLBits 10-Questions-a-Day Revision Tracker</x:v>
      </x:c>
      <x:c r="D1" s="4" t="str">
        <x:v>HDLBits 10-Questions-a-Day Revision Tracker</x:v>
      </x:c>
      <x:c r="E1" s="4" t="str">
        <x:v>HDLBits 10-Questions-a-Day Revision Tracker</x:v>
      </x:c>
      <x:c r="F1" s="4" t="str">
        <x:v>HDLBits 10-Questions-a-Day Revision Tracker</x:v>
      </x:c>
      <x:c r="G1" s="4" t="str">
        <x:v>HDLBits 10-Questions-a-Day Revision Tracker</x:v>
      </x:c>
      <x:c r="H1" s="4" t="str">
        <x:v>HDLBits 10-Questions-a-Day Revision Tracker</x:v>
      </x:c>
    </x:row>
    <x:row r="2" ht="24" customHeight="1">
      <x:c r="A2" s="4" t="str">
        <x:v>HDLBits 10-Questions-a-Day Revision Tracker</x:v>
      </x:c>
      <x:c r="B2" s="4" t="str">
        <x:v>HDLBits 10-Questions-a-Day Revision Tracker</x:v>
      </x:c>
      <x:c r="C2" s="4" t="str">
        <x:v>HDLBits 10-Questions-a-Day Revision Tracker</x:v>
      </x:c>
      <x:c r="D2" s="4" t="str">
        <x:v>HDLBits 10-Questions-a-Day Revision Tracker</x:v>
      </x:c>
      <x:c r="E2" s="4" t="str">
        <x:v>HDLBits 10-Questions-a-Day Revision Tracker</x:v>
      </x:c>
      <x:c r="F2" s="4" t="str">
        <x:v>HDLBits 10-Questions-a-Day Revision Tracker</x:v>
      </x:c>
      <x:c r="G2" s="4" t="str">
        <x:v>HDLBits 10-Questions-a-Day Revision Tracker</x:v>
      </x:c>
      <x:c r="H2" s="4" t="str">
        <x:v>HDLBits 10-Questions-a-Day Revision Tracker</x:v>
      </x:c>
    </x:row>
    <x:row r="3" ht="21" customHeight="1">
      <x:c r="A3" s="9" t="str">
        <x:v>Standalone plan · starts today, 2026-07-14 · 10 questions per day · four complete passes · ends 2026-09-23</x:v>
      </x:c>
      <x:c r="B3" s="9" t="str">
        <x:v>Standalone plan · starts today, 2026-07-14 · 10 questions per day · four complete passes · ends 2026-09-23</x:v>
      </x:c>
      <x:c r="C3" s="9" t="str">
        <x:v>Standalone plan · starts today, 2026-07-14 · 10 questions per day · four complete passes · ends 2026-09-23</x:v>
      </x:c>
      <x:c r="D3" s="9" t="str">
        <x:v>Standalone plan · starts today, 2026-07-14 · 10 questions per day · four complete passes · ends 2026-09-23</x:v>
      </x:c>
      <x:c r="E3" s="9" t="str">
        <x:v>Standalone plan · starts today, 2026-07-14 · 10 questions per day · four complete passes · ends 2026-09-23</x:v>
      </x:c>
      <x:c r="F3" s="9" t="str">
        <x:v>Standalone plan · starts today, 2026-07-14 · 10 questions per day · four complete passes · ends 2026-09-23</x:v>
      </x:c>
      <x:c r="G3" s="9" t="str">
        <x:v>Standalone plan · starts today, 2026-07-14 · 10 questions per day · four complete passes · ends 2026-09-23</x:v>
      </x:c>
      <x:c r="H3" s="9" t="str">
        <x:v>Standalone plan · starts today, 2026-07-14 · 10 questions per day · four complete passes · ends 2026-09-23</x:v>
      </x:c>
    </x:row>
    <x:row r="5">
      <x:c r="A5" s="15" t="str">
        <x:v>Questions</x:v>
      </x:c>
      <x:c r="B5" s="16"/>
      <x:c r="C5" s="15" t="str">
        <x:v>Questions / day</x:v>
      </x:c>
      <x:c r="D5" s="16"/>
      <x:c r="E5" s="15" t="str">
        <x:v>Total study days</x:v>
      </x:c>
      <x:c r="F5" s="16"/>
      <x:c r="G5" s="15" t="str">
        <x:v>Overall progress</x:v>
      </x:c>
      <x:c r="H5" s="16"/>
    </x:row>
    <x:row r="6">
      <x:c r="A6" s="17" t="n">
        <x:f>COUNTA('Learning Plan'!$G$7:$G$184)</x:f>
        <x:v>178</x:v>
      </x:c>
      <x:c r="B6" s="18"/>
      <x:c r="C6" s="17" t="n">
        <x:f>10</x:f>
        <x:v>10</x:v>
      </x:c>
      <x:c r="D6" s="18"/>
      <x:c r="E6" s="17" t="n">
        <x:f>72</x:f>
        <x:v>72</x:v>
      </x:c>
      <x:c r="F6" s="18"/>
      <x:c r="G6" s="19" t="n">
        <x:f>(COUNTIF('Learning Plan'!$J$7:$J$184,"Done")+COUNTIF('Revision Calendar'!$I$7:$I$540,"Done"))/712</x:f>
        <x:v>0</x:v>
      </x:c>
      <x:c r="H6" s="18"/>
    </x:row>
    <x:row r="8">
      <x:c r="A8" s="26" t="str">
        <x:v>Today</x:v>
      </x:c>
      <x:c r="B8" s="27"/>
      <x:c r="C8" s="26" t="str">
        <x:v>Plan finishes</x:v>
      </x:c>
      <x:c r="D8" s="27"/>
      <x:c r="E8" s="26" t="str">
        <x:v>Completed actions</x:v>
      </x:c>
      <x:c r="F8" s="27"/>
      <x:c r="G8" s="26" t="str">
        <x:v>Needs review</x:v>
      </x:c>
      <x:c r="H8" s="27"/>
    </x:row>
    <x:row r="9">
      <x:c r="A9" s="30" t="n">
        <x:f>TODAY()</x:f>
        <x:v>46217</x:v>
      </x:c>
      <x:c r="B9" s="29"/>
      <x:c r="C9" s="30" t="n">
        <x:f>46288</x:f>
        <x:v>46288</x:v>
      </x:c>
      <x:c r="D9" s="29"/>
      <x:c r="E9" s="28" t="n">
        <x:f>COUNTIF('Learning Plan'!$J$7:$J$184,"Done")+COUNTIF('Revision Calendar'!$I$7:$I$540,"Done")</x:f>
        <x:v>0</x:v>
      </x:c>
      <x:c r="F9" s="29"/>
      <x:c r="G9" s="28" t="n">
        <x:f>COUNTIF('Learning Plan'!$J$7:$J$184,"Needs Review")+COUNTIF('Revision Calendar'!$I$7:$I$540,"Needs Review")</x:f>
        <x:v>0</x:v>
      </x:c>
      <x:c r="H9" s="29"/>
    </x:row>
    <x:row r="12">
      <x:c r="A12" s="33" t="str">
        <x:v>Phase</x:v>
      </x:c>
      <x:c r="B12" s="33" t="str">
        <x:v>Start</x:v>
      </x:c>
      <x:c r="C12" s="33" t="str">
        <x:v>Finish</x:v>
      </x:c>
      <x:c r="D12" s="33" t="str">
        <x:v>Questions</x:v>
      </x:c>
      <x:c r="E12" s="33" t="str">
        <x:v>Done</x:v>
      </x:c>
      <x:c r="F12" s="33" t="str">
        <x:v>Needs Review</x:v>
      </x:c>
      <x:c r="G12" s="33" t="str">
        <x:v>Progress</x:v>
      </x:c>
      <x:c r="H12" s="33" t="str">
        <x:v>Purpose</x:v>
      </x:c>
    </x:row>
    <x:row r="13" ht="25.5" customHeight="1">
      <x:c r="A13" s="86" t="str">
        <x:v>Pass 1</x:v>
      </x:c>
      <x:c r="B13" s="67" t="n">
        <x:v>46217</x:v>
      </x:c>
      <x:c r="C13" s="67" t="n">
        <x:v>46234</x:v>
      </x:c>
      <x:c r="D13" s="68" t="n">
        <x:v>178</x:v>
      </x:c>
      <x:c r="E13" s="68" t="n">
        <x:f>COUNTIF('Learning Plan'!$J$7:$J$184,"Done")</x:f>
        <x:v>0</x:v>
      </x:c>
      <x:c r="F13" s="68" t="n">
        <x:f>COUNTIF('Learning Plan'!$J$7:$J$184,"Needs Review")</x:f>
        <x:v>0</x:v>
      </x:c>
      <x:c r="G13" s="69" t="n">
        <x:f>E13/D13</x:f>
        <x:v>0</x:v>
      </x:c>
      <x:c r="H13" s="70" t="str">
        <x:v>Solve from blank; check the saved solution only after the attempt.</x:v>
      </x:c>
    </x:row>
    <x:row r="14" ht="25.5" customHeight="1">
      <x:c r="A14" s="87" t="str">
        <x:v>Revision 1</x:v>
      </x:c>
      <x:c r="B14" s="72" t="n">
        <x:v>46235</x:v>
      </x:c>
      <x:c r="C14" s="72" t="n">
        <x:v>46252</x:v>
      </x:c>
      <x:c r="D14" s="73" t="n">
        <x:v>178</x:v>
      </x:c>
      <x:c r="E14" s="73" t="n">
        <x:f>COUNTIFS('Revision Calendar'!$B$7:$B$540,A14,'Revision Calendar'!$I$7:$I$540,"Done")</x:f>
        <x:v>0</x:v>
      </x:c>
      <x:c r="F14" s="73" t="n">
        <x:f>COUNTIFS('Revision Calendar'!$B$7:$B$540,A14,'Revision Calendar'!$I$7:$I$540,"Needs Review")</x:f>
        <x:v>0</x:v>
      </x:c>
      <x:c r="G14" s="74" t="n">
        <x:f>E14/D14</x:f>
        <x:v>0</x:v>
      </x:c>
      <x:c r="H14" s="75" t="str">
        <x:v>Blind re-solve and repair the exact mistake from Pass 1.</x:v>
      </x:c>
    </x:row>
    <x:row r="15" ht="25.5" customHeight="1">
      <x:c r="A15" s="88" t="str">
        <x:v>Revision 2</x:v>
      </x:c>
      <x:c r="B15" s="77" t="n">
        <x:v>46253</x:v>
      </x:c>
      <x:c r="C15" s="77" t="n">
        <x:v>46270</x:v>
      </x:c>
      <x:c r="D15" s="78" t="n">
        <x:v>178</x:v>
      </x:c>
      <x:c r="E15" s="78" t="n">
        <x:f>COUNTIFS('Revision Calendar'!$B$7:$B$540,A15,'Revision Calendar'!$I$7:$I$540,"Done")</x:f>
        <x:v>0</x:v>
      </x:c>
      <x:c r="F15" s="78" t="n">
        <x:f>COUNTIFS('Revision Calendar'!$B$7:$B$540,A15,'Revision Calendar'!$I$7:$I$540,"Needs Review")</x:f>
        <x:v>0</x:v>
      </x:c>
      <x:c r="G15" s="79" t="n">
        <x:f>E15/D15</x:f>
        <x:v>0</x:v>
      </x:c>
      <x:c r="H15" s="80" t="str">
        <x:v>Timed re-solve; explain the hardware before writing code.</x:v>
      </x:c>
    </x:row>
    <x:row r="16" ht="25.5" customHeight="1">
      <x:c r="A16" s="89" t="str">
        <x:v>Final Revision</x:v>
      </x:c>
      <x:c r="B16" s="82" t="n">
        <x:v>46271</x:v>
      </x:c>
      <x:c r="C16" s="82" t="n">
        <x:v>46288</x:v>
      </x:c>
      <x:c r="D16" s="83" t="n">
        <x:v>178</x:v>
      </x:c>
      <x:c r="E16" s="83" t="n">
        <x:f>COUNTIFS('Revision Calendar'!$B$7:$B$540,A16,'Revision Calendar'!$I$7:$I$540,"Done")</x:f>
        <x:v>0</x:v>
      </x:c>
      <x:c r="F16" s="83" t="n">
        <x:f>COUNTIFS('Revision Calendar'!$B$7:$B$540,A16,'Revision Calendar'!$I$7:$I$540,"Needs Review")</x:f>
        <x:v>0</x:v>
      </x:c>
      <x:c r="G16" s="84" t="n">
        <x:f>E16/D16</x:f>
        <x:v>0</x:v>
      </x:c>
      <x:c r="H16" s="85" t="str">
        <x:v>Mastery check: solve and explain without notes.</x:v>
      </x:c>
    </x:row>
    <x:row r="19" ht="22.5" customHeight="1">
      <x:c r="A19" s="92" t="str">
        <x:v>Daily method: solve from blank → mark status → score confidence 1–5 → name the error → write one rule → set the next action.</x:v>
      </x:c>
      <x:c r="B19" s="92" t="str">
        <x:v>Daily method: solve from blank → mark status → score confidence 1–5 → name the error → write one rule → set the next action.</x:v>
      </x:c>
      <x:c r="C19" s="92" t="str">
        <x:v>Daily method: solve from blank → mark status → score confidence 1–5 → name the error → write one rule → set the next action.</x:v>
      </x:c>
      <x:c r="D19" s="92" t="str">
        <x:v>Daily method: solve from blank → mark status → score confidence 1–5 → name the error → write one rule → set the next action.</x:v>
      </x:c>
      <x:c r="E19" s="92" t="str">
        <x:v>Daily method: solve from blank → mark status → score confidence 1–5 → name the error → write one rule → set the next action.</x:v>
      </x:c>
      <x:c r="F19" s="92" t="str">
        <x:v>Daily method: solve from blank → mark status → score confidence 1–5 → name the error → write one rule → set the next action.</x:v>
      </x:c>
      <x:c r="G19" s="92" t="str">
        <x:v>Daily method: solve from blank → mark status → score confidence 1–5 → name the error → write one rule → set the next action.</x:v>
      </x:c>
      <x:c r="H19" s="92" t="str">
        <x:v>Daily method: solve from blank → mark status → score confidence 1–5 → name the error → write one rule → set the next action.</x:v>
      </x:c>
    </x:row>
    <x:row r="21" ht="22.5" customHeight="1">
      <x:c r="A21" s="96" t="str">
        <x:v>If a day is missed: continue with that dated row the next day; do not restart or abandon the plan. The workbook is a guide, not a punishment.</x:v>
      </x:c>
      <x:c r="B21" s="96" t="str">
        <x:v>If a day is missed: continue with that dated row the next day; do not restart or abandon the plan. The workbook is a guide, not a punishment.</x:v>
      </x:c>
      <x:c r="C21" s="96" t="str">
        <x:v>If a day is missed: continue with that dated row the next day; do not restart or abandon the plan. The workbook is a guide, not a punishment.</x:v>
      </x:c>
      <x:c r="D21" s="96" t="str">
        <x:v>If a day is missed: continue with that dated row the next day; do not restart or abandon the plan. The workbook is a guide, not a punishment.</x:v>
      </x:c>
      <x:c r="E21" s="96" t="str">
        <x:v>If a day is missed: continue with that dated row the next day; do not restart or abandon the plan. The workbook is a guide, not a punishment.</x:v>
      </x:c>
      <x:c r="F21" s="96" t="str">
        <x:v>If a day is missed: continue with that dated row the next day; do not restart or abandon the plan. The workbook is a guide, not a punishment.</x:v>
      </x:c>
      <x:c r="G21" s="96" t="str">
        <x:v>If a day is missed: continue with that dated row the next day; do not restart or abandon the plan. The workbook is a guide, not a punishment.</x:v>
      </x:c>
      <x:c r="H21" s="96" t="str">
        <x:v>If a day is missed: continue with that dated row the next day; do not restart or abandon the plan. The workbook is a guide, not a punishment.</x:v>
      </x:c>
    </x:row>
  </x:sheetData>
  <x:mergeCells>
    <x:mergeCell ref="A1:H2"/>
    <x:mergeCell ref="A3:H3"/>
    <x:mergeCell ref="A19:H19"/>
    <x:mergeCell ref="A21:H21"/>
  </x:mergeCells>
  <x:conditionalFormatting sqref="G13:G16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70AD47"/>
            </x14:dataBar>
          </x14:cfRule>
          <xm:sqref>G13:G16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600004196167" hidden="0" customWidth="1"/>
    <x:col min="2" max="2" width="6.670000076293945" hidden="0" customWidth="1"/>
    <x:col min="3" max="3" width="7.559999942779541" hidden="0" customWidth="1"/>
    <x:col min="4" max="4" width="7.559999942779541" hidden="0" customWidth="1"/>
    <x:col min="5" max="5" width="18.889999389648438" hidden="0" customWidth="1"/>
    <x:col min="6" max="6" width="21.110000610351562" hidden="0" customWidth="1"/>
    <x:col min="7" max="7" width="23.329999923706055" hidden="0" customWidth="1"/>
    <x:col min="8" max="8" width="15.5600004196167" hidden="0" customWidth="1"/>
    <x:col min="9" max="9" width="25.559999465942383" hidden="0" customWidth="1"/>
    <x:col min="10" max="10" width="10.670000076293945" hidden="0" customWidth="1"/>
    <x:col min="11" max="11" width="10.220000267028809" hidden="0" customWidth="1"/>
    <x:col min="12" max="12" width="8.670000076293945" hidden="0" customWidth="1"/>
    <x:col min="13" max="13" width="16.110000610351562" hidden="0" customWidth="1"/>
    <x:col min="14" max="14" width="24.440000534057617" hidden="0" customWidth="1"/>
    <x:col min="15" max="15" width="24.440000534057617" hidden="0" customWidth="1"/>
    <x:col min="16" max="16" width="22.219999313354492" hidden="0" customWidth="1"/>
    <x:col min="17" max="17" width="22.219999313354492" hidden="0" customWidth="1"/>
  </x:cols>
  <x:sheetData>
    <x:row r="1" ht="24" customHeight="1">
      <x:c r="A1" s="4" t="str">
        <x:v>Pass 1 — Daily Learning and Recall</x:v>
      </x:c>
      <x:c r="B1" s="4" t="str">
        <x:v>Pass 1 — Daily Learning and Recall</x:v>
      </x:c>
      <x:c r="C1" s="4" t="str">
        <x:v>Pass 1 — Daily Learning and Recall</x:v>
      </x:c>
      <x:c r="D1" s="4" t="str">
        <x:v>Pass 1 — Daily Learning and Recall</x:v>
      </x:c>
      <x:c r="E1" s="4" t="str">
        <x:v>Pass 1 — Daily Learning and Recall</x:v>
      </x:c>
      <x:c r="F1" s="4" t="str">
        <x:v>Pass 1 — Daily Learning and Recall</x:v>
      </x:c>
      <x:c r="G1" s="4" t="str">
        <x:v>Pass 1 — Daily Learning and Recall</x:v>
      </x:c>
      <x:c r="H1" s="4" t="str">
        <x:v>Pass 1 — Daily Learning and Recall</x:v>
      </x:c>
      <x:c r="I1" s="4" t="str">
        <x:v>Pass 1 — Daily Learning and Recall</x:v>
      </x:c>
      <x:c r="J1" s="4" t="str">
        <x:v>Pass 1 — Daily Learning and Recall</x:v>
      </x:c>
      <x:c r="K1" s="4" t="str">
        <x:v>Pass 1 — Daily Learning and Recall</x:v>
      </x:c>
      <x:c r="L1" s="4" t="str">
        <x:v>Pass 1 — Daily Learning and Recall</x:v>
      </x:c>
      <x:c r="M1" s="4" t="str">
        <x:v>Pass 1 — Daily Learning and Recall</x:v>
      </x:c>
      <x:c r="N1" s="4" t="str">
        <x:v>Pass 1 — Daily Learning and Recall</x:v>
      </x:c>
      <x:c r="O1" s="4" t="str">
        <x:v>Pass 1 — Daily Learning and Recall</x:v>
      </x:c>
      <x:c r="P1" s="4" t="str">
        <x:v>Pass 1 — Daily Learning and Recall</x:v>
      </x:c>
      <x:c r="Q1" s="4" t="str">
        <x:v>Pass 1 — Daily Learning and Recall</x:v>
      </x:c>
    </x:row>
    <x:row r="2" ht="24" customHeight="1">
      <x:c r="A2" s="4" t="str">
        <x:v>Pass 1 — Daily Learning and Recall</x:v>
      </x:c>
      <x:c r="B2" s="4" t="str">
        <x:v>Pass 1 — Daily Learning and Recall</x:v>
      </x:c>
      <x:c r="C2" s="4" t="str">
        <x:v>Pass 1 — Daily Learning and Recall</x:v>
      </x:c>
      <x:c r="D2" s="4" t="str">
        <x:v>Pass 1 — Daily Learning and Recall</x:v>
      </x:c>
      <x:c r="E2" s="4" t="str">
        <x:v>Pass 1 — Daily Learning and Recall</x:v>
      </x:c>
      <x:c r="F2" s="4" t="str">
        <x:v>Pass 1 — Daily Learning and Recall</x:v>
      </x:c>
      <x:c r="G2" s="4" t="str">
        <x:v>Pass 1 — Daily Learning and Recall</x:v>
      </x:c>
      <x:c r="H2" s="4" t="str">
        <x:v>Pass 1 — Daily Learning and Recall</x:v>
      </x:c>
      <x:c r="I2" s="4" t="str">
        <x:v>Pass 1 — Daily Learning and Recall</x:v>
      </x:c>
      <x:c r="J2" s="4" t="str">
        <x:v>Pass 1 — Daily Learning and Recall</x:v>
      </x:c>
      <x:c r="K2" s="4" t="str">
        <x:v>Pass 1 — Daily Learning and Recall</x:v>
      </x:c>
      <x:c r="L2" s="4" t="str">
        <x:v>Pass 1 — Daily Learning and Recall</x:v>
      </x:c>
      <x:c r="M2" s="4" t="str">
        <x:v>Pass 1 — Daily Learning and Recall</x:v>
      </x:c>
      <x:c r="N2" s="4" t="str">
        <x:v>Pass 1 — Daily Learning and Recall</x:v>
      </x:c>
      <x:c r="O2" s="4" t="str">
        <x:v>Pass 1 — Daily Learning and Recall</x:v>
      </x:c>
      <x:c r="P2" s="4" t="str">
        <x:v>Pass 1 — Daily Learning and Recall</x:v>
      </x:c>
      <x:c r="Q2" s="4" t="str">
        <x:v>Pass 1 — Daily Learning and Recall</x:v>
      </x:c>
    </x:row>
    <x:row r="3" ht="21" customHeight="1">
      <x:c r="A3" s="9" t="str">
        <x:v>2026-07-14 to 2026-07-31 · exact website sequence · 10 questions per day, with 8 on the final day</x:v>
      </x:c>
      <x:c r="B3" s="9" t="str">
        <x:v>2026-07-14 to 2026-07-31 · exact website sequence · 10 questions per day, with 8 on the final day</x:v>
      </x:c>
      <x:c r="C3" s="9" t="str">
        <x:v>2026-07-14 to 2026-07-31 · exact website sequence · 10 questions per day, with 8 on the final day</x:v>
      </x:c>
      <x:c r="D3" s="9" t="str">
        <x:v>2026-07-14 to 2026-07-31 · exact website sequence · 10 questions per day, with 8 on the final day</x:v>
      </x:c>
      <x:c r="E3" s="9" t="str">
        <x:v>2026-07-14 to 2026-07-31 · exact website sequence · 10 questions per day, with 8 on the final day</x:v>
      </x:c>
      <x:c r="F3" s="9" t="str">
        <x:v>2026-07-14 to 2026-07-31 · exact website sequence · 10 questions per day, with 8 on the final day</x:v>
      </x:c>
      <x:c r="G3" s="9" t="str">
        <x:v>2026-07-14 to 2026-07-31 · exact website sequence · 10 questions per day, with 8 on the final day</x:v>
      </x:c>
      <x:c r="H3" s="9" t="str">
        <x:v>2026-07-14 to 2026-07-31 · exact website sequence · 10 questions per day, with 8 on the final day</x:v>
      </x:c>
      <x:c r="I3" s="9" t="str">
        <x:v>2026-07-14 to 2026-07-31 · exact website sequence · 10 questions per day, with 8 on the final day</x:v>
      </x:c>
      <x:c r="J3" s="9" t="str">
        <x:v>2026-07-14 to 2026-07-31 · exact website sequence · 10 questions per day, with 8 on the final day</x:v>
      </x:c>
      <x:c r="K3" s="9" t="str">
        <x:v>2026-07-14 to 2026-07-31 · exact website sequence · 10 questions per day, with 8 on the final day</x:v>
      </x:c>
      <x:c r="L3" s="9" t="str">
        <x:v>2026-07-14 to 2026-07-31 · exact website sequence · 10 questions per day, with 8 on the final day</x:v>
      </x:c>
      <x:c r="M3" s="9" t="str">
        <x:v>2026-07-14 to 2026-07-31 · exact website sequence · 10 questions per day, with 8 on the final day</x:v>
      </x:c>
      <x:c r="N3" s="9" t="str">
        <x:v>2026-07-14 to 2026-07-31 · exact website sequence · 10 questions per day, with 8 on the final day</x:v>
      </x:c>
      <x:c r="O3" s="9" t="str">
        <x:v>2026-07-14 to 2026-07-31 · exact website sequence · 10 questions per day, with 8 on the final day</x:v>
      </x:c>
      <x:c r="P3" s="9" t="str">
        <x:v>2026-07-14 to 2026-07-31 · exact website sequence · 10 questions per day, with 8 on the final day</x:v>
      </x:c>
      <x:c r="Q3" s="9" t="str">
        <x:v>2026-07-14 to 2026-07-31 · exact website sequence · 10 questions per day, with 8 on the final day</x:v>
      </x:c>
    </x:row>
    <x:row r="4">
      <x:c r="A4" s="97" t="str">
        <x:v>Work one row at a time. Do not open the saved answer until you have written or drawn your own solution attempt.</x:v>
      </x:c>
      <x:c r="B4" s="97" t="str">
        <x:v>Work one row at a time. Do not open the saved answer until you have written or drawn your own solution attempt.</x:v>
      </x:c>
      <x:c r="C4" s="97" t="str">
        <x:v>Work one row at a time. Do not open the saved answer until you have written or drawn your own solution attempt.</x:v>
      </x:c>
      <x:c r="D4" s="97" t="str">
        <x:v>Work one row at a time. Do not open the saved answer until you have written or drawn your own solution attempt.</x:v>
      </x:c>
      <x:c r="E4" s="97" t="str">
        <x:v>Work one row at a time. Do not open the saved answer until you have written or drawn your own solution attempt.</x:v>
      </x:c>
      <x:c r="F4" s="97" t="str">
        <x:v>Work one row at a time. Do not open the saved answer until you have written or drawn your own solution attempt.</x:v>
      </x:c>
      <x:c r="G4" s="97" t="str">
        <x:v>Work one row at a time. Do not open the saved answer until you have written or drawn your own solution attempt.</x:v>
      </x:c>
      <x:c r="H4" s="97" t="str">
        <x:v>Work one row at a time. Do not open the saved answer until you have written or drawn your own solution attempt.</x:v>
      </x:c>
      <x:c r="I4" s="97" t="str">
        <x:v>Work one row at a time. Do not open the saved answer until you have written or drawn your own solution attempt.</x:v>
      </x:c>
      <x:c r="J4" s="97" t="str">
        <x:v>Work one row at a time. Do not open the saved answer until you have written or drawn your own solution attempt.</x:v>
      </x:c>
      <x:c r="K4" s="97" t="str">
        <x:v>Work one row at a time. Do not open the saved answer until you have written or drawn your own solution attempt.</x:v>
      </x:c>
      <x:c r="L4" s="97" t="str">
        <x:v>Work one row at a time. Do not open the saved answer until you have written or drawn your own solution attempt.</x:v>
      </x:c>
      <x:c r="M4" s="97" t="str">
        <x:v>Work one row at a time. Do not open the saved answer until you have written or drawn your own solution attempt.</x:v>
      </x:c>
      <x:c r="N4" s="97" t="str">
        <x:v>Work one row at a time. Do not open the saved answer until you have written or drawn your own solution attempt.</x:v>
      </x:c>
      <x:c r="O4" s="97" t="str">
        <x:v>Work one row at a time. Do not open the saved answer until you have written or drawn your own solution attempt.</x:v>
      </x:c>
      <x:c r="P4" s="97" t="str">
        <x:v>Work one row at a time. Do not open the saved answer until you have written or drawn your own solution attempt.</x:v>
      </x:c>
      <x:c r="Q4" s="97" t="str">
        <x:v>Work one row at a time. Do not open the saved answer until you have written or drawn your own solution attempt.</x:v>
      </x:c>
    </x:row>
    <x:row r="6">
      <x:c r="A6" s="33" t="str">
        <x:v>Date</x:v>
      </x:c>
      <x:c r="B6" s="33" t="str">
        <x:v>Plan day</x:v>
      </x:c>
      <x:c r="C6" s="33" t="str">
        <x:v>Website #</x:v>
      </x:c>
      <x:c r="D6" s="33" t="str">
        <x:v>Archive #</x:v>
      </x:c>
      <x:c r="E6" s="33" t="str">
        <x:v>Major section</x:v>
      </x:c>
      <x:c r="F6" s="33" t="str">
        <x:v>Subsection</x:v>
      </x:c>
      <x:c r="G6" s="33" t="str">
        <x:v>Problem</x:v>
      </x:c>
      <x:c r="H6" s="33" t="str">
        <x:v>HDLBits ID</x:v>
      </x:c>
      <x:c r="I6" s="33" t="str">
        <x:v>Goal</x:v>
      </x:c>
      <x:c r="J6" s="33" t="str">
        <x:v>Status</x:v>
      </x:c>
      <x:c r="K6" s="33" t="str">
        <x:v>Confidence 1–5</x:v>
      </x:c>
      <x:c r="L6" s="33" t="str">
        <x:v>Difficulty</x:v>
      </x:c>
      <x:c r="M6" s="33" t="str">
        <x:v>Error type</x:v>
      </x:c>
      <x:c r="N6" s="33" t="str">
        <x:v>Mistake noticed</x:v>
      </x:c>
      <x:c r="O6" s="33" t="str">
        <x:v>One-line rule</x:v>
      </x:c>
      <x:c r="P6" s="33" t="str">
        <x:v>Next action</x:v>
      </x:c>
      <x:c r="Q6" s="33" t="str">
        <x:v>Notes</x:v>
      </x:c>
    </x:row>
    <x:row r="7" ht="33" customHeight="1">
      <x:c r="A7" s="34" t="n">
        <x:v>46217</x:v>
      </x:c>
      <x:c r="B7" s="98" t="n">
        <x:v>1</x:v>
      </x:c>
      <x:c r="C7" s="98" t="n">
        <x:v>1</x:v>
      </x:c>
      <x:c r="D7" s="98" t="n">
        <x:v>151</x:v>
      </x:c>
      <x:c r="E7" s="99" t="str">
        <x:v>Getting Started</x:v>
      </x:c>
      <x:c r="F7" s="99"/>
      <x:c r="G7" s="99" t="str">
        <x:v>Getting Started</x:v>
      </x:c>
      <x:c r="H7" s="99" t="str">
        <x:v>step_one</x:v>
      </x:c>
      <x:c r="I7" s="99" t="str">
        <x:v>Solve from blank; check notes only after the attempt.</x:v>
      </x:c>
      <x:c r="J7" s="98" t="str">
        <x:v>Not Started</x:v>
      </x:c>
      <x:c r="K7" s="98"/>
      <x:c r="L7" s="98"/>
      <x:c r="M7" s="98" t="str">
        <x:v>None</x:v>
      </x:c>
      <x:c r="N7" s="99"/>
      <x:c r="O7" s="99"/>
      <x:c r="P7" s="99"/>
      <x:c r="Q7" s="99"/>
    </x:row>
    <x:row r="8" ht="33" customHeight="1">
      <x:c r="A8" s="34" t="n">
        <x:v>46217</x:v>
      </x:c>
      <x:c r="B8" s="98" t="n">
        <x:v>1</x:v>
      </x:c>
      <x:c r="C8" s="98" t="n">
        <x:v>2</x:v>
      </x:c>
      <x:c r="D8" s="98" t="n">
        <x:v>152</x:v>
      </x:c>
      <x:c r="E8" s="99" t="str">
        <x:v>Getting Started</x:v>
      </x:c>
      <x:c r="F8" s="99"/>
      <x:c r="G8" s="99" t="str">
        <x:v>Output Zero</x:v>
      </x:c>
      <x:c r="H8" s="99" t="str">
        <x:v>zero</x:v>
      </x:c>
      <x:c r="I8" s="99" t="str">
        <x:v>Solve from blank; check notes only after the attempt.</x:v>
      </x:c>
      <x:c r="J8" s="98" t="str">
        <x:v>Not Started</x:v>
      </x:c>
      <x:c r="K8" s="98"/>
      <x:c r="L8" s="98"/>
      <x:c r="M8" s="98" t="str">
        <x:v>None</x:v>
      </x:c>
      <x:c r="N8" s="99"/>
      <x:c r="O8" s="99"/>
      <x:c r="P8" s="99"/>
      <x:c r="Q8" s="99"/>
    </x:row>
    <x:row r="9" ht="33" customHeight="1">
      <x:c r="A9" s="34" t="n">
        <x:v>46217</x:v>
      </x:c>
      <x:c r="B9" s="98" t="n">
        <x:v>1</x:v>
      </x:c>
      <x:c r="C9" s="98" t="n">
        <x:v>3</x:v>
      </x:c>
      <x:c r="D9" s="98" t="n">
        <x:v>1</x:v>
      </x:c>
      <x:c r="E9" s="99" t="str">
        <x:v>Verilog Language</x:v>
      </x:c>
      <x:c r="F9" s="99" t="str">
        <x:v>Basics</x:v>
      </x:c>
      <x:c r="G9" s="99" t="str">
        <x:v>Simple wire</x:v>
      </x:c>
      <x:c r="H9" s="99" t="str">
        <x:v>wire</x:v>
      </x:c>
      <x:c r="I9" s="99" t="str">
        <x:v>Solve from blank; check notes only after the attempt.</x:v>
      </x:c>
      <x:c r="J9" s="98" t="str">
        <x:v>Not Started</x:v>
      </x:c>
      <x:c r="K9" s="98"/>
      <x:c r="L9" s="98"/>
      <x:c r="M9" s="98" t="str">
        <x:v>None</x:v>
      </x:c>
      <x:c r="N9" s="99"/>
      <x:c r="O9" s="99"/>
      <x:c r="P9" s="99"/>
      <x:c r="Q9" s="99"/>
    </x:row>
    <x:row r="10" ht="33" customHeight="1">
      <x:c r="A10" s="34" t="n">
        <x:v>46217</x:v>
      </x:c>
      <x:c r="B10" s="98" t="n">
        <x:v>1</x:v>
      </x:c>
      <x:c r="C10" s="98" t="n">
        <x:v>4</x:v>
      </x:c>
      <x:c r="D10" s="98" t="n">
        <x:v>2</x:v>
      </x:c>
      <x:c r="E10" s="99" t="str">
        <x:v>Verilog Language</x:v>
      </x:c>
      <x:c r="F10" s="99" t="str">
        <x:v>Basics</x:v>
      </x:c>
      <x:c r="G10" s="99" t="str">
        <x:v>Four wires</x:v>
      </x:c>
      <x:c r="H10" s="99" t="str">
        <x:v>wire4</x:v>
      </x:c>
      <x:c r="I10" s="99" t="str">
        <x:v>Solve from blank; check notes only after the attempt.</x:v>
      </x:c>
      <x:c r="J10" s="98" t="str">
        <x:v>Not Started</x:v>
      </x:c>
      <x:c r="K10" s="98"/>
      <x:c r="L10" s="98"/>
      <x:c r="M10" s="98" t="str">
        <x:v>None</x:v>
      </x:c>
      <x:c r="N10" s="99"/>
      <x:c r="O10" s="99"/>
      <x:c r="P10" s="99"/>
      <x:c r="Q10" s="99"/>
    </x:row>
    <x:row r="11" ht="33" customHeight="1">
      <x:c r="A11" s="34" t="n">
        <x:v>46217</x:v>
      </x:c>
      <x:c r="B11" s="98" t="n">
        <x:v>1</x:v>
      </x:c>
      <x:c r="C11" s="98" t="n">
        <x:v>5</x:v>
      </x:c>
      <x:c r="D11" s="98" t="n">
        <x:v>3</x:v>
      </x:c>
      <x:c r="E11" s="99" t="str">
        <x:v>Verilog Language</x:v>
      </x:c>
      <x:c r="F11" s="99" t="str">
        <x:v>Basics</x:v>
      </x:c>
      <x:c r="G11" s="99" t="str">
        <x:v>Inverter</x:v>
      </x:c>
      <x:c r="H11" s="99" t="str">
        <x:v>notgate</x:v>
      </x:c>
      <x:c r="I11" s="99" t="str">
        <x:v>Solve from blank; check notes only after the attempt.</x:v>
      </x:c>
      <x:c r="J11" s="98" t="str">
        <x:v>Not Started</x:v>
      </x:c>
      <x:c r="K11" s="98"/>
      <x:c r="L11" s="98"/>
      <x:c r="M11" s="98" t="str">
        <x:v>None</x:v>
      </x:c>
      <x:c r="N11" s="99"/>
      <x:c r="O11" s="99"/>
      <x:c r="P11" s="99"/>
      <x:c r="Q11" s="99"/>
    </x:row>
    <x:row r="12" ht="33" customHeight="1">
      <x:c r="A12" s="34" t="n">
        <x:v>46217</x:v>
      </x:c>
      <x:c r="B12" s="98" t="n">
        <x:v>1</x:v>
      </x:c>
      <x:c r="C12" s="98" t="n">
        <x:v>6</x:v>
      </x:c>
      <x:c r="D12" s="98" t="n">
        <x:v>4</x:v>
      </x:c>
      <x:c r="E12" s="99" t="str">
        <x:v>Verilog Language</x:v>
      </x:c>
      <x:c r="F12" s="99" t="str">
        <x:v>Basics</x:v>
      </x:c>
      <x:c r="G12" s="99" t="str">
        <x:v>AND gate</x:v>
      </x:c>
      <x:c r="H12" s="99" t="str">
        <x:v>andgate</x:v>
      </x:c>
      <x:c r="I12" s="99" t="str">
        <x:v>Solve from blank; check notes only after the attempt.</x:v>
      </x:c>
      <x:c r="J12" s="98" t="str">
        <x:v>Not Started</x:v>
      </x:c>
      <x:c r="K12" s="98"/>
      <x:c r="L12" s="98"/>
      <x:c r="M12" s="98" t="str">
        <x:v>None</x:v>
      </x:c>
      <x:c r="N12" s="99"/>
      <x:c r="O12" s="99"/>
      <x:c r="P12" s="99"/>
      <x:c r="Q12" s="99"/>
    </x:row>
    <x:row r="13" ht="33" customHeight="1">
      <x:c r="A13" s="34" t="n">
        <x:v>46217</x:v>
      </x:c>
      <x:c r="B13" s="98" t="n">
        <x:v>1</x:v>
      </x:c>
      <x:c r="C13" s="98" t="n">
        <x:v>7</x:v>
      </x:c>
      <x:c r="D13" s="98" t="n">
        <x:v>5</x:v>
      </x:c>
      <x:c r="E13" s="99" t="str">
        <x:v>Verilog Language</x:v>
      </x:c>
      <x:c r="F13" s="99" t="str">
        <x:v>Basics</x:v>
      </x:c>
      <x:c r="G13" s="99" t="str">
        <x:v>NOR gate</x:v>
      </x:c>
      <x:c r="H13" s="99" t="str">
        <x:v>norgate</x:v>
      </x:c>
      <x:c r="I13" s="99" t="str">
        <x:v>Solve from blank; check notes only after the attempt.</x:v>
      </x:c>
      <x:c r="J13" s="98" t="str">
        <x:v>Not Started</x:v>
      </x:c>
      <x:c r="K13" s="98"/>
      <x:c r="L13" s="98"/>
      <x:c r="M13" s="98" t="str">
        <x:v>None</x:v>
      </x:c>
      <x:c r="N13" s="99"/>
      <x:c r="O13" s="99"/>
      <x:c r="P13" s="99"/>
      <x:c r="Q13" s="99"/>
    </x:row>
    <x:row r="14" ht="33" customHeight="1">
      <x:c r="A14" s="34" t="n">
        <x:v>46217</x:v>
      </x:c>
      <x:c r="B14" s="98" t="n">
        <x:v>1</x:v>
      </x:c>
      <x:c r="C14" s="98" t="n">
        <x:v>8</x:v>
      </x:c>
      <x:c r="D14" s="98" t="n">
        <x:v>6</x:v>
      </x:c>
      <x:c r="E14" s="99" t="str">
        <x:v>Verilog Language</x:v>
      </x:c>
      <x:c r="F14" s="99" t="str">
        <x:v>Basics</x:v>
      </x:c>
      <x:c r="G14" s="99" t="str">
        <x:v>XNOR gate</x:v>
      </x:c>
      <x:c r="H14" s="99" t="str">
        <x:v>xnorgate</x:v>
      </x:c>
      <x:c r="I14" s="99" t="str">
        <x:v>Solve from blank; check notes only after the attempt.</x:v>
      </x:c>
      <x:c r="J14" s="98" t="str">
        <x:v>Not Started</x:v>
      </x:c>
      <x:c r="K14" s="98"/>
      <x:c r="L14" s="98"/>
      <x:c r="M14" s="98" t="str">
        <x:v>None</x:v>
      </x:c>
      <x:c r="N14" s="99"/>
      <x:c r="O14" s="99"/>
      <x:c r="P14" s="99"/>
      <x:c r="Q14" s="99"/>
    </x:row>
    <x:row r="15" ht="33" customHeight="1">
      <x:c r="A15" s="34" t="n">
        <x:v>46217</x:v>
      </x:c>
      <x:c r="B15" s="98" t="n">
        <x:v>1</x:v>
      </x:c>
      <x:c r="C15" s="98" t="n">
        <x:v>9</x:v>
      </x:c>
      <x:c r="D15" s="98" t="n">
        <x:v>7</x:v>
      </x:c>
      <x:c r="E15" s="99" t="str">
        <x:v>Verilog Language</x:v>
      </x:c>
      <x:c r="F15" s="99" t="str">
        <x:v>Basics</x:v>
      </x:c>
      <x:c r="G15" s="99" t="str">
        <x:v>Declaring wires</x:v>
      </x:c>
      <x:c r="H15" s="99" t="str">
        <x:v>wire_decl</x:v>
      </x:c>
      <x:c r="I15" s="99" t="str">
        <x:v>Solve from blank; check notes only after the attempt.</x:v>
      </x:c>
      <x:c r="J15" s="98" t="str">
        <x:v>Not Started</x:v>
      </x:c>
      <x:c r="K15" s="98"/>
      <x:c r="L15" s="98"/>
      <x:c r="M15" s="98" t="str">
        <x:v>None</x:v>
      </x:c>
      <x:c r="N15" s="99"/>
      <x:c r="O15" s="99"/>
      <x:c r="P15" s="99"/>
      <x:c r="Q15" s="99"/>
    </x:row>
    <x:row r="16" ht="33" customHeight="1">
      <x:c r="A16" s="34" t="n">
        <x:v>46217</x:v>
      </x:c>
      <x:c r="B16" s="98" t="n">
        <x:v>1</x:v>
      </x:c>
      <x:c r="C16" s="98" t="n">
        <x:v>10</x:v>
      </x:c>
      <x:c r="D16" s="98" t="n">
        <x:v>8</x:v>
      </x:c>
      <x:c r="E16" s="99" t="str">
        <x:v>Verilog Language</x:v>
      </x:c>
      <x:c r="F16" s="99" t="str">
        <x:v>Basics</x:v>
      </x:c>
      <x:c r="G16" s="99" t="str">
        <x:v>7458 chip</x:v>
      </x:c>
      <x:c r="H16" s="99" t="str">
        <x:v>7458</x:v>
      </x:c>
      <x:c r="I16" s="99" t="str">
        <x:v>Solve from blank; check notes only after the attempt.</x:v>
      </x:c>
      <x:c r="J16" s="98" t="str">
        <x:v>Not Started</x:v>
      </x:c>
      <x:c r="K16" s="98"/>
      <x:c r="L16" s="98"/>
      <x:c r="M16" s="98" t="str">
        <x:v>None</x:v>
      </x:c>
      <x:c r="N16" s="99"/>
      <x:c r="O16" s="99"/>
      <x:c r="P16" s="99"/>
      <x:c r="Q16" s="99"/>
    </x:row>
    <x:row r="17" ht="33" customHeight="1">
      <x:c r="A17" s="34" t="n">
        <x:v>46218</x:v>
      </x:c>
      <x:c r="B17" s="98" t="n">
        <x:v>2</x:v>
      </x:c>
      <x:c r="C17" s="98" t="n">
        <x:v>11</x:v>
      </x:c>
      <x:c r="D17" s="98" t="n">
        <x:v>9</x:v>
      </x:c>
      <x:c r="E17" s="99" t="str">
        <x:v>Verilog Language</x:v>
      </x:c>
      <x:c r="F17" s="99" t="str">
        <x:v>Vectors</x:v>
      </x:c>
      <x:c r="G17" s="99" t="str">
        <x:v>Vectors</x:v>
      </x:c>
      <x:c r="H17" s="99" t="str">
        <x:v>vector0</x:v>
      </x:c>
      <x:c r="I17" s="99" t="str">
        <x:v>Solve from blank; check notes only after the attempt.</x:v>
      </x:c>
      <x:c r="J17" s="98" t="str">
        <x:v>Not Started</x:v>
      </x:c>
      <x:c r="K17" s="98"/>
      <x:c r="L17" s="98"/>
      <x:c r="M17" s="98" t="str">
        <x:v>None</x:v>
      </x:c>
      <x:c r="N17" s="99"/>
      <x:c r="O17" s="99"/>
      <x:c r="P17" s="99"/>
      <x:c r="Q17" s="99"/>
    </x:row>
    <x:row r="18" ht="33" customHeight="1">
      <x:c r="A18" s="34" t="n">
        <x:v>46218</x:v>
      </x:c>
      <x:c r="B18" s="98" t="n">
        <x:v>2</x:v>
      </x:c>
      <x:c r="C18" s="98" t="n">
        <x:v>12</x:v>
      </x:c>
      <x:c r="D18" s="98" t="n">
        <x:v>10</x:v>
      </x:c>
      <x:c r="E18" s="99" t="str">
        <x:v>Verilog Language</x:v>
      </x:c>
      <x:c r="F18" s="99" t="str">
        <x:v>Vectors</x:v>
      </x:c>
      <x:c r="G18" s="99" t="str">
        <x:v>Vectors in more detail</x:v>
      </x:c>
      <x:c r="H18" s="99" t="str">
        <x:v>vector1</x:v>
      </x:c>
      <x:c r="I18" s="99" t="str">
        <x:v>Solve from blank; check notes only after the attempt.</x:v>
      </x:c>
      <x:c r="J18" s="98" t="str">
        <x:v>Not Started</x:v>
      </x:c>
      <x:c r="K18" s="98"/>
      <x:c r="L18" s="98"/>
      <x:c r="M18" s="98" t="str">
        <x:v>None</x:v>
      </x:c>
      <x:c r="N18" s="99"/>
      <x:c r="O18" s="99"/>
      <x:c r="P18" s="99"/>
      <x:c r="Q18" s="99"/>
    </x:row>
    <x:row r="19" ht="33" customHeight="1">
      <x:c r="A19" s="34" t="n">
        <x:v>46218</x:v>
      </x:c>
      <x:c r="B19" s="98" t="n">
        <x:v>2</x:v>
      </x:c>
      <x:c r="C19" s="98" t="n">
        <x:v>13</x:v>
      </x:c>
      <x:c r="D19" s="98" t="n">
        <x:v>11</x:v>
      </x:c>
      <x:c r="E19" s="99" t="str">
        <x:v>Verilog Language</x:v>
      </x:c>
      <x:c r="F19" s="99" t="str">
        <x:v>Vectors</x:v>
      </x:c>
      <x:c r="G19" s="99" t="str">
        <x:v>Vector part select</x:v>
      </x:c>
      <x:c r="H19" s="99" t="str">
        <x:v>vector2</x:v>
      </x:c>
      <x:c r="I19" s="99" t="str">
        <x:v>Solve from blank; check notes only after the attempt.</x:v>
      </x:c>
      <x:c r="J19" s="98" t="str">
        <x:v>Not Started</x:v>
      </x:c>
      <x:c r="K19" s="98"/>
      <x:c r="L19" s="98"/>
      <x:c r="M19" s="98" t="str">
        <x:v>None</x:v>
      </x:c>
      <x:c r="N19" s="99"/>
      <x:c r="O19" s="99"/>
      <x:c r="P19" s="99"/>
      <x:c r="Q19" s="99"/>
    </x:row>
    <x:row r="20" ht="33" customHeight="1">
      <x:c r="A20" s="34" t="n">
        <x:v>46218</x:v>
      </x:c>
      <x:c r="B20" s="98" t="n">
        <x:v>2</x:v>
      </x:c>
      <x:c r="C20" s="98" t="n">
        <x:v>14</x:v>
      </x:c>
      <x:c r="D20" s="98" t="n">
        <x:v>12</x:v>
      </x:c>
      <x:c r="E20" s="99" t="str">
        <x:v>Verilog Language</x:v>
      </x:c>
      <x:c r="F20" s="99" t="str">
        <x:v>Vectors</x:v>
      </x:c>
      <x:c r="G20" s="99" t="str">
        <x:v>Bitwise operators</x:v>
      </x:c>
      <x:c r="H20" s="99" t="str">
        <x:v>vectorgates</x:v>
      </x:c>
      <x:c r="I20" s="99" t="str">
        <x:v>Solve from blank; check notes only after the attempt.</x:v>
      </x:c>
      <x:c r="J20" s="98" t="str">
        <x:v>Not Started</x:v>
      </x:c>
      <x:c r="K20" s="98"/>
      <x:c r="L20" s="98"/>
      <x:c r="M20" s="98" t="str">
        <x:v>None</x:v>
      </x:c>
      <x:c r="N20" s="99"/>
      <x:c r="O20" s="99"/>
      <x:c r="P20" s="99"/>
      <x:c r="Q20" s="99"/>
    </x:row>
    <x:row r="21" ht="33" customHeight="1">
      <x:c r="A21" s="34" t="n">
        <x:v>46218</x:v>
      </x:c>
      <x:c r="B21" s="98" t="n">
        <x:v>2</x:v>
      </x:c>
      <x:c r="C21" s="98" t="n">
        <x:v>15</x:v>
      </x:c>
      <x:c r="D21" s="98" t="n">
        <x:v>13</x:v>
      </x:c>
      <x:c r="E21" s="99" t="str">
        <x:v>Verilog Language</x:v>
      </x:c>
      <x:c r="F21" s="99" t="str">
        <x:v>Vectors</x:v>
      </x:c>
      <x:c r="G21" s="99" t="str">
        <x:v>Four-input gates</x:v>
      </x:c>
      <x:c r="H21" s="99" t="str">
        <x:v>gates4</x:v>
      </x:c>
      <x:c r="I21" s="99" t="str">
        <x:v>Solve from blank; check notes only after the attempt.</x:v>
      </x:c>
      <x:c r="J21" s="98" t="str">
        <x:v>Not Started</x:v>
      </x:c>
      <x:c r="K21" s="98"/>
      <x:c r="L21" s="98"/>
      <x:c r="M21" s="98" t="str">
        <x:v>None</x:v>
      </x:c>
      <x:c r="N21" s="99"/>
      <x:c r="O21" s="99"/>
      <x:c r="P21" s="99"/>
      <x:c r="Q21" s="99"/>
    </x:row>
    <x:row r="22" ht="33" customHeight="1">
      <x:c r="A22" s="34" t="n">
        <x:v>46218</x:v>
      </x:c>
      <x:c r="B22" s="98" t="n">
        <x:v>2</x:v>
      </x:c>
      <x:c r="C22" s="98" t="n">
        <x:v>16</x:v>
      </x:c>
      <x:c r="D22" s="98" t="n">
        <x:v>14</x:v>
      </x:c>
      <x:c r="E22" s="99" t="str">
        <x:v>Verilog Language</x:v>
      </x:c>
      <x:c r="F22" s="99" t="str">
        <x:v>Vectors</x:v>
      </x:c>
      <x:c r="G22" s="99" t="str">
        <x:v>Vector concatenation operator</x:v>
      </x:c>
      <x:c r="H22" s="99" t="str">
        <x:v>vector3</x:v>
      </x:c>
      <x:c r="I22" s="99" t="str">
        <x:v>Solve from blank; check notes only after the attempt.</x:v>
      </x:c>
      <x:c r="J22" s="98" t="str">
        <x:v>Not Started</x:v>
      </x:c>
      <x:c r="K22" s="98"/>
      <x:c r="L22" s="98"/>
      <x:c r="M22" s="98" t="str">
        <x:v>None</x:v>
      </x:c>
      <x:c r="N22" s="99"/>
      <x:c r="O22" s="99"/>
      <x:c r="P22" s="99"/>
      <x:c r="Q22" s="99"/>
    </x:row>
    <x:row r="23" ht="33" customHeight="1">
      <x:c r="A23" s="34" t="n">
        <x:v>46218</x:v>
      </x:c>
      <x:c r="B23" s="98" t="n">
        <x:v>2</x:v>
      </x:c>
      <x:c r="C23" s="98" t="n">
        <x:v>17</x:v>
      </x:c>
      <x:c r="D23" s="98" t="n">
        <x:v>15</x:v>
      </x:c>
      <x:c r="E23" s="99" t="str">
        <x:v>Verilog Language</x:v>
      </x:c>
      <x:c r="F23" s="99" t="str">
        <x:v>Vectors</x:v>
      </x:c>
      <x:c r="G23" s="99" t="str">
        <x:v>Vector reversal 1</x:v>
      </x:c>
      <x:c r="H23" s="99" t="str">
        <x:v>vectorr</x:v>
      </x:c>
      <x:c r="I23" s="99" t="str">
        <x:v>Solve from blank; check notes only after the attempt.</x:v>
      </x:c>
      <x:c r="J23" s="98" t="str">
        <x:v>Not Started</x:v>
      </x:c>
      <x:c r="K23" s="98"/>
      <x:c r="L23" s="98"/>
      <x:c r="M23" s="98" t="str">
        <x:v>None</x:v>
      </x:c>
      <x:c r="N23" s="99"/>
      <x:c r="O23" s="99"/>
      <x:c r="P23" s="99"/>
      <x:c r="Q23" s="99"/>
    </x:row>
    <x:row r="24" ht="33" customHeight="1">
      <x:c r="A24" s="34" t="n">
        <x:v>46218</x:v>
      </x:c>
      <x:c r="B24" s="98" t="n">
        <x:v>2</x:v>
      </x:c>
      <x:c r="C24" s="98" t="n">
        <x:v>18</x:v>
      </x:c>
      <x:c r="D24" s="98" t="n">
        <x:v>16</x:v>
      </x:c>
      <x:c r="E24" s="99" t="str">
        <x:v>Verilog Language</x:v>
      </x:c>
      <x:c r="F24" s="99" t="str">
        <x:v>Vectors</x:v>
      </x:c>
      <x:c r="G24" s="99" t="str">
        <x:v>Replication operator</x:v>
      </x:c>
      <x:c r="H24" s="99" t="str">
        <x:v>vector4</x:v>
      </x:c>
      <x:c r="I24" s="99" t="str">
        <x:v>Solve from blank; check notes only after the attempt.</x:v>
      </x:c>
      <x:c r="J24" s="98" t="str">
        <x:v>Not Started</x:v>
      </x:c>
      <x:c r="K24" s="98"/>
      <x:c r="L24" s="98"/>
      <x:c r="M24" s="98" t="str">
        <x:v>None</x:v>
      </x:c>
      <x:c r="N24" s="99"/>
      <x:c r="O24" s="99"/>
      <x:c r="P24" s="99"/>
      <x:c r="Q24" s="99"/>
    </x:row>
    <x:row r="25" ht="33" customHeight="1">
      <x:c r="A25" s="34" t="n">
        <x:v>46218</x:v>
      </x:c>
      <x:c r="B25" s="98" t="n">
        <x:v>2</x:v>
      </x:c>
      <x:c r="C25" s="98" t="n">
        <x:v>19</x:v>
      </x:c>
      <x:c r="D25" s="98" t="n">
        <x:v>17</x:v>
      </x:c>
      <x:c r="E25" s="99" t="str">
        <x:v>Verilog Language</x:v>
      </x:c>
      <x:c r="F25" s="99" t="str">
        <x:v>Vectors</x:v>
      </x:c>
      <x:c r="G25" s="99" t="str">
        <x:v>More replication</x:v>
      </x:c>
      <x:c r="H25" s="99" t="str">
        <x:v>vector5</x:v>
      </x:c>
      <x:c r="I25" s="99" t="str">
        <x:v>Solve from blank; check notes only after the attempt.</x:v>
      </x:c>
      <x:c r="J25" s="98" t="str">
        <x:v>Not Started</x:v>
      </x:c>
      <x:c r="K25" s="98"/>
      <x:c r="L25" s="98"/>
      <x:c r="M25" s="98" t="str">
        <x:v>None</x:v>
      </x:c>
      <x:c r="N25" s="99"/>
      <x:c r="O25" s="99"/>
      <x:c r="P25" s="99"/>
      <x:c r="Q25" s="99"/>
    </x:row>
    <x:row r="26" ht="33" customHeight="1">
      <x:c r="A26" s="34" t="n">
        <x:v>46218</x:v>
      </x:c>
      <x:c r="B26" s="98" t="n">
        <x:v>2</x:v>
      </x:c>
      <x:c r="C26" s="98" t="n">
        <x:v>20</x:v>
      </x:c>
      <x:c r="D26" s="98" t="n">
        <x:v>18</x:v>
      </x:c>
      <x:c r="E26" s="99" t="str">
        <x:v>Verilog Language</x:v>
      </x:c>
      <x:c r="F26" s="99" t="str">
        <x:v>Modules: Hierarchy</x:v>
      </x:c>
      <x:c r="G26" s="99" t="str">
        <x:v>Modules</x:v>
      </x:c>
      <x:c r="H26" s="99" t="str">
        <x:v>module</x:v>
      </x:c>
      <x:c r="I26" s="99" t="str">
        <x:v>Solve from blank; check notes only after the attempt.</x:v>
      </x:c>
      <x:c r="J26" s="98" t="str">
        <x:v>Not Started</x:v>
      </x:c>
      <x:c r="K26" s="98"/>
      <x:c r="L26" s="98"/>
      <x:c r="M26" s="98" t="str">
        <x:v>None</x:v>
      </x:c>
      <x:c r="N26" s="99"/>
      <x:c r="O26" s="99"/>
      <x:c r="P26" s="99"/>
      <x:c r="Q26" s="99"/>
    </x:row>
    <x:row r="27" ht="33" customHeight="1">
      <x:c r="A27" s="34" t="n">
        <x:v>46219</x:v>
      </x:c>
      <x:c r="B27" s="98" t="n">
        <x:v>3</x:v>
      </x:c>
      <x:c r="C27" s="98" t="n">
        <x:v>21</x:v>
      </x:c>
      <x:c r="D27" s="98" t="n">
        <x:v>19</x:v>
      </x:c>
      <x:c r="E27" s="99" t="str">
        <x:v>Verilog Language</x:v>
      </x:c>
      <x:c r="F27" s="99" t="str">
        <x:v>Modules: Hierarchy</x:v>
      </x:c>
      <x:c r="G27" s="99" t="str">
        <x:v>Connecting ports by position</x:v>
      </x:c>
      <x:c r="H27" s="99" t="str">
        <x:v>module_pos</x:v>
      </x:c>
      <x:c r="I27" s="99" t="str">
        <x:v>Solve from blank; check notes only after the attempt.</x:v>
      </x:c>
      <x:c r="J27" s="98" t="str">
        <x:v>Not Started</x:v>
      </x:c>
      <x:c r="K27" s="98"/>
      <x:c r="L27" s="98"/>
      <x:c r="M27" s="98" t="str">
        <x:v>None</x:v>
      </x:c>
      <x:c r="N27" s="99"/>
      <x:c r="O27" s="99"/>
      <x:c r="P27" s="99"/>
      <x:c r="Q27" s="99"/>
    </x:row>
    <x:row r="28" ht="33" customHeight="1">
      <x:c r="A28" s="34" t="n">
        <x:v>46219</x:v>
      </x:c>
      <x:c r="B28" s="98" t="n">
        <x:v>3</x:v>
      </x:c>
      <x:c r="C28" s="98" t="n">
        <x:v>22</x:v>
      </x:c>
      <x:c r="D28" s="98" t="n">
        <x:v>20</x:v>
      </x:c>
      <x:c r="E28" s="99" t="str">
        <x:v>Verilog Language</x:v>
      </x:c>
      <x:c r="F28" s="99" t="str">
        <x:v>Modules: Hierarchy</x:v>
      </x:c>
      <x:c r="G28" s="99" t="str">
        <x:v>Connecting ports by name</x:v>
      </x:c>
      <x:c r="H28" s="99" t="str">
        <x:v>module_name</x:v>
      </x:c>
      <x:c r="I28" s="99" t="str">
        <x:v>Solve from blank; check notes only after the attempt.</x:v>
      </x:c>
      <x:c r="J28" s="98" t="str">
        <x:v>Not Started</x:v>
      </x:c>
      <x:c r="K28" s="98"/>
      <x:c r="L28" s="98"/>
      <x:c r="M28" s="98" t="str">
        <x:v>None</x:v>
      </x:c>
      <x:c r="N28" s="99"/>
      <x:c r="O28" s="99"/>
      <x:c r="P28" s="99"/>
      <x:c r="Q28" s="99"/>
    </x:row>
    <x:row r="29" ht="33" customHeight="1">
      <x:c r="A29" s="34" t="n">
        <x:v>46219</x:v>
      </x:c>
      <x:c r="B29" s="98" t="n">
        <x:v>3</x:v>
      </x:c>
      <x:c r="C29" s="98" t="n">
        <x:v>23</x:v>
      </x:c>
      <x:c r="D29" s="98" t="n">
        <x:v>21</x:v>
      </x:c>
      <x:c r="E29" s="99" t="str">
        <x:v>Verilog Language</x:v>
      </x:c>
      <x:c r="F29" s="99" t="str">
        <x:v>Modules: Hierarchy</x:v>
      </x:c>
      <x:c r="G29" s="99" t="str">
        <x:v>Three modules</x:v>
      </x:c>
      <x:c r="H29" s="99" t="str">
        <x:v>module_shift</x:v>
      </x:c>
      <x:c r="I29" s="99" t="str">
        <x:v>Solve from blank; check notes only after the attempt.</x:v>
      </x:c>
      <x:c r="J29" s="98" t="str">
        <x:v>Not Started</x:v>
      </x:c>
      <x:c r="K29" s="98"/>
      <x:c r="L29" s="98"/>
      <x:c r="M29" s="98" t="str">
        <x:v>None</x:v>
      </x:c>
      <x:c r="N29" s="99"/>
      <x:c r="O29" s="99"/>
      <x:c r="P29" s="99"/>
      <x:c r="Q29" s="99"/>
    </x:row>
    <x:row r="30" ht="33" customHeight="1">
      <x:c r="A30" s="34" t="n">
        <x:v>46219</x:v>
      </x:c>
      <x:c r="B30" s="98" t="n">
        <x:v>3</x:v>
      </x:c>
      <x:c r="C30" s="98" t="n">
        <x:v>24</x:v>
      </x:c>
      <x:c r="D30" s="98" t="n">
        <x:v>22</x:v>
      </x:c>
      <x:c r="E30" s="99" t="str">
        <x:v>Verilog Language</x:v>
      </x:c>
      <x:c r="F30" s="99" t="str">
        <x:v>Modules: Hierarchy</x:v>
      </x:c>
      <x:c r="G30" s="99" t="str">
        <x:v>Modules and vectors</x:v>
      </x:c>
      <x:c r="H30" s="99" t="str">
        <x:v>module_shift8</x:v>
      </x:c>
      <x:c r="I30" s="99" t="str">
        <x:v>Solve from blank; check notes only after the attempt.</x:v>
      </x:c>
      <x:c r="J30" s="98" t="str">
        <x:v>Not Started</x:v>
      </x:c>
      <x:c r="K30" s="98"/>
      <x:c r="L30" s="98"/>
      <x:c r="M30" s="98" t="str">
        <x:v>None</x:v>
      </x:c>
      <x:c r="N30" s="99"/>
      <x:c r="O30" s="99"/>
      <x:c r="P30" s="99"/>
      <x:c r="Q30" s="99"/>
    </x:row>
    <x:row r="31" ht="33" customHeight="1">
      <x:c r="A31" s="34" t="n">
        <x:v>46219</x:v>
      </x:c>
      <x:c r="B31" s="98" t="n">
        <x:v>3</x:v>
      </x:c>
      <x:c r="C31" s="98" t="n">
        <x:v>25</x:v>
      </x:c>
      <x:c r="D31" s="98" t="n">
        <x:v>23</x:v>
      </x:c>
      <x:c r="E31" s="99" t="str">
        <x:v>Verilog Language</x:v>
      </x:c>
      <x:c r="F31" s="99" t="str">
        <x:v>Modules: Hierarchy</x:v>
      </x:c>
      <x:c r="G31" s="99" t="str">
        <x:v>Adder 1</x:v>
      </x:c>
      <x:c r="H31" s="99" t="str">
        <x:v>module_add</x:v>
      </x:c>
      <x:c r="I31" s="99" t="str">
        <x:v>Solve from blank; check notes only after the attempt.</x:v>
      </x:c>
      <x:c r="J31" s="98" t="str">
        <x:v>Not Started</x:v>
      </x:c>
      <x:c r="K31" s="98"/>
      <x:c r="L31" s="98"/>
      <x:c r="M31" s="98" t="str">
        <x:v>None</x:v>
      </x:c>
      <x:c r="N31" s="99"/>
      <x:c r="O31" s="99"/>
      <x:c r="P31" s="99"/>
      <x:c r="Q31" s="99"/>
    </x:row>
    <x:row r="32" ht="33" customHeight="1">
      <x:c r="A32" s="34" t="n">
        <x:v>46219</x:v>
      </x:c>
      <x:c r="B32" s="98" t="n">
        <x:v>3</x:v>
      </x:c>
      <x:c r="C32" s="98" t="n">
        <x:v>26</x:v>
      </x:c>
      <x:c r="D32" s="98" t="n">
        <x:v>24</x:v>
      </x:c>
      <x:c r="E32" s="99" t="str">
        <x:v>Verilog Language</x:v>
      </x:c>
      <x:c r="F32" s="99" t="str">
        <x:v>Modules: Hierarchy</x:v>
      </x:c>
      <x:c r="G32" s="99" t="str">
        <x:v>Adder 2</x:v>
      </x:c>
      <x:c r="H32" s="99" t="str">
        <x:v>module_fadd</x:v>
      </x:c>
      <x:c r="I32" s="99" t="str">
        <x:v>Solve from blank; check notes only after the attempt.</x:v>
      </x:c>
      <x:c r="J32" s="98" t="str">
        <x:v>Not Started</x:v>
      </x:c>
      <x:c r="K32" s="98"/>
      <x:c r="L32" s="98"/>
      <x:c r="M32" s="98" t="str">
        <x:v>None</x:v>
      </x:c>
      <x:c r="N32" s="99"/>
      <x:c r="O32" s="99"/>
      <x:c r="P32" s="99"/>
      <x:c r="Q32" s="99"/>
    </x:row>
    <x:row r="33" ht="33" customHeight="1">
      <x:c r="A33" s="34" t="n">
        <x:v>46219</x:v>
      </x:c>
      <x:c r="B33" s="98" t="n">
        <x:v>3</x:v>
      </x:c>
      <x:c r="C33" s="98" t="n">
        <x:v>27</x:v>
      </x:c>
      <x:c r="D33" s="98" t="n">
        <x:v>25</x:v>
      </x:c>
      <x:c r="E33" s="99" t="str">
        <x:v>Verilog Language</x:v>
      </x:c>
      <x:c r="F33" s="99" t="str">
        <x:v>Modules: Hierarchy</x:v>
      </x:c>
      <x:c r="G33" s="99" t="str">
        <x:v>Carry-select adder</x:v>
      </x:c>
      <x:c r="H33" s="99" t="str">
        <x:v>module_cseladd</x:v>
      </x:c>
      <x:c r="I33" s="99" t="str">
        <x:v>Solve from blank; check notes only after the attempt.</x:v>
      </x:c>
      <x:c r="J33" s="98" t="str">
        <x:v>Not Started</x:v>
      </x:c>
      <x:c r="K33" s="98"/>
      <x:c r="L33" s="98"/>
      <x:c r="M33" s="98" t="str">
        <x:v>None</x:v>
      </x:c>
      <x:c r="N33" s="99"/>
      <x:c r="O33" s="99"/>
      <x:c r="P33" s="99"/>
      <x:c r="Q33" s="99"/>
    </x:row>
    <x:row r="34" ht="33" customHeight="1">
      <x:c r="A34" s="34" t="n">
        <x:v>46219</x:v>
      </x:c>
      <x:c r="B34" s="98" t="n">
        <x:v>3</x:v>
      </x:c>
      <x:c r="C34" s="98" t="n">
        <x:v>28</x:v>
      </x:c>
      <x:c r="D34" s="98" t="n">
        <x:v>26</x:v>
      </x:c>
      <x:c r="E34" s="99" t="str">
        <x:v>Verilog Language</x:v>
      </x:c>
      <x:c r="F34" s="99" t="str">
        <x:v>Modules: Hierarchy</x:v>
      </x:c>
      <x:c r="G34" s="99" t="str">
        <x:v>Adder-subtractor</x:v>
      </x:c>
      <x:c r="H34" s="99" t="str">
        <x:v>module_addsub</x:v>
      </x:c>
      <x:c r="I34" s="99" t="str">
        <x:v>Solve from blank; check notes only after the attempt.</x:v>
      </x:c>
      <x:c r="J34" s="98" t="str">
        <x:v>Not Started</x:v>
      </x:c>
      <x:c r="K34" s="98"/>
      <x:c r="L34" s="98"/>
      <x:c r="M34" s="98" t="str">
        <x:v>None</x:v>
      </x:c>
      <x:c r="N34" s="99"/>
      <x:c r="O34" s="99"/>
      <x:c r="P34" s="99"/>
      <x:c r="Q34" s="99"/>
    </x:row>
    <x:row r="35" ht="33" customHeight="1">
      <x:c r="A35" s="34" t="n">
        <x:v>46219</x:v>
      </x:c>
      <x:c r="B35" s="98" t="n">
        <x:v>3</x:v>
      </x:c>
      <x:c r="C35" s="98" t="n">
        <x:v>29</x:v>
      </x:c>
      <x:c r="D35" s="98" t="n">
        <x:v>27</x:v>
      </x:c>
      <x:c r="E35" s="99" t="str">
        <x:v>Verilog Language</x:v>
      </x:c>
      <x:c r="F35" s="99" t="str">
        <x:v>Procedures</x:v>
      </x:c>
      <x:c r="G35" s="99" t="str">
        <x:v>Always blocks (combinational)</x:v>
      </x:c>
      <x:c r="H35" s="99" t="str">
        <x:v>alwaysblock1</x:v>
      </x:c>
      <x:c r="I35" s="99" t="str">
        <x:v>Solve from blank; check notes only after the attempt.</x:v>
      </x:c>
      <x:c r="J35" s="98" t="str">
        <x:v>Not Started</x:v>
      </x:c>
      <x:c r="K35" s="98"/>
      <x:c r="L35" s="98"/>
      <x:c r="M35" s="98" t="str">
        <x:v>None</x:v>
      </x:c>
      <x:c r="N35" s="99"/>
      <x:c r="O35" s="99"/>
      <x:c r="P35" s="99"/>
      <x:c r="Q35" s="99"/>
    </x:row>
    <x:row r="36" ht="33" customHeight="1">
      <x:c r="A36" s="34" t="n">
        <x:v>46219</x:v>
      </x:c>
      <x:c r="B36" s="98" t="n">
        <x:v>3</x:v>
      </x:c>
      <x:c r="C36" s="98" t="n">
        <x:v>30</x:v>
      </x:c>
      <x:c r="D36" s="98" t="n">
        <x:v>28</x:v>
      </x:c>
      <x:c r="E36" s="99" t="str">
        <x:v>Verilog Language</x:v>
      </x:c>
      <x:c r="F36" s="99" t="str">
        <x:v>Procedures</x:v>
      </x:c>
      <x:c r="G36" s="99" t="str">
        <x:v>Always blocks (clocked)</x:v>
      </x:c>
      <x:c r="H36" s="99" t="str">
        <x:v>alwaysblock2</x:v>
      </x:c>
      <x:c r="I36" s="99" t="str">
        <x:v>Solve from blank; check notes only after the attempt.</x:v>
      </x:c>
      <x:c r="J36" s="98" t="str">
        <x:v>Not Started</x:v>
      </x:c>
      <x:c r="K36" s="98"/>
      <x:c r="L36" s="98"/>
      <x:c r="M36" s="98" t="str">
        <x:v>None</x:v>
      </x:c>
      <x:c r="N36" s="99"/>
      <x:c r="O36" s="99"/>
      <x:c r="P36" s="99"/>
      <x:c r="Q36" s="99"/>
    </x:row>
    <x:row r="37" ht="33" customHeight="1">
      <x:c r="A37" s="34" t="n">
        <x:v>46220</x:v>
      </x:c>
      <x:c r="B37" s="98" t="n">
        <x:v>4</x:v>
      </x:c>
      <x:c r="C37" s="98" t="n">
        <x:v>31</x:v>
      </x:c>
      <x:c r="D37" s="98" t="n">
        <x:v>29</x:v>
      </x:c>
      <x:c r="E37" s="99" t="str">
        <x:v>Verilog Language</x:v>
      </x:c>
      <x:c r="F37" s="99" t="str">
        <x:v>Procedures</x:v>
      </x:c>
      <x:c r="G37" s="99" t="str">
        <x:v>If statement</x:v>
      </x:c>
      <x:c r="H37" s="99" t="str">
        <x:v>always_if</x:v>
      </x:c>
      <x:c r="I37" s="99" t="str">
        <x:v>Solve from blank; check notes only after the attempt.</x:v>
      </x:c>
      <x:c r="J37" s="98" t="str">
        <x:v>Not Started</x:v>
      </x:c>
      <x:c r="K37" s="98"/>
      <x:c r="L37" s="98"/>
      <x:c r="M37" s="98" t="str">
        <x:v>None</x:v>
      </x:c>
      <x:c r="N37" s="99"/>
      <x:c r="O37" s="99"/>
      <x:c r="P37" s="99"/>
      <x:c r="Q37" s="99"/>
    </x:row>
    <x:row r="38" ht="33" customHeight="1">
      <x:c r="A38" s="34" t="n">
        <x:v>46220</x:v>
      </x:c>
      <x:c r="B38" s="98" t="n">
        <x:v>4</x:v>
      </x:c>
      <x:c r="C38" s="98" t="n">
        <x:v>32</x:v>
      </x:c>
      <x:c r="D38" s="98" t="n">
        <x:v>30</x:v>
      </x:c>
      <x:c r="E38" s="99" t="str">
        <x:v>Verilog Language</x:v>
      </x:c>
      <x:c r="F38" s="99" t="str">
        <x:v>Procedures</x:v>
      </x:c>
      <x:c r="G38" s="99" t="str">
        <x:v>If statement latches</x:v>
      </x:c>
      <x:c r="H38" s="99" t="str">
        <x:v>always_if2</x:v>
      </x:c>
      <x:c r="I38" s="99" t="str">
        <x:v>Solve from blank; check notes only after the attempt.</x:v>
      </x:c>
      <x:c r="J38" s="98" t="str">
        <x:v>Not Started</x:v>
      </x:c>
      <x:c r="K38" s="98"/>
      <x:c r="L38" s="98"/>
      <x:c r="M38" s="98" t="str">
        <x:v>None</x:v>
      </x:c>
      <x:c r="N38" s="99"/>
      <x:c r="O38" s="99"/>
      <x:c r="P38" s="99"/>
      <x:c r="Q38" s="99"/>
    </x:row>
    <x:row r="39" ht="33" customHeight="1">
      <x:c r="A39" s="34" t="n">
        <x:v>46220</x:v>
      </x:c>
      <x:c r="B39" s="98" t="n">
        <x:v>4</x:v>
      </x:c>
      <x:c r="C39" s="98" t="n">
        <x:v>33</x:v>
      </x:c>
      <x:c r="D39" s="98" t="n">
        <x:v>31</x:v>
      </x:c>
      <x:c r="E39" s="99" t="str">
        <x:v>Verilog Language</x:v>
      </x:c>
      <x:c r="F39" s="99" t="str">
        <x:v>Procedures</x:v>
      </x:c>
      <x:c r="G39" s="99" t="str">
        <x:v>Case statement</x:v>
      </x:c>
      <x:c r="H39" s="99" t="str">
        <x:v>always_case</x:v>
      </x:c>
      <x:c r="I39" s="99" t="str">
        <x:v>Solve from blank; check notes only after the attempt.</x:v>
      </x:c>
      <x:c r="J39" s="98" t="str">
        <x:v>Not Started</x:v>
      </x:c>
      <x:c r="K39" s="98"/>
      <x:c r="L39" s="98"/>
      <x:c r="M39" s="98" t="str">
        <x:v>None</x:v>
      </x:c>
      <x:c r="N39" s="99"/>
      <x:c r="O39" s="99"/>
      <x:c r="P39" s="99"/>
      <x:c r="Q39" s="99"/>
    </x:row>
    <x:row r="40" ht="33" customHeight="1">
      <x:c r="A40" s="34" t="n">
        <x:v>46220</x:v>
      </x:c>
      <x:c r="B40" s="98" t="n">
        <x:v>4</x:v>
      </x:c>
      <x:c r="C40" s="98" t="n">
        <x:v>34</x:v>
      </x:c>
      <x:c r="D40" s="98" t="n">
        <x:v>32</x:v>
      </x:c>
      <x:c r="E40" s="99" t="str">
        <x:v>Verilog Language</x:v>
      </x:c>
      <x:c r="F40" s="99" t="str">
        <x:v>Procedures</x:v>
      </x:c>
      <x:c r="G40" s="99" t="str">
        <x:v>Priority encoder</x:v>
      </x:c>
      <x:c r="H40" s="99" t="str">
        <x:v>always_case2</x:v>
      </x:c>
      <x:c r="I40" s="99" t="str">
        <x:v>Solve from blank; check notes only after the attempt.</x:v>
      </x:c>
      <x:c r="J40" s="98" t="str">
        <x:v>Not Started</x:v>
      </x:c>
      <x:c r="K40" s="98"/>
      <x:c r="L40" s="98"/>
      <x:c r="M40" s="98" t="str">
        <x:v>None</x:v>
      </x:c>
      <x:c r="N40" s="99"/>
      <x:c r="O40" s="99"/>
      <x:c r="P40" s="99"/>
      <x:c r="Q40" s="99"/>
    </x:row>
    <x:row r="41" ht="33" customHeight="1">
      <x:c r="A41" s="34" t="n">
        <x:v>46220</x:v>
      </x:c>
      <x:c r="B41" s="98" t="n">
        <x:v>4</x:v>
      </x:c>
      <x:c r="C41" s="98" t="n">
        <x:v>35</x:v>
      </x:c>
      <x:c r="D41" s="98" t="n">
        <x:v>33</x:v>
      </x:c>
      <x:c r="E41" s="99" t="str">
        <x:v>Verilog Language</x:v>
      </x:c>
      <x:c r="F41" s="99" t="str">
        <x:v>Procedures</x:v>
      </x:c>
      <x:c r="G41" s="99" t="str">
        <x:v>Priority encoder with casez</x:v>
      </x:c>
      <x:c r="H41" s="99" t="str">
        <x:v>always_casez</x:v>
      </x:c>
      <x:c r="I41" s="99" t="str">
        <x:v>Solve from blank; check notes only after the attempt.</x:v>
      </x:c>
      <x:c r="J41" s="98" t="str">
        <x:v>Not Started</x:v>
      </x:c>
      <x:c r="K41" s="98"/>
      <x:c r="L41" s="98"/>
      <x:c r="M41" s="98" t="str">
        <x:v>None</x:v>
      </x:c>
      <x:c r="N41" s="99"/>
      <x:c r="O41" s="99"/>
      <x:c r="P41" s="99"/>
      <x:c r="Q41" s="99"/>
    </x:row>
    <x:row r="42" ht="33" customHeight="1">
      <x:c r="A42" s="34" t="n">
        <x:v>46220</x:v>
      </x:c>
      <x:c r="B42" s="98" t="n">
        <x:v>4</x:v>
      </x:c>
      <x:c r="C42" s="98" t="n">
        <x:v>36</x:v>
      </x:c>
      <x:c r="D42" s="98" t="n">
        <x:v>34</x:v>
      </x:c>
      <x:c r="E42" s="99" t="str">
        <x:v>Verilog Language</x:v>
      </x:c>
      <x:c r="F42" s="99" t="str">
        <x:v>Procedures</x:v>
      </x:c>
      <x:c r="G42" s="99" t="str">
        <x:v>Avoiding latches</x:v>
      </x:c>
      <x:c r="H42" s="99" t="str">
        <x:v>always_nolatches</x:v>
      </x:c>
      <x:c r="I42" s="99" t="str">
        <x:v>Solve from blank; check notes only after the attempt.</x:v>
      </x:c>
      <x:c r="J42" s="98" t="str">
        <x:v>Not Started</x:v>
      </x:c>
      <x:c r="K42" s="98"/>
      <x:c r="L42" s="98"/>
      <x:c r="M42" s="98" t="str">
        <x:v>None</x:v>
      </x:c>
      <x:c r="N42" s="99"/>
      <x:c r="O42" s="99"/>
      <x:c r="P42" s="99"/>
      <x:c r="Q42" s="99"/>
    </x:row>
    <x:row r="43" ht="33" customHeight="1">
      <x:c r="A43" s="34" t="n">
        <x:v>46220</x:v>
      </x:c>
      <x:c r="B43" s="98" t="n">
        <x:v>4</x:v>
      </x:c>
      <x:c r="C43" s="98" t="n">
        <x:v>37</x:v>
      </x:c>
      <x:c r="D43" s="98" t="n">
        <x:v>35</x:v>
      </x:c>
      <x:c r="E43" s="99" t="str">
        <x:v>Verilog Language</x:v>
      </x:c>
      <x:c r="F43" s="99" t="str">
        <x:v>More Verilog Features</x:v>
      </x:c>
      <x:c r="G43" s="99" t="str">
        <x:v>Conditional ternary operator</x:v>
      </x:c>
      <x:c r="H43" s="99" t="str">
        <x:v>conditional</x:v>
      </x:c>
      <x:c r="I43" s="99" t="str">
        <x:v>Solve from blank; check notes only after the attempt.</x:v>
      </x:c>
      <x:c r="J43" s="98" t="str">
        <x:v>Not Started</x:v>
      </x:c>
      <x:c r="K43" s="98"/>
      <x:c r="L43" s="98"/>
      <x:c r="M43" s="98" t="str">
        <x:v>None</x:v>
      </x:c>
      <x:c r="N43" s="99"/>
      <x:c r="O43" s="99"/>
      <x:c r="P43" s="99"/>
      <x:c r="Q43" s="99"/>
    </x:row>
    <x:row r="44" ht="33" customHeight="1">
      <x:c r="A44" s="34" t="n">
        <x:v>46220</x:v>
      </x:c>
      <x:c r="B44" s="98" t="n">
        <x:v>4</x:v>
      </x:c>
      <x:c r="C44" s="98" t="n">
        <x:v>38</x:v>
      </x:c>
      <x:c r="D44" s="98" t="n">
        <x:v>36</x:v>
      </x:c>
      <x:c r="E44" s="99" t="str">
        <x:v>Verilog Language</x:v>
      </x:c>
      <x:c r="F44" s="99" t="str">
        <x:v>More Verilog Features</x:v>
      </x:c>
      <x:c r="G44" s="99" t="str">
        <x:v>Reduction operators</x:v>
      </x:c>
      <x:c r="H44" s="99" t="str">
        <x:v>reduction</x:v>
      </x:c>
      <x:c r="I44" s="99" t="str">
        <x:v>Solve from blank; check notes only after the attempt.</x:v>
      </x:c>
      <x:c r="J44" s="98" t="str">
        <x:v>Not Started</x:v>
      </x:c>
      <x:c r="K44" s="98"/>
      <x:c r="L44" s="98"/>
      <x:c r="M44" s="98" t="str">
        <x:v>None</x:v>
      </x:c>
      <x:c r="N44" s="99"/>
      <x:c r="O44" s="99"/>
      <x:c r="P44" s="99"/>
      <x:c r="Q44" s="99"/>
    </x:row>
    <x:row r="45" ht="33" customHeight="1">
      <x:c r="A45" s="34" t="n">
        <x:v>46220</x:v>
      </x:c>
      <x:c r="B45" s="98" t="n">
        <x:v>4</x:v>
      </x:c>
      <x:c r="C45" s="98" t="n">
        <x:v>39</x:v>
      </x:c>
      <x:c r="D45" s="98" t="n">
        <x:v>37</x:v>
      </x:c>
      <x:c r="E45" s="99" t="str">
        <x:v>Verilog Language</x:v>
      </x:c>
      <x:c r="F45" s="99" t="str">
        <x:v>More Verilog Features</x:v>
      </x:c>
      <x:c r="G45" s="99" t="str">
        <x:v>Reduction: Even wider gates</x:v>
      </x:c>
      <x:c r="H45" s="99" t="str">
        <x:v>gates100</x:v>
      </x:c>
      <x:c r="I45" s="99" t="str">
        <x:v>Solve from blank; check notes only after the attempt.</x:v>
      </x:c>
      <x:c r="J45" s="98" t="str">
        <x:v>Not Started</x:v>
      </x:c>
      <x:c r="K45" s="98"/>
      <x:c r="L45" s="98"/>
      <x:c r="M45" s="98" t="str">
        <x:v>None</x:v>
      </x:c>
      <x:c r="N45" s="99"/>
      <x:c r="O45" s="99"/>
      <x:c r="P45" s="99"/>
      <x:c r="Q45" s="99"/>
    </x:row>
    <x:row r="46" ht="33" customHeight="1">
      <x:c r="A46" s="34" t="n">
        <x:v>46220</x:v>
      </x:c>
      <x:c r="B46" s="98" t="n">
        <x:v>4</x:v>
      </x:c>
      <x:c r="C46" s="98" t="n">
        <x:v>40</x:v>
      </x:c>
      <x:c r="D46" s="98" t="n">
        <x:v>38</x:v>
      </x:c>
      <x:c r="E46" s="99" t="str">
        <x:v>Verilog Language</x:v>
      </x:c>
      <x:c r="F46" s="99" t="str">
        <x:v>More Verilog Features</x:v>
      </x:c>
      <x:c r="G46" s="99" t="str">
        <x:v>Combinational for-loop: Vector reversal 2</x:v>
      </x:c>
      <x:c r="H46" s="99" t="str">
        <x:v>vector100r</x:v>
      </x:c>
      <x:c r="I46" s="99" t="str">
        <x:v>Solve from blank; check notes only after the attempt.</x:v>
      </x:c>
      <x:c r="J46" s="98" t="str">
        <x:v>Not Started</x:v>
      </x:c>
      <x:c r="K46" s="98"/>
      <x:c r="L46" s="98"/>
      <x:c r="M46" s="98" t="str">
        <x:v>None</x:v>
      </x:c>
      <x:c r="N46" s="99"/>
      <x:c r="O46" s="99"/>
      <x:c r="P46" s="99"/>
      <x:c r="Q46" s="99"/>
    </x:row>
    <x:row r="47" ht="33" customHeight="1">
      <x:c r="A47" s="34" t="n">
        <x:v>46221</x:v>
      </x:c>
      <x:c r="B47" s="98" t="n">
        <x:v>5</x:v>
      </x:c>
      <x:c r="C47" s="98" t="n">
        <x:v>41</x:v>
      </x:c>
      <x:c r="D47" s="98" t="n">
        <x:v>39</x:v>
      </x:c>
      <x:c r="E47" s="99" t="str">
        <x:v>Verilog Language</x:v>
      </x:c>
      <x:c r="F47" s="99" t="str">
        <x:v>More Verilog Features</x:v>
      </x:c>
      <x:c r="G47" s="99" t="str">
        <x:v>Combinational for-loop: 255-bit population count</x:v>
      </x:c>
      <x:c r="H47" s="99" t="str">
        <x:v>popcount255</x:v>
      </x:c>
      <x:c r="I47" s="99" t="str">
        <x:v>Solve from blank; check notes only after the attempt.</x:v>
      </x:c>
      <x:c r="J47" s="98" t="str">
        <x:v>Not Started</x:v>
      </x:c>
      <x:c r="K47" s="98"/>
      <x:c r="L47" s="98"/>
      <x:c r="M47" s="98" t="str">
        <x:v>None</x:v>
      </x:c>
      <x:c r="N47" s="99"/>
      <x:c r="O47" s="99"/>
      <x:c r="P47" s="99"/>
      <x:c r="Q47" s="99"/>
    </x:row>
    <x:row r="48" ht="33" customHeight="1">
      <x:c r="A48" s="34" t="n">
        <x:v>46221</x:v>
      </x:c>
      <x:c r="B48" s="98" t="n">
        <x:v>5</x:v>
      </x:c>
      <x:c r="C48" s="98" t="n">
        <x:v>42</x:v>
      </x:c>
      <x:c r="D48" s="98" t="n">
        <x:v>40</x:v>
      </x:c>
      <x:c r="E48" s="99" t="str">
        <x:v>Verilog Language</x:v>
      </x:c>
      <x:c r="F48" s="99" t="str">
        <x:v>More Verilog Features</x:v>
      </x:c>
      <x:c r="G48" s="99" t="str">
        <x:v>Generate for-loop: 100-bit binary adder 2</x:v>
      </x:c>
      <x:c r="H48" s="99" t="str">
        <x:v>adder100i</x:v>
      </x:c>
      <x:c r="I48" s="99" t="str">
        <x:v>Solve from blank; check notes only after the attempt.</x:v>
      </x:c>
      <x:c r="J48" s="98" t="str">
        <x:v>Not Started</x:v>
      </x:c>
      <x:c r="K48" s="98"/>
      <x:c r="L48" s="98"/>
      <x:c r="M48" s="98" t="str">
        <x:v>None</x:v>
      </x:c>
      <x:c r="N48" s="99"/>
      <x:c r="O48" s="99"/>
      <x:c r="P48" s="99"/>
      <x:c r="Q48" s="99"/>
    </x:row>
    <x:row r="49" ht="33" customHeight="1">
      <x:c r="A49" s="34" t="n">
        <x:v>46221</x:v>
      </x:c>
      <x:c r="B49" s="98" t="n">
        <x:v>5</x:v>
      </x:c>
      <x:c r="C49" s="98" t="n">
        <x:v>43</x:v>
      </x:c>
      <x:c r="D49" s="98" t="n">
        <x:v>41</x:v>
      </x:c>
      <x:c r="E49" s="99" t="str">
        <x:v>Verilog Language</x:v>
      </x:c>
      <x:c r="F49" s="99" t="str">
        <x:v>More Verilog Features</x:v>
      </x:c>
      <x:c r="G49" s="99" t="str">
        <x:v>Generate for-loop: 100-digit BCD adder</x:v>
      </x:c>
      <x:c r="H49" s="99" t="str">
        <x:v>bcdadd100</x:v>
      </x:c>
      <x:c r="I49" s="99" t="str">
        <x:v>Solve from blank; check notes only after the attempt.</x:v>
      </x:c>
      <x:c r="J49" s="98" t="str">
        <x:v>Not Started</x:v>
      </x:c>
      <x:c r="K49" s="98"/>
      <x:c r="L49" s="98"/>
      <x:c r="M49" s="98" t="str">
        <x:v>None</x:v>
      </x:c>
      <x:c r="N49" s="99"/>
      <x:c r="O49" s="99"/>
      <x:c r="P49" s="99"/>
      <x:c r="Q49" s="99"/>
    </x:row>
    <x:row r="50" ht="33" customHeight="1">
      <x:c r="A50" s="34" t="n">
        <x:v>46221</x:v>
      </x:c>
      <x:c r="B50" s="98" t="n">
        <x:v>5</x:v>
      </x:c>
      <x:c r="C50" s="98" t="n">
        <x:v>44</x:v>
      </x:c>
      <x:c r="D50" s="98" t="n">
        <x:v>42</x:v>
      </x:c>
      <x:c r="E50" s="99" t="str">
        <x:v>Circuits</x:v>
      </x:c>
      <x:c r="F50" s="99" t="str">
        <x:v>Combinational Logic → Basic Gates</x:v>
      </x:c>
      <x:c r="G50" s="99" t="str">
        <x:v>Wire</x:v>
      </x:c>
      <x:c r="H50" s="99" t="str">
        <x:v>exams/m2014_q4h</x:v>
      </x:c>
      <x:c r="I50" s="99" t="str">
        <x:v>Solve from blank; check notes only after the attempt.</x:v>
      </x:c>
      <x:c r="J50" s="98" t="str">
        <x:v>Not Started</x:v>
      </x:c>
      <x:c r="K50" s="98"/>
      <x:c r="L50" s="98"/>
      <x:c r="M50" s="98" t="str">
        <x:v>None</x:v>
      </x:c>
      <x:c r="N50" s="99"/>
      <x:c r="O50" s="99"/>
      <x:c r="P50" s="99"/>
      <x:c r="Q50" s="99"/>
    </x:row>
    <x:row r="51" ht="33" customHeight="1">
      <x:c r="A51" s="34" t="n">
        <x:v>46221</x:v>
      </x:c>
      <x:c r="B51" s="98" t="n">
        <x:v>5</x:v>
      </x:c>
      <x:c r="C51" s="98" t="n">
        <x:v>45</x:v>
      </x:c>
      <x:c r="D51" s="98" t="n">
        <x:v>43</x:v>
      </x:c>
      <x:c r="E51" s="99" t="str">
        <x:v>Circuits</x:v>
      </x:c>
      <x:c r="F51" s="99" t="str">
        <x:v>Combinational Logic → Basic Gates</x:v>
      </x:c>
      <x:c r="G51" s="99" t="str">
        <x:v>GND</x:v>
      </x:c>
      <x:c r="H51" s="99" t="str">
        <x:v>exams/m2014_q4i</x:v>
      </x:c>
      <x:c r="I51" s="99" t="str">
        <x:v>Solve from blank; check notes only after the attempt.</x:v>
      </x:c>
      <x:c r="J51" s="98" t="str">
        <x:v>Not Started</x:v>
      </x:c>
      <x:c r="K51" s="98"/>
      <x:c r="L51" s="98"/>
      <x:c r="M51" s="98" t="str">
        <x:v>None</x:v>
      </x:c>
      <x:c r="N51" s="99"/>
      <x:c r="O51" s="99"/>
      <x:c r="P51" s="99"/>
      <x:c r="Q51" s="99"/>
    </x:row>
    <x:row r="52" ht="33" customHeight="1">
      <x:c r="A52" s="34" t="n">
        <x:v>46221</x:v>
      </x:c>
      <x:c r="B52" s="98" t="n">
        <x:v>5</x:v>
      </x:c>
      <x:c r="C52" s="98" t="n">
        <x:v>46</x:v>
      </x:c>
      <x:c r="D52" s="98" t="n">
        <x:v>44</x:v>
      </x:c>
      <x:c r="E52" s="99" t="str">
        <x:v>Circuits</x:v>
      </x:c>
      <x:c r="F52" s="99" t="str">
        <x:v>Combinational Logic → Basic Gates</x:v>
      </x:c>
      <x:c r="G52" s="99" t="str">
        <x:v>NOR</x:v>
      </x:c>
      <x:c r="H52" s="99" t="str">
        <x:v>exams/m2014_q4e</x:v>
      </x:c>
      <x:c r="I52" s="99" t="str">
        <x:v>Solve from blank; check notes only after the attempt.</x:v>
      </x:c>
      <x:c r="J52" s="98" t="str">
        <x:v>Not Started</x:v>
      </x:c>
      <x:c r="K52" s="98"/>
      <x:c r="L52" s="98"/>
      <x:c r="M52" s="98" t="str">
        <x:v>None</x:v>
      </x:c>
      <x:c r="N52" s="99"/>
      <x:c r="O52" s="99"/>
      <x:c r="P52" s="99"/>
      <x:c r="Q52" s="99"/>
    </x:row>
    <x:row r="53" ht="33" customHeight="1">
      <x:c r="A53" s="34" t="n">
        <x:v>46221</x:v>
      </x:c>
      <x:c r="B53" s="98" t="n">
        <x:v>5</x:v>
      </x:c>
      <x:c r="C53" s="98" t="n">
        <x:v>47</x:v>
      </x:c>
      <x:c r="D53" s="98" t="n">
        <x:v>45</x:v>
      </x:c>
      <x:c r="E53" s="99" t="str">
        <x:v>Circuits</x:v>
      </x:c>
      <x:c r="F53" s="99" t="str">
        <x:v>Combinational Logic → Basic Gates</x:v>
      </x:c>
      <x:c r="G53" s="99" t="str">
        <x:v>Another gate</x:v>
      </x:c>
      <x:c r="H53" s="99" t="str">
        <x:v>exams/m2014_q4f</x:v>
      </x:c>
      <x:c r="I53" s="99" t="str">
        <x:v>Solve from blank; check notes only after the attempt.</x:v>
      </x:c>
      <x:c r="J53" s="98" t="str">
        <x:v>Not Started</x:v>
      </x:c>
      <x:c r="K53" s="98"/>
      <x:c r="L53" s="98"/>
      <x:c r="M53" s="98" t="str">
        <x:v>None</x:v>
      </x:c>
      <x:c r="N53" s="99"/>
      <x:c r="O53" s="99"/>
      <x:c r="P53" s="99"/>
      <x:c r="Q53" s="99"/>
    </x:row>
    <x:row r="54" ht="33" customHeight="1">
      <x:c r="A54" s="34" t="n">
        <x:v>46221</x:v>
      </x:c>
      <x:c r="B54" s="98" t="n">
        <x:v>5</x:v>
      </x:c>
      <x:c r="C54" s="98" t="n">
        <x:v>48</x:v>
      </x:c>
      <x:c r="D54" s="98" t="n">
        <x:v>46</x:v>
      </x:c>
      <x:c r="E54" s="99" t="str">
        <x:v>Circuits</x:v>
      </x:c>
      <x:c r="F54" s="99" t="str">
        <x:v>Combinational Logic → Basic Gates</x:v>
      </x:c>
      <x:c r="G54" s="99" t="str">
        <x:v>Two gates</x:v>
      </x:c>
      <x:c r="H54" s="99" t="str">
        <x:v>exams/m2014_q4g</x:v>
      </x:c>
      <x:c r="I54" s="99" t="str">
        <x:v>Solve from blank; check notes only after the attempt.</x:v>
      </x:c>
      <x:c r="J54" s="98" t="str">
        <x:v>Not Started</x:v>
      </x:c>
      <x:c r="K54" s="98"/>
      <x:c r="L54" s="98"/>
      <x:c r="M54" s="98" t="str">
        <x:v>None</x:v>
      </x:c>
      <x:c r="N54" s="99"/>
      <x:c r="O54" s="99"/>
      <x:c r="P54" s="99"/>
      <x:c r="Q54" s="99"/>
    </x:row>
    <x:row r="55" ht="33" customHeight="1">
      <x:c r="A55" s="34" t="n">
        <x:v>46221</x:v>
      </x:c>
      <x:c r="B55" s="98" t="n">
        <x:v>5</x:v>
      </x:c>
      <x:c r="C55" s="98" t="n">
        <x:v>49</x:v>
      </x:c>
      <x:c r="D55" s="98" t="n">
        <x:v>47</x:v>
      </x:c>
      <x:c r="E55" s="99" t="str">
        <x:v>Circuits</x:v>
      </x:c>
      <x:c r="F55" s="99" t="str">
        <x:v>Combinational Logic → Basic Gates</x:v>
      </x:c>
      <x:c r="G55" s="99" t="str">
        <x:v>More logic gates</x:v>
      </x:c>
      <x:c r="H55" s="99" t="str">
        <x:v>gates</x:v>
      </x:c>
      <x:c r="I55" s="99" t="str">
        <x:v>Solve from blank; check notes only after the attempt.</x:v>
      </x:c>
      <x:c r="J55" s="98" t="str">
        <x:v>Not Started</x:v>
      </x:c>
      <x:c r="K55" s="98"/>
      <x:c r="L55" s="98"/>
      <x:c r="M55" s="98" t="str">
        <x:v>None</x:v>
      </x:c>
      <x:c r="N55" s="99"/>
      <x:c r="O55" s="99"/>
      <x:c r="P55" s="99"/>
      <x:c r="Q55" s="99"/>
    </x:row>
    <x:row r="56" ht="33" customHeight="1">
      <x:c r="A56" s="34" t="n">
        <x:v>46221</x:v>
      </x:c>
      <x:c r="B56" s="98" t="n">
        <x:v>5</x:v>
      </x:c>
      <x:c r="C56" s="98" t="n">
        <x:v>50</x:v>
      </x:c>
      <x:c r="D56" s="98" t="n">
        <x:v>48</x:v>
      </x:c>
      <x:c r="E56" s="99" t="str">
        <x:v>Circuits</x:v>
      </x:c>
      <x:c r="F56" s="99" t="str">
        <x:v>Combinational Logic → Basic Gates</x:v>
      </x:c>
      <x:c r="G56" s="99" t="str">
        <x:v>7420 chip</x:v>
      </x:c>
      <x:c r="H56" s="99" t="str">
        <x:v>7420</x:v>
      </x:c>
      <x:c r="I56" s="99" t="str">
        <x:v>Solve from blank; check notes only after the attempt.</x:v>
      </x:c>
      <x:c r="J56" s="98" t="str">
        <x:v>Not Started</x:v>
      </x:c>
      <x:c r="K56" s="98"/>
      <x:c r="L56" s="98"/>
      <x:c r="M56" s="98" t="str">
        <x:v>None</x:v>
      </x:c>
      <x:c r="N56" s="99"/>
      <x:c r="O56" s="99"/>
      <x:c r="P56" s="99"/>
      <x:c r="Q56" s="99"/>
    </x:row>
    <x:row r="57" ht="33" customHeight="1">
      <x:c r="A57" s="34" t="n">
        <x:v>46222</x:v>
      </x:c>
      <x:c r="B57" s="98" t="n">
        <x:v>6</x:v>
      </x:c>
      <x:c r="C57" s="98" t="n">
        <x:v>51</x:v>
      </x:c>
      <x:c r="D57" s="98" t="n">
        <x:v>49</x:v>
      </x:c>
      <x:c r="E57" s="99" t="str">
        <x:v>Circuits</x:v>
      </x:c>
      <x:c r="F57" s="99" t="str">
        <x:v>Combinational Logic → Basic Gates</x:v>
      </x:c>
      <x:c r="G57" s="99" t="str">
        <x:v>Truth tables</x:v>
      </x:c>
      <x:c r="H57" s="99" t="str">
        <x:v>truthtable1</x:v>
      </x:c>
      <x:c r="I57" s="99" t="str">
        <x:v>Solve from blank; check notes only after the attempt.</x:v>
      </x:c>
      <x:c r="J57" s="98" t="str">
        <x:v>Not Started</x:v>
      </x:c>
      <x:c r="K57" s="98"/>
      <x:c r="L57" s="98"/>
      <x:c r="M57" s="98" t="str">
        <x:v>None</x:v>
      </x:c>
      <x:c r="N57" s="99"/>
      <x:c r="O57" s="99"/>
      <x:c r="P57" s="99"/>
      <x:c r="Q57" s="99"/>
    </x:row>
    <x:row r="58" ht="33" customHeight="1">
      <x:c r="A58" s="34" t="n">
        <x:v>46222</x:v>
      </x:c>
      <x:c r="B58" s="98" t="n">
        <x:v>6</x:v>
      </x:c>
      <x:c r="C58" s="98" t="n">
        <x:v>52</x:v>
      </x:c>
      <x:c r="D58" s="98" t="n">
        <x:v>50</x:v>
      </x:c>
      <x:c r="E58" s="99" t="str">
        <x:v>Circuits</x:v>
      </x:c>
      <x:c r="F58" s="99" t="str">
        <x:v>Combinational Logic → Basic Gates</x:v>
      </x:c>
      <x:c r="G58" s="99" t="str">
        <x:v>Two-bit equality</x:v>
      </x:c>
      <x:c r="H58" s="99" t="str">
        <x:v>mt2015_eq2</x:v>
      </x:c>
      <x:c r="I58" s="99" t="str">
        <x:v>Solve from blank; check notes only after the attempt.</x:v>
      </x:c>
      <x:c r="J58" s="98" t="str">
        <x:v>Not Started</x:v>
      </x:c>
      <x:c r="K58" s="98"/>
      <x:c r="L58" s="98"/>
      <x:c r="M58" s="98" t="str">
        <x:v>None</x:v>
      </x:c>
      <x:c r="N58" s="99"/>
      <x:c r="O58" s="99"/>
      <x:c r="P58" s="99"/>
      <x:c r="Q58" s="99"/>
    </x:row>
    <x:row r="59" ht="33" customHeight="1">
      <x:c r="A59" s="34" t="n">
        <x:v>46222</x:v>
      </x:c>
      <x:c r="B59" s="98" t="n">
        <x:v>6</x:v>
      </x:c>
      <x:c r="C59" s="98" t="n">
        <x:v>53</x:v>
      </x:c>
      <x:c r="D59" s="98" t="n">
        <x:v>51</x:v>
      </x:c>
      <x:c r="E59" s="99" t="str">
        <x:v>Circuits</x:v>
      </x:c>
      <x:c r="F59" s="99" t="str">
        <x:v>Combinational Logic → Basic Gates</x:v>
      </x:c>
      <x:c r="G59" s="99" t="str">
        <x:v>Simple circuit A</x:v>
      </x:c>
      <x:c r="H59" s="99" t="str">
        <x:v>mt2015_q4a</x:v>
      </x:c>
      <x:c r="I59" s="99" t="str">
        <x:v>Solve from blank; check notes only after the attempt.</x:v>
      </x:c>
      <x:c r="J59" s="98" t="str">
        <x:v>Not Started</x:v>
      </x:c>
      <x:c r="K59" s="98"/>
      <x:c r="L59" s="98"/>
      <x:c r="M59" s="98" t="str">
        <x:v>None</x:v>
      </x:c>
      <x:c r="N59" s="99"/>
      <x:c r="O59" s="99"/>
      <x:c r="P59" s="99"/>
      <x:c r="Q59" s="99"/>
    </x:row>
    <x:row r="60" ht="33" customHeight="1">
      <x:c r="A60" s="34" t="n">
        <x:v>46222</x:v>
      </x:c>
      <x:c r="B60" s="98" t="n">
        <x:v>6</x:v>
      </x:c>
      <x:c r="C60" s="98" t="n">
        <x:v>54</x:v>
      </x:c>
      <x:c r="D60" s="98" t="n">
        <x:v>52</x:v>
      </x:c>
      <x:c r="E60" s="99" t="str">
        <x:v>Circuits</x:v>
      </x:c>
      <x:c r="F60" s="99" t="str">
        <x:v>Combinational Logic → Basic Gates</x:v>
      </x:c>
      <x:c r="G60" s="99" t="str">
        <x:v>Simple circuit B</x:v>
      </x:c>
      <x:c r="H60" s="99" t="str">
        <x:v>mt2015_q4b</x:v>
      </x:c>
      <x:c r="I60" s="99" t="str">
        <x:v>Solve from blank; check notes only after the attempt.</x:v>
      </x:c>
      <x:c r="J60" s="98" t="str">
        <x:v>Not Started</x:v>
      </x:c>
      <x:c r="K60" s="98"/>
      <x:c r="L60" s="98"/>
      <x:c r="M60" s="98" t="str">
        <x:v>None</x:v>
      </x:c>
      <x:c r="N60" s="99"/>
      <x:c r="O60" s="99"/>
      <x:c r="P60" s="99"/>
      <x:c r="Q60" s="99"/>
    </x:row>
    <x:row r="61" ht="33" customHeight="1">
      <x:c r="A61" s="34" t="n">
        <x:v>46222</x:v>
      </x:c>
      <x:c r="B61" s="98" t="n">
        <x:v>6</x:v>
      </x:c>
      <x:c r="C61" s="98" t="n">
        <x:v>55</x:v>
      </x:c>
      <x:c r="D61" s="98" t="n">
        <x:v>53</x:v>
      </x:c>
      <x:c r="E61" s="99" t="str">
        <x:v>Circuits</x:v>
      </x:c>
      <x:c r="F61" s="99" t="str">
        <x:v>Combinational Logic → Basic Gates</x:v>
      </x:c>
      <x:c r="G61" s="99" t="str">
        <x:v>Combine circuits A and B</x:v>
      </x:c>
      <x:c r="H61" s="99" t="str">
        <x:v>mt2015_q4</x:v>
      </x:c>
      <x:c r="I61" s="99" t="str">
        <x:v>Solve from blank; check notes only after the attempt.</x:v>
      </x:c>
      <x:c r="J61" s="98" t="str">
        <x:v>Not Started</x:v>
      </x:c>
      <x:c r="K61" s="98"/>
      <x:c r="L61" s="98"/>
      <x:c r="M61" s="98" t="str">
        <x:v>None</x:v>
      </x:c>
      <x:c r="N61" s="99"/>
      <x:c r="O61" s="99"/>
      <x:c r="P61" s="99"/>
      <x:c r="Q61" s="99"/>
    </x:row>
    <x:row r="62" ht="33" customHeight="1">
      <x:c r="A62" s="34" t="n">
        <x:v>46222</x:v>
      </x:c>
      <x:c r="B62" s="98" t="n">
        <x:v>6</x:v>
      </x:c>
      <x:c r="C62" s="98" t="n">
        <x:v>56</x:v>
      </x:c>
      <x:c r="D62" s="98" t="n">
        <x:v>54</x:v>
      </x:c>
      <x:c r="E62" s="99" t="str">
        <x:v>Circuits</x:v>
      </x:c>
      <x:c r="F62" s="99" t="str">
        <x:v>Combinational Logic → Basic Gates</x:v>
      </x:c>
      <x:c r="G62" s="99" t="str">
        <x:v>Ring or vibrate?</x:v>
      </x:c>
      <x:c r="H62" s="99" t="str">
        <x:v>ringer</x:v>
      </x:c>
      <x:c r="I62" s="99" t="str">
        <x:v>Solve from blank; check notes only after the attempt.</x:v>
      </x:c>
      <x:c r="J62" s="98" t="str">
        <x:v>Not Started</x:v>
      </x:c>
      <x:c r="K62" s="98"/>
      <x:c r="L62" s="98"/>
      <x:c r="M62" s="98" t="str">
        <x:v>None</x:v>
      </x:c>
      <x:c r="N62" s="99"/>
      <x:c r="O62" s="99"/>
      <x:c r="P62" s="99"/>
      <x:c r="Q62" s="99"/>
    </x:row>
    <x:row r="63" ht="33" customHeight="1">
      <x:c r="A63" s="34" t="n">
        <x:v>46222</x:v>
      </x:c>
      <x:c r="B63" s="98" t="n">
        <x:v>6</x:v>
      </x:c>
      <x:c r="C63" s="98" t="n">
        <x:v>57</x:v>
      </x:c>
      <x:c r="D63" s="98" t="n">
        <x:v>55</x:v>
      </x:c>
      <x:c r="E63" s="99" t="str">
        <x:v>Circuits</x:v>
      </x:c>
      <x:c r="F63" s="99" t="str">
        <x:v>Combinational Logic → Basic Gates</x:v>
      </x:c>
      <x:c r="G63" s="99" t="str">
        <x:v>Thermostat</x:v>
      </x:c>
      <x:c r="H63" s="99" t="str">
        <x:v>thermostat</x:v>
      </x:c>
      <x:c r="I63" s="99" t="str">
        <x:v>Solve from blank; check notes only after the attempt.</x:v>
      </x:c>
      <x:c r="J63" s="98" t="str">
        <x:v>Not Started</x:v>
      </x:c>
      <x:c r="K63" s="98"/>
      <x:c r="L63" s="98"/>
      <x:c r="M63" s="98" t="str">
        <x:v>None</x:v>
      </x:c>
      <x:c r="N63" s="99"/>
      <x:c r="O63" s="99"/>
      <x:c r="P63" s="99"/>
      <x:c r="Q63" s="99"/>
    </x:row>
    <x:row r="64" ht="33" customHeight="1">
      <x:c r="A64" s="34" t="n">
        <x:v>46222</x:v>
      </x:c>
      <x:c r="B64" s="98" t="n">
        <x:v>6</x:v>
      </x:c>
      <x:c r="C64" s="98" t="n">
        <x:v>58</x:v>
      </x:c>
      <x:c r="D64" s="98" t="n">
        <x:v>56</x:v>
      </x:c>
      <x:c r="E64" s="99" t="str">
        <x:v>Circuits</x:v>
      </x:c>
      <x:c r="F64" s="99" t="str">
        <x:v>Combinational Logic → Basic Gates</x:v>
      </x:c>
      <x:c r="G64" s="99" t="str">
        <x:v>3-bit population count</x:v>
      </x:c>
      <x:c r="H64" s="99" t="str">
        <x:v>popcount3</x:v>
      </x:c>
      <x:c r="I64" s="99" t="str">
        <x:v>Solve from blank; check notes only after the attempt.</x:v>
      </x:c>
      <x:c r="J64" s="98" t="str">
        <x:v>Not Started</x:v>
      </x:c>
      <x:c r="K64" s="98"/>
      <x:c r="L64" s="98"/>
      <x:c r="M64" s="98" t="str">
        <x:v>None</x:v>
      </x:c>
      <x:c r="N64" s="99"/>
      <x:c r="O64" s="99"/>
      <x:c r="P64" s="99"/>
      <x:c r="Q64" s="99"/>
    </x:row>
    <x:row r="65" ht="33" customHeight="1">
      <x:c r="A65" s="34" t="n">
        <x:v>46222</x:v>
      </x:c>
      <x:c r="B65" s="98" t="n">
        <x:v>6</x:v>
      </x:c>
      <x:c r="C65" s="98" t="n">
        <x:v>59</x:v>
      </x:c>
      <x:c r="D65" s="98" t="n">
        <x:v>57</x:v>
      </x:c>
      <x:c r="E65" s="99" t="str">
        <x:v>Circuits</x:v>
      </x:c>
      <x:c r="F65" s="99" t="str">
        <x:v>Combinational Logic → Basic Gates</x:v>
      </x:c>
      <x:c r="G65" s="99" t="str">
        <x:v>Gates and vectors</x:v>
      </x:c>
      <x:c r="H65" s="99" t="str">
        <x:v>gatesv</x:v>
      </x:c>
      <x:c r="I65" s="99" t="str">
        <x:v>Solve from blank; check notes only after the attempt.</x:v>
      </x:c>
      <x:c r="J65" s="98" t="str">
        <x:v>Not Started</x:v>
      </x:c>
      <x:c r="K65" s="98"/>
      <x:c r="L65" s="98"/>
      <x:c r="M65" s="98" t="str">
        <x:v>None</x:v>
      </x:c>
      <x:c r="N65" s="99"/>
      <x:c r="O65" s="99"/>
      <x:c r="P65" s="99"/>
      <x:c r="Q65" s="99"/>
    </x:row>
    <x:row r="66" ht="33" customHeight="1">
      <x:c r="A66" s="34" t="n">
        <x:v>46222</x:v>
      </x:c>
      <x:c r="B66" s="98" t="n">
        <x:v>6</x:v>
      </x:c>
      <x:c r="C66" s="98" t="n">
        <x:v>60</x:v>
      </x:c>
      <x:c r="D66" s="98" t="n">
        <x:v>58</x:v>
      </x:c>
      <x:c r="E66" s="99" t="str">
        <x:v>Circuits</x:v>
      </x:c>
      <x:c r="F66" s="99" t="str">
        <x:v>Combinational Logic → Basic Gates</x:v>
      </x:c>
      <x:c r="G66" s="99" t="str">
        <x:v>Even longer vectors</x:v>
      </x:c>
      <x:c r="H66" s="99" t="str">
        <x:v>gatesv100</x:v>
      </x:c>
      <x:c r="I66" s="99" t="str">
        <x:v>Solve from blank; check notes only after the attempt.</x:v>
      </x:c>
      <x:c r="J66" s="98" t="str">
        <x:v>Not Started</x:v>
      </x:c>
      <x:c r="K66" s="98"/>
      <x:c r="L66" s="98"/>
      <x:c r="M66" s="98" t="str">
        <x:v>None</x:v>
      </x:c>
      <x:c r="N66" s="99"/>
      <x:c r="O66" s="99"/>
      <x:c r="P66" s="99"/>
      <x:c r="Q66" s="99"/>
    </x:row>
    <x:row r="67" ht="33" customHeight="1">
      <x:c r="A67" s="34" t="n">
        <x:v>46223</x:v>
      </x:c>
      <x:c r="B67" s="98" t="n">
        <x:v>7</x:v>
      </x:c>
      <x:c r="C67" s="98" t="n">
        <x:v>61</x:v>
      </x:c>
      <x:c r="D67" s="98" t="n">
        <x:v>59</x:v>
      </x:c>
      <x:c r="E67" s="99" t="str">
        <x:v>Circuits</x:v>
      </x:c>
      <x:c r="F67" s="99" t="str">
        <x:v>Combinational Logic → Multiplexers</x:v>
      </x:c>
      <x:c r="G67" s="99" t="str">
        <x:v>2-to-1 multiplexer</x:v>
      </x:c>
      <x:c r="H67" s="99" t="str">
        <x:v>mux2to1</x:v>
      </x:c>
      <x:c r="I67" s="99" t="str">
        <x:v>Solve from blank; check notes only after the attempt.</x:v>
      </x:c>
      <x:c r="J67" s="98" t="str">
        <x:v>Not Started</x:v>
      </x:c>
      <x:c r="K67" s="98"/>
      <x:c r="L67" s="98"/>
      <x:c r="M67" s="98" t="str">
        <x:v>None</x:v>
      </x:c>
      <x:c r="N67" s="99"/>
      <x:c r="O67" s="99"/>
      <x:c r="P67" s="99"/>
      <x:c r="Q67" s="99"/>
    </x:row>
    <x:row r="68" ht="33" customHeight="1">
      <x:c r="A68" s="34" t="n">
        <x:v>46223</x:v>
      </x:c>
      <x:c r="B68" s="98" t="n">
        <x:v>7</x:v>
      </x:c>
      <x:c r="C68" s="98" t="n">
        <x:v>62</x:v>
      </x:c>
      <x:c r="D68" s="98" t="n">
        <x:v>60</x:v>
      </x:c>
      <x:c r="E68" s="99" t="str">
        <x:v>Circuits</x:v>
      </x:c>
      <x:c r="F68" s="99" t="str">
        <x:v>Combinational Logic → Multiplexers</x:v>
      </x:c>
      <x:c r="G68" s="99" t="str">
        <x:v>2-to-1 bus multiplexer</x:v>
      </x:c>
      <x:c r="H68" s="99" t="str">
        <x:v>mux2to1v</x:v>
      </x:c>
      <x:c r="I68" s="99" t="str">
        <x:v>Solve from blank; check notes only after the attempt.</x:v>
      </x:c>
      <x:c r="J68" s="98" t="str">
        <x:v>Not Started</x:v>
      </x:c>
      <x:c r="K68" s="98"/>
      <x:c r="L68" s="98"/>
      <x:c r="M68" s="98" t="str">
        <x:v>None</x:v>
      </x:c>
      <x:c r="N68" s="99"/>
      <x:c r="O68" s="99"/>
      <x:c r="P68" s="99"/>
      <x:c r="Q68" s="99"/>
    </x:row>
    <x:row r="69" ht="33" customHeight="1">
      <x:c r="A69" s="34" t="n">
        <x:v>46223</x:v>
      </x:c>
      <x:c r="B69" s="98" t="n">
        <x:v>7</x:v>
      </x:c>
      <x:c r="C69" s="98" t="n">
        <x:v>63</x:v>
      </x:c>
      <x:c r="D69" s="98" t="n">
        <x:v>61</x:v>
      </x:c>
      <x:c r="E69" s="99" t="str">
        <x:v>Circuits</x:v>
      </x:c>
      <x:c r="F69" s="99" t="str">
        <x:v>Combinational Logic → Multiplexers</x:v>
      </x:c>
      <x:c r="G69" s="99" t="str">
        <x:v>9-to-1 multiplexer</x:v>
      </x:c>
      <x:c r="H69" s="99" t="str">
        <x:v>mux9to1v</x:v>
      </x:c>
      <x:c r="I69" s="99" t="str">
        <x:v>Solve from blank; check notes only after the attempt.</x:v>
      </x:c>
      <x:c r="J69" s="98" t="str">
        <x:v>Not Started</x:v>
      </x:c>
      <x:c r="K69" s="98"/>
      <x:c r="L69" s="98"/>
      <x:c r="M69" s="98" t="str">
        <x:v>None</x:v>
      </x:c>
      <x:c r="N69" s="99"/>
      <x:c r="O69" s="99"/>
      <x:c r="P69" s="99"/>
      <x:c r="Q69" s="99"/>
    </x:row>
    <x:row r="70" ht="33" customHeight="1">
      <x:c r="A70" s="34" t="n">
        <x:v>46223</x:v>
      </x:c>
      <x:c r="B70" s="98" t="n">
        <x:v>7</x:v>
      </x:c>
      <x:c r="C70" s="98" t="n">
        <x:v>64</x:v>
      </x:c>
      <x:c r="D70" s="98" t="n">
        <x:v>62</x:v>
      </x:c>
      <x:c r="E70" s="99" t="str">
        <x:v>Circuits</x:v>
      </x:c>
      <x:c r="F70" s="99" t="str">
        <x:v>Combinational Logic → Multiplexers</x:v>
      </x:c>
      <x:c r="G70" s="99" t="str">
        <x:v>256-to-1 multiplexer</x:v>
      </x:c>
      <x:c r="H70" s="99" t="str">
        <x:v>mux256to1</x:v>
      </x:c>
      <x:c r="I70" s="99" t="str">
        <x:v>Solve from blank; check notes only after the attempt.</x:v>
      </x:c>
      <x:c r="J70" s="98" t="str">
        <x:v>Not Started</x:v>
      </x:c>
      <x:c r="K70" s="98"/>
      <x:c r="L70" s="98"/>
      <x:c r="M70" s="98" t="str">
        <x:v>None</x:v>
      </x:c>
      <x:c r="N70" s="99"/>
      <x:c r="O70" s="99"/>
      <x:c r="P70" s="99"/>
      <x:c r="Q70" s="99"/>
    </x:row>
    <x:row r="71" ht="33" customHeight="1">
      <x:c r="A71" s="34" t="n">
        <x:v>46223</x:v>
      </x:c>
      <x:c r="B71" s="98" t="n">
        <x:v>7</x:v>
      </x:c>
      <x:c r="C71" s="98" t="n">
        <x:v>65</x:v>
      </x:c>
      <x:c r="D71" s="98" t="n">
        <x:v>63</x:v>
      </x:c>
      <x:c r="E71" s="99" t="str">
        <x:v>Circuits</x:v>
      </x:c>
      <x:c r="F71" s="99" t="str">
        <x:v>Combinational Logic → Multiplexers</x:v>
      </x:c>
      <x:c r="G71" s="99" t="str">
        <x:v>256-to-1 4-bit multiplexer</x:v>
      </x:c>
      <x:c r="H71" s="99" t="str">
        <x:v>mux256to1v</x:v>
      </x:c>
      <x:c r="I71" s="99" t="str">
        <x:v>Solve from blank; check notes only after the attempt.</x:v>
      </x:c>
      <x:c r="J71" s="98" t="str">
        <x:v>Not Started</x:v>
      </x:c>
      <x:c r="K71" s="98"/>
      <x:c r="L71" s="98"/>
      <x:c r="M71" s="98" t="str">
        <x:v>None</x:v>
      </x:c>
      <x:c r="N71" s="99"/>
      <x:c r="O71" s="99"/>
      <x:c r="P71" s="99"/>
      <x:c r="Q71" s="99"/>
    </x:row>
    <x:row r="72" ht="33" customHeight="1">
      <x:c r="A72" s="34" t="n">
        <x:v>46223</x:v>
      </x:c>
      <x:c r="B72" s="98" t="n">
        <x:v>7</x:v>
      </x:c>
      <x:c r="C72" s="98" t="n">
        <x:v>66</x:v>
      </x:c>
      <x:c r="D72" s="98" t="n">
        <x:v>64</x:v>
      </x:c>
      <x:c r="E72" s="99" t="str">
        <x:v>Circuits</x:v>
      </x:c>
      <x:c r="F72" s="99" t="str">
        <x:v>Combinational Logic → Arithmetic Circuits</x:v>
      </x:c>
      <x:c r="G72" s="99" t="str">
        <x:v>Half adder</x:v>
      </x:c>
      <x:c r="H72" s="99" t="str">
        <x:v>hadd</x:v>
      </x:c>
      <x:c r="I72" s="99" t="str">
        <x:v>Solve from blank; check notes only after the attempt.</x:v>
      </x:c>
      <x:c r="J72" s="98" t="str">
        <x:v>Not Started</x:v>
      </x:c>
      <x:c r="K72" s="98"/>
      <x:c r="L72" s="98"/>
      <x:c r="M72" s="98" t="str">
        <x:v>None</x:v>
      </x:c>
      <x:c r="N72" s="99"/>
      <x:c r="O72" s="99"/>
      <x:c r="P72" s="99"/>
      <x:c r="Q72" s="99"/>
    </x:row>
    <x:row r="73" ht="33" customHeight="1">
      <x:c r="A73" s="34" t="n">
        <x:v>46223</x:v>
      </x:c>
      <x:c r="B73" s="98" t="n">
        <x:v>7</x:v>
      </x:c>
      <x:c r="C73" s="98" t="n">
        <x:v>67</x:v>
      </x:c>
      <x:c r="D73" s="98" t="n">
        <x:v>65</x:v>
      </x:c>
      <x:c r="E73" s="99" t="str">
        <x:v>Circuits</x:v>
      </x:c>
      <x:c r="F73" s="99" t="str">
        <x:v>Combinational Logic → Arithmetic Circuits</x:v>
      </x:c>
      <x:c r="G73" s="99" t="str">
        <x:v>Full adder</x:v>
      </x:c>
      <x:c r="H73" s="99" t="str">
        <x:v>fadd</x:v>
      </x:c>
      <x:c r="I73" s="99" t="str">
        <x:v>Solve from blank; check notes only after the attempt.</x:v>
      </x:c>
      <x:c r="J73" s="98" t="str">
        <x:v>Not Started</x:v>
      </x:c>
      <x:c r="K73" s="98"/>
      <x:c r="L73" s="98"/>
      <x:c r="M73" s="98" t="str">
        <x:v>None</x:v>
      </x:c>
      <x:c r="N73" s="99"/>
      <x:c r="O73" s="99"/>
      <x:c r="P73" s="99"/>
      <x:c r="Q73" s="99"/>
    </x:row>
    <x:row r="74" ht="33" customHeight="1">
      <x:c r="A74" s="34" t="n">
        <x:v>46223</x:v>
      </x:c>
      <x:c r="B74" s="98" t="n">
        <x:v>7</x:v>
      </x:c>
      <x:c r="C74" s="98" t="n">
        <x:v>68</x:v>
      </x:c>
      <x:c r="D74" s="98" t="n">
        <x:v>66</x:v>
      </x:c>
      <x:c r="E74" s="99" t="str">
        <x:v>Circuits</x:v>
      </x:c>
      <x:c r="F74" s="99" t="str">
        <x:v>Combinational Logic → Arithmetic Circuits</x:v>
      </x:c>
      <x:c r="G74" s="99" t="str">
        <x:v>3-bit binary adder</x:v>
      </x:c>
      <x:c r="H74" s="99" t="str">
        <x:v>adder3</x:v>
      </x:c>
      <x:c r="I74" s="99" t="str">
        <x:v>Solve from blank; check notes only after the attempt.</x:v>
      </x:c>
      <x:c r="J74" s="98" t="str">
        <x:v>Not Started</x:v>
      </x:c>
      <x:c r="K74" s="98"/>
      <x:c r="L74" s="98"/>
      <x:c r="M74" s="98" t="str">
        <x:v>None</x:v>
      </x:c>
      <x:c r="N74" s="99"/>
      <x:c r="O74" s="99"/>
      <x:c r="P74" s="99"/>
      <x:c r="Q74" s="99"/>
    </x:row>
    <x:row r="75" ht="33" customHeight="1">
      <x:c r="A75" s="34" t="n">
        <x:v>46223</x:v>
      </x:c>
      <x:c r="B75" s="98" t="n">
        <x:v>7</x:v>
      </x:c>
      <x:c r="C75" s="98" t="n">
        <x:v>69</x:v>
      </x:c>
      <x:c r="D75" s="98" t="n">
        <x:v>67</x:v>
      </x:c>
      <x:c r="E75" s="99" t="str">
        <x:v>Circuits</x:v>
      </x:c>
      <x:c r="F75" s="99" t="str">
        <x:v>Combinational Logic → Arithmetic Circuits</x:v>
      </x:c>
      <x:c r="G75" s="99" t="str">
        <x:v>Adder</x:v>
      </x:c>
      <x:c r="H75" s="99" t="str">
        <x:v>exams/m2014_q4j</x:v>
      </x:c>
      <x:c r="I75" s="99" t="str">
        <x:v>Solve from blank; check notes only after the attempt.</x:v>
      </x:c>
      <x:c r="J75" s="98" t="str">
        <x:v>Not Started</x:v>
      </x:c>
      <x:c r="K75" s="98"/>
      <x:c r="L75" s="98"/>
      <x:c r="M75" s="98" t="str">
        <x:v>None</x:v>
      </x:c>
      <x:c r="N75" s="99"/>
      <x:c r="O75" s="99"/>
      <x:c r="P75" s="99"/>
      <x:c r="Q75" s="99"/>
    </x:row>
    <x:row r="76" ht="33" customHeight="1">
      <x:c r="A76" s="34" t="n">
        <x:v>46223</x:v>
      </x:c>
      <x:c r="B76" s="98" t="n">
        <x:v>7</x:v>
      </x:c>
      <x:c r="C76" s="98" t="n">
        <x:v>70</x:v>
      </x:c>
      <x:c r="D76" s="98" t="n">
        <x:v>68</x:v>
      </x:c>
      <x:c r="E76" s="99" t="str">
        <x:v>Circuits</x:v>
      </x:c>
      <x:c r="F76" s="99" t="str">
        <x:v>Combinational Logic → Arithmetic Circuits</x:v>
      </x:c>
      <x:c r="G76" s="99" t="str">
        <x:v>Signed addition overflow</x:v>
      </x:c>
      <x:c r="H76" s="99" t="str">
        <x:v>exams/ece241_2014_q1c</x:v>
      </x:c>
      <x:c r="I76" s="99" t="str">
        <x:v>Solve from blank; check notes only after the attempt.</x:v>
      </x:c>
      <x:c r="J76" s="98" t="str">
        <x:v>Not Started</x:v>
      </x:c>
      <x:c r="K76" s="98"/>
      <x:c r="L76" s="98"/>
      <x:c r="M76" s="98" t="str">
        <x:v>None</x:v>
      </x:c>
      <x:c r="N76" s="99"/>
      <x:c r="O76" s="99"/>
      <x:c r="P76" s="99"/>
      <x:c r="Q76" s="99"/>
    </x:row>
    <x:row r="77" ht="33" customHeight="1">
      <x:c r="A77" s="34" t="n">
        <x:v>46224</x:v>
      </x:c>
      <x:c r="B77" s="98" t="n">
        <x:v>8</x:v>
      </x:c>
      <x:c r="C77" s="98" t="n">
        <x:v>71</x:v>
      </x:c>
      <x:c r="D77" s="98" t="n">
        <x:v>69</x:v>
      </x:c>
      <x:c r="E77" s="99" t="str">
        <x:v>Circuits</x:v>
      </x:c>
      <x:c r="F77" s="99" t="str">
        <x:v>Combinational Logic → Arithmetic Circuits</x:v>
      </x:c>
      <x:c r="G77" s="99" t="str">
        <x:v>100-bit binary adder</x:v>
      </x:c>
      <x:c r="H77" s="99" t="str">
        <x:v>adder100</x:v>
      </x:c>
      <x:c r="I77" s="99" t="str">
        <x:v>Solve from blank; check notes only after the attempt.</x:v>
      </x:c>
      <x:c r="J77" s="98" t="str">
        <x:v>Not Started</x:v>
      </x:c>
      <x:c r="K77" s="98"/>
      <x:c r="L77" s="98"/>
      <x:c r="M77" s="98" t="str">
        <x:v>None</x:v>
      </x:c>
      <x:c r="N77" s="99"/>
      <x:c r="O77" s="99"/>
      <x:c r="P77" s="99"/>
      <x:c r="Q77" s="99"/>
    </x:row>
    <x:row r="78" ht="33" customHeight="1">
      <x:c r="A78" s="34" t="n">
        <x:v>46224</x:v>
      </x:c>
      <x:c r="B78" s="98" t="n">
        <x:v>8</x:v>
      </x:c>
      <x:c r="C78" s="98" t="n">
        <x:v>72</x:v>
      </x:c>
      <x:c r="D78" s="98" t="n">
        <x:v>70</x:v>
      </x:c>
      <x:c r="E78" s="99" t="str">
        <x:v>Circuits</x:v>
      </x:c>
      <x:c r="F78" s="99" t="str">
        <x:v>Combinational Logic → Arithmetic Circuits</x:v>
      </x:c>
      <x:c r="G78" s="99" t="str">
        <x:v>4-digit BCD adder</x:v>
      </x:c>
      <x:c r="H78" s="99" t="str">
        <x:v>bcdadd4</x:v>
      </x:c>
      <x:c r="I78" s="99" t="str">
        <x:v>Solve from blank; check notes only after the attempt.</x:v>
      </x:c>
      <x:c r="J78" s="98" t="str">
        <x:v>Not Started</x:v>
      </x:c>
      <x:c r="K78" s="98"/>
      <x:c r="L78" s="98"/>
      <x:c r="M78" s="98" t="str">
        <x:v>None</x:v>
      </x:c>
      <x:c r="N78" s="99"/>
      <x:c r="O78" s="99"/>
      <x:c r="P78" s="99"/>
      <x:c r="Q78" s="99"/>
    </x:row>
    <x:row r="79" ht="33" customHeight="1">
      <x:c r="A79" s="34" t="n">
        <x:v>46224</x:v>
      </x:c>
      <x:c r="B79" s="98" t="n">
        <x:v>8</x:v>
      </x:c>
      <x:c r="C79" s="98" t="n">
        <x:v>73</x:v>
      </x:c>
      <x:c r="D79" s="98" t="n">
        <x:v>71</x:v>
      </x:c>
      <x:c r="E79" s="99" t="str">
        <x:v>Circuits</x:v>
      </x:c>
      <x:c r="F79" s="99" t="str">
        <x:v>Combinational Logic → Karnaugh Map to Circuit</x:v>
      </x:c>
      <x:c r="G79" s="99" t="str">
        <x:v>3-variable</x:v>
      </x:c>
      <x:c r="H79" s="99" t="str">
        <x:v>kmap1</x:v>
      </x:c>
      <x:c r="I79" s="99" t="str">
        <x:v>Solve from blank; check notes only after the attempt.</x:v>
      </x:c>
      <x:c r="J79" s="98" t="str">
        <x:v>Not Started</x:v>
      </x:c>
      <x:c r="K79" s="98"/>
      <x:c r="L79" s="98"/>
      <x:c r="M79" s="98" t="str">
        <x:v>None</x:v>
      </x:c>
      <x:c r="N79" s="99"/>
      <x:c r="O79" s="99"/>
      <x:c r="P79" s="99"/>
      <x:c r="Q79" s="99"/>
    </x:row>
    <x:row r="80" ht="33" customHeight="1">
      <x:c r="A80" s="34" t="n">
        <x:v>46224</x:v>
      </x:c>
      <x:c r="B80" s="98" t="n">
        <x:v>8</x:v>
      </x:c>
      <x:c r="C80" s="98" t="n">
        <x:v>74</x:v>
      </x:c>
      <x:c r="D80" s="98" t="n">
        <x:v>72</x:v>
      </x:c>
      <x:c r="E80" s="99" t="str">
        <x:v>Circuits</x:v>
      </x:c>
      <x:c r="F80" s="99" t="str">
        <x:v>Combinational Logic → Karnaugh Map to Circuit</x:v>
      </x:c>
      <x:c r="G80" s="99" t="str">
        <x:v>4-variable</x:v>
      </x:c>
      <x:c r="H80" s="99" t="str">
        <x:v>kmap2</x:v>
      </x:c>
      <x:c r="I80" s="99" t="str">
        <x:v>Solve from blank; check notes only after the attempt.</x:v>
      </x:c>
      <x:c r="J80" s="98" t="str">
        <x:v>Not Started</x:v>
      </x:c>
      <x:c r="K80" s="98"/>
      <x:c r="L80" s="98"/>
      <x:c r="M80" s="98" t="str">
        <x:v>None</x:v>
      </x:c>
      <x:c r="N80" s="99"/>
      <x:c r="O80" s="99"/>
      <x:c r="P80" s="99"/>
      <x:c r="Q80" s="99"/>
    </x:row>
    <x:row r="81" ht="33" customHeight="1">
      <x:c r="A81" s="34" t="n">
        <x:v>46224</x:v>
      </x:c>
      <x:c r="B81" s="98" t="n">
        <x:v>8</x:v>
      </x:c>
      <x:c r="C81" s="98" t="n">
        <x:v>75</x:v>
      </x:c>
      <x:c r="D81" s="98" t="n">
        <x:v>73</x:v>
      </x:c>
      <x:c r="E81" s="99" t="str">
        <x:v>Circuits</x:v>
      </x:c>
      <x:c r="F81" s="99" t="str">
        <x:v>Combinational Logic → Karnaugh Map to Circuit</x:v>
      </x:c>
      <x:c r="G81" s="99" t="str">
        <x:v>4-variable</x:v>
      </x:c>
      <x:c r="H81" s="99" t="str">
        <x:v>kmap3</x:v>
      </x:c>
      <x:c r="I81" s="99" t="str">
        <x:v>Solve from blank; check notes only after the attempt.</x:v>
      </x:c>
      <x:c r="J81" s="98" t="str">
        <x:v>Not Started</x:v>
      </x:c>
      <x:c r="K81" s="98"/>
      <x:c r="L81" s="98"/>
      <x:c r="M81" s="98" t="str">
        <x:v>None</x:v>
      </x:c>
      <x:c r="N81" s="99"/>
      <x:c r="O81" s="99"/>
      <x:c r="P81" s="99"/>
      <x:c r="Q81" s="99"/>
    </x:row>
    <x:row r="82" ht="33" customHeight="1">
      <x:c r="A82" s="34" t="n">
        <x:v>46224</x:v>
      </x:c>
      <x:c r="B82" s="98" t="n">
        <x:v>8</x:v>
      </x:c>
      <x:c r="C82" s="98" t="n">
        <x:v>76</x:v>
      </x:c>
      <x:c r="D82" s="98" t="n">
        <x:v>74</x:v>
      </x:c>
      <x:c r="E82" s="99" t="str">
        <x:v>Circuits</x:v>
      </x:c>
      <x:c r="F82" s="99" t="str">
        <x:v>Combinational Logic → Karnaugh Map to Circuit</x:v>
      </x:c>
      <x:c r="G82" s="99" t="str">
        <x:v>4-variable</x:v>
      </x:c>
      <x:c r="H82" s="99" t="str">
        <x:v>kmap4</x:v>
      </x:c>
      <x:c r="I82" s="99" t="str">
        <x:v>Solve from blank; check notes only after the attempt.</x:v>
      </x:c>
      <x:c r="J82" s="98" t="str">
        <x:v>Not Started</x:v>
      </x:c>
      <x:c r="K82" s="98"/>
      <x:c r="L82" s="98"/>
      <x:c r="M82" s="98" t="str">
        <x:v>None</x:v>
      </x:c>
      <x:c r="N82" s="99"/>
      <x:c r="O82" s="99"/>
      <x:c r="P82" s="99"/>
      <x:c r="Q82" s="99"/>
    </x:row>
    <x:row r="83" ht="33" customHeight="1">
      <x:c r="A83" s="34" t="n">
        <x:v>46224</x:v>
      </x:c>
      <x:c r="B83" s="98" t="n">
        <x:v>8</x:v>
      </x:c>
      <x:c r="C83" s="98" t="n">
        <x:v>77</x:v>
      </x:c>
      <x:c r="D83" s="98" t="n">
        <x:v>75</x:v>
      </x:c>
      <x:c r="E83" s="99" t="str">
        <x:v>Circuits</x:v>
      </x:c>
      <x:c r="F83" s="99" t="str">
        <x:v>Combinational Logic → Karnaugh Map to Circuit</x:v>
      </x:c>
      <x:c r="G83" s="99" t="str">
        <x:v>Minimum SOP and POS</x:v>
      </x:c>
      <x:c r="H83" s="99" t="str">
        <x:v>exams/ece241_2013_q2</x:v>
      </x:c>
      <x:c r="I83" s="99" t="str">
        <x:v>Solve from blank; check notes only after the attempt.</x:v>
      </x:c>
      <x:c r="J83" s="98" t="str">
        <x:v>Not Started</x:v>
      </x:c>
      <x:c r="K83" s="98"/>
      <x:c r="L83" s="98"/>
      <x:c r="M83" s="98" t="str">
        <x:v>None</x:v>
      </x:c>
      <x:c r="N83" s="99"/>
      <x:c r="O83" s="99"/>
      <x:c r="P83" s="99"/>
      <x:c r="Q83" s="99"/>
    </x:row>
    <x:row r="84" ht="33" customHeight="1">
      <x:c r="A84" s="34" t="n">
        <x:v>46224</x:v>
      </x:c>
      <x:c r="B84" s="98" t="n">
        <x:v>8</x:v>
      </x:c>
      <x:c r="C84" s="98" t="n">
        <x:v>78</x:v>
      </x:c>
      <x:c r="D84" s="98" t="n">
        <x:v>76</x:v>
      </x:c>
      <x:c r="E84" s="99" t="str">
        <x:v>Circuits</x:v>
      </x:c>
      <x:c r="F84" s="99" t="str">
        <x:v>Combinational Logic → Karnaugh Map to Circuit</x:v>
      </x:c>
      <x:c r="G84" s="99" t="str">
        <x:v>Karnaugh map</x:v>
      </x:c>
      <x:c r="H84" s="99" t="str">
        <x:v>exams/m2014_q3</x:v>
      </x:c>
      <x:c r="I84" s="99" t="str">
        <x:v>Solve from blank; check notes only after the attempt.</x:v>
      </x:c>
      <x:c r="J84" s="98" t="str">
        <x:v>Not Started</x:v>
      </x:c>
      <x:c r="K84" s="98"/>
      <x:c r="L84" s="98"/>
      <x:c r="M84" s="98" t="str">
        <x:v>None</x:v>
      </x:c>
      <x:c r="N84" s="99"/>
      <x:c r="O84" s="99"/>
      <x:c r="P84" s="99"/>
      <x:c r="Q84" s="99"/>
    </x:row>
    <x:row r="85" ht="33" customHeight="1">
      <x:c r="A85" s="34" t="n">
        <x:v>46224</x:v>
      </x:c>
      <x:c r="B85" s="98" t="n">
        <x:v>8</x:v>
      </x:c>
      <x:c r="C85" s="98" t="n">
        <x:v>79</x:v>
      </x:c>
      <x:c r="D85" s="98" t="n">
        <x:v>77</x:v>
      </x:c>
      <x:c r="E85" s="99" t="str">
        <x:v>Circuits</x:v>
      </x:c>
      <x:c r="F85" s="99" t="str">
        <x:v>Combinational Logic → Karnaugh Map to Circuit</x:v>
      </x:c>
      <x:c r="G85" s="99" t="str">
        <x:v>Karnaugh map</x:v>
      </x:c>
      <x:c r="H85" s="99" t="str">
        <x:v>exams/2012_q1g</x:v>
      </x:c>
      <x:c r="I85" s="99" t="str">
        <x:v>Solve from blank; check notes only after the attempt.</x:v>
      </x:c>
      <x:c r="J85" s="98" t="str">
        <x:v>Not Started</x:v>
      </x:c>
      <x:c r="K85" s="98"/>
      <x:c r="L85" s="98"/>
      <x:c r="M85" s="98" t="str">
        <x:v>None</x:v>
      </x:c>
      <x:c r="N85" s="99"/>
      <x:c r="O85" s="99"/>
      <x:c r="P85" s="99"/>
      <x:c r="Q85" s="99"/>
    </x:row>
    <x:row r="86" ht="33" customHeight="1">
      <x:c r="A86" s="34" t="n">
        <x:v>46224</x:v>
      </x:c>
      <x:c r="B86" s="98" t="n">
        <x:v>8</x:v>
      </x:c>
      <x:c r="C86" s="98" t="n">
        <x:v>80</x:v>
      </x:c>
      <x:c r="D86" s="98" t="n">
        <x:v>78</x:v>
      </x:c>
      <x:c r="E86" s="99" t="str">
        <x:v>Circuits</x:v>
      </x:c>
      <x:c r="F86" s="99" t="str">
        <x:v>Combinational Logic → Karnaugh Map to Circuit</x:v>
      </x:c>
      <x:c r="G86" s="99" t="str">
        <x:v>K-map implemented with a multiplexer</x:v>
      </x:c>
      <x:c r="H86" s="99" t="str">
        <x:v>exams/ece241_2014_q3</x:v>
      </x:c>
      <x:c r="I86" s="99" t="str">
        <x:v>Solve from blank; check notes only after the attempt.</x:v>
      </x:c>
      <x:c r="J86" s="98" t="str">
        <x:v>Not Started</x:v>
      </x:c>
      <x:c r="K86" s="98"/>
      <x:c r="L86" s="98"/>
      <x:c r="M86" s="98" t="str">
        <x:v>None</x:v>
      </x:c>
      <x:c r="N86" s="99"/>
      <x:c r="O86" s="99"/>
      <x:c r="P86" s="99"/>
      <x:c r="Q86" s="99"/>
    </x:row>
    <x:row r="87" ht="33" customHeight="1">
      <x:c r="A87" s="34" t="n">
        <x:v>46225</x:v>
      </x:c>
      <x:c r="B87" s="98" t="n">
        <x:v>9</x:v>
      </x:c>
      <x:c r="C87" s="98" t="n">
        <x:v>81</x:v>
      </x:c>
      <x:c r="D87" s="98" t="n">
        <x:v>79</x:v>
      </x:c>
      <x:c r="E87" s="99" t="str">
        <x:v>Circuits</x:v>
      </x:c>
      <x:c r="F87" s="99" t="str">
        <x:v>Sequential Logic → Latches and Flip-Flops</x:v>
      </x:c>
      <x:c r="G87" s="99" t="str">
        <x:v>D flip-flop</x:v>
      </x:c>
      <x:c r="H87" s="99" t="str">
        <x:v>dff</x:v>
      </x:c>
      <x:c r="I87" s="99" t="str">
        <x:v>Solve from blank; check notes only after the attempt.</x:v>
      </x:c>
      <x:c r="J87" s="98" t="str">
        <x:v>Not Started</x:v>
      </x:c>
      <x:c r="K87" s="98"/>
      <x:c r="L87" s="98"/>
      <x:c r="M87" s="98" t="str">
        <x:v>None</x:v>
      </x:c>
      <x:c r="N87" s="99"/>
      <x:c r="O87" s="99"/>
      <x:c r="P87" s="99"/>
      <x:c r="Q87" s="99"/>
    </x:row>
    <x:row r="88" ht="33" customHeight="1">
      <x:c r="A88" s="34" t="n">
        <x:v>46225</x:v>
      </x:c>
      <x:c r="B88" s="98" t="n">
        <x:v>9</x:v>
      </x:c>
      <x:c r="C88" s="98" t="n">
        <x:v>82</x:v>
      </x:c>
      <x:c r="D88" s="98" t="n">
        <x:v>80</x:v>
      </x:c>
      <x:c r="E88" s="99" t="str">
        <x:v>Circuits</x:v>
      </x:c>
      <x:c r="F88" s="99" t="str">
        <x:v>Sequential Logic → Latches and Flip-Flops</x:v>
      </x:c>
      <x:c r="G88" s="99" t="str">
        <x:v>D flip-flops</x:v>
      </x:c>
      <x:c r="H88" s="99" t="str">
        <x:v>dff8</x:v>
      </x:c>
      <x:c r="I88" s="99" t="str">
        <x:v>Solve from blank; check notes only after the attempt.</x:v>
      </x:c>
      <x:c r="J88" s="98" t="str">
        <x:v>Not Started</x:v>
      </x:c>
      <x:c r="K88" s="98"/>
      <x:c r="L88" s="98"/>
      <x:c r="M88" s="98" t="str">
        <x:v>None</x:v>
      </x:c>
      <x:c r="N88" s="99"/>
      <x:c r="O88" s="99"/>
      <x:c r="P88" s="99"/>
      <x:c r="Q88" s="99"/>
    </x:row>
    <x:row r="89" ht="33" customHeight="1">
      <x:c r="A89" s="34" t="n">
        <x:v>46225</x:v>
      </x:c>
      <x:c r="B89" s="98" t="n">
        <x:v>9</x:v>
      </x:c>
      <x:c r="C89" s="98" t="n">
        <x:v>83</x:v>
      </x:c>
      <x:c r="D89" s="98" t="n">
        <x:v>81</x:v>
      </x:c>
      <x:c r="E89" s="99" t="str">
        <x:v>Circuits</x:v>
      </x:c>
      <x:c r="F89" s="99" t="str">
        <x:v>Sequential Logic → Latches and Flip-Flops</x:v>
      </x:c>
      <x:c r="G89" s="99" t="str">
        <x:v>DFF with reset</x:v>
      </x:c>
      <x:c r="H89" s="99" t="str">
        <x:v>dff8r</x:v>
      </x:c>
      <x:c r="I89" s="99" t="str">
        <x:v>Solve from blank; check notes only after the attempt.</x:v>
      </x:c>
      <x:c r="J89" s="98" t="str">
        <x:v>Not Started</x:v>
      </x:c>
      <x:c r="K89" s="98"/>
      <x:c r="L89" s="98"/>
      <x:c r="M89" s="98" t="str">
        <x:v>None</x:v>
      </x:c>
      <x:c r="N89" s="99"/>
      <x:c r="O89" s="99"/>
      <x:c r="P89" s="99"/>
      <x:c r="Q89" s="99"/>
    </x:row>
    <x:row r="90" ht="33" customHeight="1">
      <x:c r="A90" s="34" t="n">
        <x:v>46225</x:v>
      </x:c>
      <x:c r="B90" s="98" t="n">
        <x:v>9</x:v>
      </x:c>
      <x:c r="C90" s="98" t="n">
        <x:v>84</x:v>
      </x:c>
      <x:c r="D90" s="98" t="n">
        <x:v>82</x:v>
      </x:c>
      <x:c r="E90" s="99" t="str">
        <x:v>Circuits</x:v>
      </x:c>
      <x:c r="F90" s="99" t="str">
        <x:v>Sequential Logic → Latches and Flip-Flops</x:v>
      </x:c>
      <x:c r="G90" s="99" t="str">
        <x:v>DFF with reset value</x:v>
      </x:c>
      <x:c r="H90" s="99" t="str">
        <x:v>dff8p</x:v>
      </x:c>
      <x:c r="I90" s="99" t="str">
        <x:v>Solve from blank; check notes only after the attempt.</x:v>
      </x:c>
      <x:c r="J90" s="98" t="str">
        <x:v>Not Started</x:v>
      </x:c>
      <x:c r="K90" s="98"/>
      <x:c r="L90" s="98"/>
      <x:c r="M90" s="98" t="str">
        <x:v>None</x:v>
      </x:c>
      <x:c r="N90" s="99"/>
      <x:c r="O90" s="99"/>
      <x:c r="P90" s="99"/>
      <x:c r="Q90" s="99"/>
    </x:row>
    <x:row r="91" ht="33" customHeight="1">
      <x:c r="A91" s="34" t="n">
        <x:v>46225</x:v>
      </x:c>
      <x:c r="B91" s="98" t="n">
        <x:v>9</x:v>
      </x:c>
      <x:c r="C91" s="98" t="n">
        <x:v>85</x:v>
      </x:c>
      <x:c r="D91" s="98" t="n">
        <x:v>83</x:v>
      </x:c>
      <x:c r="E91" s="99" t="str">
        <x:v>Circuits</x:v>
      </x:c>
      <x:c r="F91" s="99" t="str">
        <x:v>Sequential Logic → Latches and Flip-Flops</x:v>
      </x:c>
      <x:c r="G91" s="99" t="str">
        <x:v>DFF with asynchronous reset</x:v>
      </x:c>
      <x:c r="H91" s="99" t="str">
        <x:v>dff8ar</x:v>
      </x:c>
      <x:c r="I91" s="99" t="str">
        <x:v>Solve from blank; check notes only after the attempt.</x:v>
      </x:c>
      <x:c r="J91" s="98" t="str">
        <x:v>Not Started</x:v>
      </x:c>
      <x:c r="K91" s="98"/>
      <x:c r="L91" s="98"/>
      <x:c r="M91" s="98" t="str">
        <x:v>None</x:v>
      </x:c>
      <x:c r="N91" s="99"/>
      <x:c r="O91" s="99"/>
      <x:c r="P91" s="99"/>
      <x:c r="Q91" s="99"/>
    </x:row>
    <x:row r="92" ht="33" customHeight="1">
      <x:c r="A92" s="34" t="n">
        <x:v>46225</x:v>
      </x:c>
      <x:c r="B92" s="98" t="n">
        <x:v>9</x:v>
      </x:c>
      <x:c r="C92" s="98" t="n">
        <x:v>86</x:v>
      </x:c>
      <x:c r="D92" s="98" t="n">
        <x:v>84</x:v>
      </x:c>
      <x:c r="E92" s="99" t="str">
        <x:v>Circuits</x:v>
      </x:c>
      <x:c r="F92" s="99" t="str">
        <x:v>Sequential Logic → Latches and Flip-Flops</x:v>
      </x:c>
      <x:c r="G92" s="99" t="str">
        <x:v>DFF with byte enable</x:v>
      </x:c>
      <x:c r="H92" s="99" t="str">
        <x:v>dff16e</x:v>
      </x:c>
      <x:c r="I92" s="99" t="str">
        <x:v>Solve from blank; check notes only after the attempt.</x:v>
      </x:c>
      <x:c r="J92" s="98" t="str">
        <x:v>Not Started</x:v>
      </x:c>
      <x:c r="K92" s="98"/>
      <x:c r="L92" s="98"/>
      <x:c r="M92" s="98" t="str">
        <x:v>None</x:v>
      </x:c>
      <x:c r="N92" s="99"/>
      <x:c r="O92" s="99"/>
      <x:c r="P92" s="99"/>
      <x:c r="Q92" s="99"/>
    </x:row>
    <x:row r="93" ht="33" customHeight="1">
      <x:c r="A93" s="34" t="n">
        <x:v>46225</x:v>
      </x:c>
      <x:c r="B93" s="98" t="n">
        <x:v>9</x:v>
      </x:c>
      <x:c r="C93" s="98" t="n">
        <x:v>87</x:v>
      </x:c>
      <x:c r="D93" s="98" t="n">
        <x:v>85</x:v>
      </x:c>
      <x:c r="E93" s="99" t="str">
        <x:v>Circuits</x:v>
      </x:c>
      <x:c r="F93" s="99" t="str">
        <x:v>Sequential Logic → Latches and Flip-Flops</x:v>
      </x:c>
      <x:c r="G93" s="99" t="str">
        <x:v>D Latch</x:v>
      </x:c>
      <x:c r="H93" s="99" t="str">
        <x:v>exams/m2014_q4a</x:v>
      </x:c>
      <x:c r="I93" s="99" t="str">
        <x:v>Solve from blank; check notes only after the attempt.</x:v>
      </x:c>
      <x:c r="J93" s="98" t="str">
        <x:v>Not Started</x:v>
      </x:c>
      <x:c r="K93" s="98"/>
      <x:c r="L93" s="98"/>
      <x:c r="M93" s="98" t="str">
        <x:v>None</x:v>
      </x:c>
      <x:c r="N93" s="99"/>
      <x:c r="O93" s="99"/>
      <x:c r="P93" s="99"/>
      <x:c r="Q93" s="99"/>
    </x:row>
    <x:row r="94" ht="33" customHeight="1">
      <x:c r="A94" s="34" t="n">
        <x:v>46225</x:v>
      </x:c>
      <x:c r="B94" s="98" t="n">
        <x:v>9</x:v>
      </x:c>
      <x:c r="C94" s="98" t="n">
        <x:v>88</x:v>
      </x:c>
      <x:c r="D94" s="98" t="n">
        <x:v>86</x:v>
      </x:c>
      <x:c r="E94" s="99" t="str">
        <x:v>Circuits</x:v>
      </x:c>
      <x:c r="F94" s="99" t="str">
        <x:v>Sequential Logic → Latches and Flip-Flops</x:v>
      </x:c>
      <x:c r="G94" s="99" t="str">
        <x:v>DFF</x:v>
      </x:c>
      <x:c r="H94" s="99" t="str">
        <x:v>exams/m2014_q4b</x:v>
      </x:c>
      <x:c r="I94" s="99" t="str">
        <x:v>Solve from blank; check notes only after the attempt.</x:v>
      </x:c>
      <x:c r="J94" s="98" t="str">
        <x:v>Not Started</x:v>
      </x:c>
      <x:c r="K94" s="98"/>
      <x:c r="L94" s="98"/>
      <x:c r="M94" s="98" t="str">
        <x:v>None</x:v>
      </x:c>
      <x:c r="N94" s="99"/>
      <x:c r="O94" s="99"/>
      <x:c r="P94" s="99"/>
      <x:c r="Q94" s="99"/>
    </x:row>
    <x:row r="95" ht="33" customHeight="1">
      <x:c r="A95" s="34" t="n">
        <x:v>46225</x:v>
      </x:c>
      <x:c r="B95" s="98" t="n">
        <x:v>9</x:v>
      </x:c>
      <x:c r="C95" s="98" t="n">
        <x:v>89</x:v>
      </x:c>
      <x:c r="D95" s="98" t="n">
        <x:v>87</x:v>
      </x:c>
      <x:c r="E95" s="99" t="str">
        <x:v>Circuits</x:v>
      </x:c>
      <x:c r="F95" s="99" t="str">
        <x:v>Sequential Logic → Latches and Flip-Flops</x:v>
      </x:c>
      <x:c r="G95" s="99" t="str">
        <x:v>DFF</x:v>
      </x:c>
      <x:c r="H95" s="99" t="str">
        <x:v>exams/m2014_q4c</x:v>
      </x:c>
      <x:c r="I95" s="99" t="str">
        <x:v>Solve from blank; check notes only after the attempt.</x:v>
      </x:c>
      <x:c r="J95" s="98" t="str">
        <x:v>Not Started</x:v>
      </x:c>
      <x:c r="K95" s="98"/>
      <x:c r="L95" s="98"/>
      <x:c r="M95" s="98" t="str">
        <x:v>None</x:v>
      </x:c>
      <x:c r="N95" s="99"/>
      <x:c r="O95" s="99"/>
      <x:c r="P95" s="99"/>
      <x:c r="Q95" s="99"/>
    </x:row>
    <x:row r="96" ht="33" customHeight="1">
      <x:c r="A96" s="34" t="n">
        <x:v>46225</x:v>
      </x:c>
      <x:c r="B96" s="98" t="n">
        <x:v>9</x:v>
      </x:c>
      <x:c r="C96" s="98" t="n">
        <x:v>90</x:v>
      </x:c>
      <x:c r="D96" s="98" t="n">
        <x:v>88</x:v>
      </x:c>
      <x:c r="E96" s="99" t="str">
        <x:v>Circuits</x:v>
      </x:c>
      <x:c r="F96" s="99" t="str">
        <x:v>Sequential Logic → Latches and Flip-Flops</x:v>
      </x:c>
      <x:c r="G96" s="99" t="str">
        <x:v>DFF+gate</x:v>
      </x:c>
      <x:c r="H96" s="99" t="str">
        <x:v>exams/m2014_q4d</x:v>
      </x:c>
      <x:c r="I96" s="99" t="str">
        <x:v>Solve from blank; check notes only after the attempt.</x:v>
      </x:c>
      <x:c r="J96" s="98" t="str">
        <x:v>Not Started</x:v>
      </x:c>
      <x:c r="K96" s="98"/>
      <x:c r="L96" s="98"/>
      <x:c r="M96" s="98" t="str">
        <x:v>None</x:v>
      </x:c>
      <x:c r="N96" s="99"/>
      <x:c r="O96" s="99"/>
      <x:c r="P96" s="99"/>
      <x:c r="Q96" s="99"/>
    </x:row>
    <x:row r="97" ht="33" customHeight="1">
      <x:c r="A97" s="34" t="n">
        <x:v>46226</x:v>
      </x:c>
      <x:c r="B97" s="98" t="n">
        <x:v>10</x:v>
      </x:c>
      <x:c r="C97" s="98" t="n">
        <x:v>91</x:v>
      </x:c>
      <x:c r="D97" s="98" t="n">
        <x:v>89</x:v>
      </x:c>
      <x:c r="E97" s="99" t="str">
        <x:v>Circuits</x:v>
      </x:c>
      <x:c r="F97" s="99" t="str">
        <x:v>Sequential Logic → Latches and Flip-Flops</x:v>
      </x:c>
      <x:c r="G97" s="99" t="str">
        <x:v>Mux and DFF</x:v>
      </x:c>
      <x:c r="H97" s="99" t="str">
        <x:v>mt2015_muxdff</x:v>
      </x:c>
      <x:c r="I97" s="99" t="str">
        <x:v>Solve from blank; check notes only after the attempt.</x:v>
      </x:c>
      <x:c r="J97" s="98" t="str">
        <x:v>Not Started</x:v>
      </x:c>
      <x:c r="K97" s="98"/>
      <x:c r="L97" s="98"/>
      <x:c r="M97" s="98" t="str">
        <x:v>None</x:v>
      </x:c>
      <x:c r="N97" s="99"/>
      <x:c r="O97" s="99"/>
      <x:c r="P97" s="99"/>
      <x:c r="Q97" s="99"/>
    </x:row>
    <x:row r="98" ht="33" customHeight="1">
      <x:c r="A98" s="34" t="n">
        <x:v>46226</x:v>
      </x:c>
      <x:c r="B98" s="98" t="n">
        <x:v>10</x:v>
      </x:c>
      <x:c r="C98" s="98" t="n">
        <x:v>92</x:v>
      </x:c>
      <x:c r="D98" s="98" t="n">
        <x:v>90</x:v>
      </x:c>
      <x:c r="E98" s="99" t="str">
        <x:v>Circuits</x:v>
      </x:c>
      <x:c r="F98" s="99" t="str">
        <x:v>Sequential Logic → Latches and Flip-Flops</x:v>
      </x:c>
      <x:c r="G98" s="99" t="str">
        <x:v>Mux and DFF</x:v>
      </x:c>
      <x:c r="H98" s="99" t="str">
        <x:v>exams/2014_q4a</x:v>
      </x:c>
      <x:c r="I98" s="99" t="str">
        <x:v>Solve from blank; check notes only after the attempt.</x:v>
      </x:c>
      <x:c r="J98" s="98" t="str">
        <x:v>Not Started</x:v>
      </x:c>
      <x:c r="K98" s="98"/>
      <x:c r="L98" s="98"/>
      <x:c r="M98" s="98" t="str">
        <x:v>None</x:v>
      </x:c>
      <x:c r="N98" s="99"/>
      <x:c r="O98" s="99"/>
      <x:c r="P98" s="99"/>
      <x:c r="Q98" s="99"/>
    </x:row>
    <x:row r="99" ht="33" customHeight="1">
      <x:c r="A99" s="34" t="n">
        <x:v>46226</x:v>
      </x:c>
      <x:c r="B99" s="98" t="n">
        <x:v>10</x:v>
      </x:c>
      <x:c r="C99" s="98" t="n">
        <x:v>93</x:v>
      </x:c>
      <x:c r="D99" s="98" t="n">
        <x:v>91</x:v>
      </x:c>
      <x:c r="E99" s="99" t="str">
        <x:v>Circuits</x:v>
      </x:c>
      <x:c r="F99" s="99" t="str">
        <x:v>Sequential Logic → Latches and Flip-Flops</x:v>
      </x:c>
      <x:c r="G99" s="99" t="str">
        <x:v>DFFs and gates</x:v>
      </x:c>
      <x:c r="H99" s="99" t="str">
        <x:v>exams/ece241_2014_q4</x:v>
      </x:c>
      <x:c r="I99" s="99" t="str">
        <x:v>Solve from blank; check notes only after the attempt.</x:v>
      </x:c>
      <x:c r="J99" s="98" t="str">
        <x:v>Not Started</x:v>
      </x:c>
      <x:c r="K99" s="98"/>
      <x:c r="L99" s="98"/>
      <x:c r="M99" s="98" t="str">
        <x:v>None</x:v>
      </x:c>
      <x:c r="N99" s="99"/>
      <x:c r="O99" s="99"/>
      <x:c r="P99" s="99"/>
      <x:c r="Q99" s="99"/>
    </x:row>
    <x:row r="100" ht="33" customHeight="1">
      <x:c r="A100" s="34" t="n">
        <x:v>46226</x:v>
      </x:c>
      <x:c r="B100" s="98" t="n">
        <x:v>10</x:v>
      </x:c>
      <x:c r="C100" s="98" t="n">
        <x:v>94</x:v>
      </x:c>
      <x:c r="D100" s="98" t="n">
        <x:v>92</x:v>
      </x:c>
      <x:c r="E100" s="99" t="str">
        <x:v>Circuits</x:v>
      </x:c>
      <x:c r="F100" s="99" t="str">
        <x:v>Sequential Logic → Latches and Flip-Flops</x:v>
      </x:c>
      <x:c r="G100" s="99" t="str">
        <x:v>Create circuit from truth table</x:v>
      </x:c>
      <x:c r="H100" s="99" t="str">
        <x:v>exams/ece241_2013_q7</x:v>
      </x:c>
      <x:c r="I100" s="99" t="str">
        <x:v>Solve from blank; check notes only after the attempt.</x:v>
      </x:c>
      <x:c r="J100" s="98" t="str">
        <x:v>Not Started</x:v>
      </x:c>
      <x:c r="K100" s="98"/>
      <x:c r="L100" s="98"/>
      <x:c r="M100" s="98" t="str">
        <x:v>None</x:v>
      </x:c>
      <x:c r="N100" s="99"/>
      <x:c r="O100" s="99"/>
      <x:c r="P100" s="99"/>
      <x:c r="Q100" s="99"/>
    </x:row>
    <x:row r="101" ht="33" customHeight="1">
      <x:c r="A101" s="34" t="n">
        <x:v>46226</x:v>
      </x:c>
      <x:c r="B101" s="98" t="n">
        <x:v>10</x:v>
      </x:c>
      <x:c r="C101" s="98" t="n">
        <x:v>95</x:v>
      </x:c>
      <x:c r="D101" s="98" t="n">
        <x:v>93</x:v>
      </x:c>
      <x:c r="E101" s="99" t="str">
        <x:v>Circuits</x:v>
      </x:c>
      <x:c r="F101" s="99" t="str">
        <x:v>Sequential Logic → Latches and Flip-Flops</x:v>
      </x:c>
      <x:c r="G101" s="99" t="str">
        <x:v>Detect an edge</x:v>
      </x:c>
      <x:c r="H101" s="99" t="str">
        <x:v>edgedetect</x:v>
      </x:c>
      <x:c r="I101" s="99" t="str">
        <x:v>Solve from blank; check notes only after the attempt.</x:v>
      </x:c>
      <x:c r="J101" s="98" t="str">
        <x:v>Not Started</x:v>
      </x:c>
      <x:c r="K101" s="98"/>
      <x:c r="L101" s="98"/>
      <x:c r="M101" s="98" t="str">
        <x:v>None</x:v>
      </x:c>
      <x:c r="N101" s="99"/>
      <x:c r="O101" s="99"/>
      <x:c r="P101" s="99"/>
      <x:c r="Q101" s="99"/>
    </x:row>
    <x:row r="102" ht="33" customHeight="1">
      <x:c r="A102" s="34" t="n">
        <x:v>46226</x:v>
      </x:c>
      <x:c r="B102" s="98" t="n">
        <x:v>10</x:v>
      </x:c>
      <x:c r="C102" s="98" t="n">
        <x:v>96</x:v>
      </x:c>
      <x:c r="D102" s="98" t="n">
        <x:v>94</x:v>
      </x:c>
      <x:c r="E102" s="99" t="str">
        <x:v>Circuits</x:v>
      </x:c>
      <x:c r="F102" s="99" t="str">
        <x:v>Sequential Logic → Latches and Flip-Flops</x:v>
      </x:c>
      <x:c r="G102" s="99" t="str">
        <x:v>Detect both edges</x:v>
      </x:c>
      <x:c r="H102" s="99" t="str">
        <x:v>edgedetect2</x:v>
      </x:c>
      <x:c r="I102" s="99" t="str">
        <x:v>Solve from blank; check notes only after the attempt.</x:v>
      </x:c>
      <x:c r="J102" s="98" t="str">
        <x:v>Not Started</x:v>
      </x:c>
      <x:c r="K102" s="98"/>
      <x:c r="L102" s="98"/>
      <x:c r="M102" s="98" t="str">
        <x:v>None</x:v>
      </x:c>
      <x:c r="N102" s="99"/>
      <x:c r="O102" s="99"/>
      <x:c r="P102" s="99"/>
      <x:c r="Q102" s="99"/>
    </x:row>
    <x:row r="103" ht="33" customHeight="1">
      <x:c r="A103" s="34" t="n">
        <x:v>46226</x:v>
      </x:c>
      <x:c r="B103" s="98" t="n">
        <x:v>10</x:v>
      </x:c>
      <x:c r="C103" s="98" t="n">
        <x:v>97</x:v>
      </x:c>
      <x:c r="D103" s="98" t="n">
        <x:v>95</x:v>
      </x:c>
      <x:c r="E103" s="99" t="str">
        <x:v>Circuits</x:v>
      </x:c>
      <x:c r="F103" s="99" t="str">
        <x:v>Sequential Logic → Latches and Flip-Flops</x:v>
      </x:c>
      <x:c r="G103" s="99" t="str">
        <x:v>Edge capture register</x:v>
      </x:c>
      <x:c r="H103" s="99" t="str">
        <x:v>edgecapture</x:v>
      </x:c>
      <x:c r="I103" s="99" t="str">
        <x:v>Solve from blank; check notes only after the attempt.</x:v>
      </x:c>
      <x:c r="J103" s="98" t="str">
        <x:v>Not Started</x:v>
      </x:c>
      <x:c r="K103" s="98"/>
      <x:c r="L103" s="98"/>
      <x:c r="M103" s="98" t="str">
        <x:v>None</x:v>
      </x:c>
      <x:c r="N103" s="99"/>
      <x:c r="O103" s="99"/>
      <x:c r="P103" s="99"/>
      <x:c r="Q103" s="99"/>
    </x:row>
    <x:row r="104" ht="33" customHeight="1">
      <x:c r="A104" s="34" t="n">
        <x:v>46226</x:v>
      </x:c>
      <x:c r="B104" s="98" t="n">
        <x:v>10</x:v>
      </x:c>
      <x:c r="C104" s="98" t="n">
        <x:v>98</x:v>
      </x:c>
      <x:c r="D104" s="98" t="n">
        <x:v>96</x:v>
      </x:c>
      <x:c r="E104" s="99" t="str">
        <x:v>Circuits</x:v>
      </x:c>
      <x:c r="F104" s="99" t="str">
        <x:v>Sequential Logic → Latches and Flip-Flops</x:v>
      </x:c>
      <x:c r="G104" s="99" t="str">
        <x:v>Dual-edge triggered flip-flop</x:v>
      </x:c>
      <x:c r="H104" s="99" t="str">
        <x:v>dualedge</x:v>
      </x:c>
      <x:c r="I104" s="99" t="str">
        <x:v>Solve from blank; check notes only after the attempt.</x:v>
      </x:c>
      <x:c r="J104" s="98" t="str">
        <x:v>Not Started</x:v>
      </x:c>
      <x:c r="K104" s="98"/>
      <x:c r="L104" s="98"/>
      <x:c r="M104" s="98" t="str">
        <x:v>None</x:v>
      </x:c>
      <x:c r="N104" s="99"/>
      <x:c r="O104" s="99"/>
      <x:c r="P104" s="99"/>
      <x:c r="Q104" s="99"/>
    </x:row>
    <x:row r="105" ht="33" customHeight="1">
      <x:c r="A105" s="34" t="n">
        <x:v>46226</x:v>
      </x:c>
      <x:c r="B105" s="98" t="n">
        <x:v>10</x:v>
      </x:c>
      <x:c r="C105" s="98" t="n">
        <x:v>99</x:v>
      </x:c>
      <x:c r="D105" s="98" t="n">
        <x:v>97</x:v>
      </x:c>
      <x:c r="E105" s="99" t="str">
        <x:v>Circuits</x:v>
      </x:c>
      <x:c r="F105" s="99" t="str">
        <x:v>Sequential Logic → Counters</x:v>
      </x:c>
      <x:c r="G105" s="99" t="str">
        <x:v>Four-bit binary counter</x:v>
      </x:c>
      <x:c r="H105" s="99" t="str">
        <x:v>count15</x:v>
      </x:c>
      <x:c r="I105" s="99" t="str">
        <x:v>Solve from blank; check notes only after the attempt.</x:v>
      </x:c>
      <x:c r="J105" s="98" t="str">
        <x:v>Not Started</x:v>
      </x:c>
      <x:c r="K105" s="98"/>
      <x:c r="L105" s="98"/>
      <x:c r="M105" s="98" t="str">
        <x:v>None</x:v>
      </x:c>
      <x:c r="N105" s="99"/>
      <x:c r="O105" s="99"/>
      <x:c r="P105" s="99"/>
      <x:c r="Q105" s="99"/>
    </x:row>
    <x:row r="106" ht="33" customHeight="1">
      <x:c r="A106" s="34" t="n">
        <x:v>46226</x:v>
      </x:c>
      <x:c r="B106" s="98" t="n">
        <x:v>10</x:v>
      </x:c>
      <x:c r="C106" s="98" t="n">
        <x:v>100</x:v>
      </x:c>
      <x:c r="D106" s="98" t="n">
        <x:v>98</x:v>
      </x:c>
      <x:c r="E106" s="99" t="str">
        <x:v>Circuits</x:v>
      </x:c>
      <x:c r="F106" s="99" t="str">
        <x:v>Sequential Logic → Counters</x:v>
      </x:c>
      <x:c r="G106" s="99" t="str">
        <x:v>Decade counter</x:v>
      </x:c>
      <x:c r="H106" s="99" t="str">
        <x:v>count10</x:v>
      </x:c>
      <x:c r="I106" s="99" t="str">
        <x:v>Solve from blank; check notes only after the attempt.</x:v>
      </x:c>
      <x:c r="J106" s="98" t="str">
        <x:v>Not Started</x:v>
      </x:c>
      <x:c r="K106" s="98"/>
      <x:c r="L106" s="98"/>
      <x:c r="M106" s="98" t="str">
        <x:v>None</x:v>
      </x:c>
      <x:c r="N106" s="99"/>
      <x:c r="O106" s="99"/>
      <x:c r="P106" s="99"/>
      <x:c r="Q106" s="99"/>
    </x:row>
    <x:row r="107" ht="33" customHeight="1">
      <x:c r="A107" s="34" t="n">
        <x:v>46227</x:v>
      </x:c>
      <x:c r="B107" s="98" t="n">
        <x:v>11</x:v>
      </x:c>
      <x:c r="C107" s="98" t="n">
        <x:v>101</x:v>
      </x:c>
      <x:c r="D107" s="98" t="n">
        <x:v>99</x:v>
      </x:c>
      <x:c r="E107" s="99" t="str">
        <x:v>Circuits</x:v>
      </x:c>
      <x:c r="F107" s="99" t="str">
        <x:v>Sequential Logic → Counters</x:v>
      </x:c>
      <x:c r="G107" s="99" t="str">
        <x:v>Decade counter again</x:v>
      </x:c>
      <x:c r="H107" s="99" t="str">
        <x:v>count1to10</x:v>
      </x:c>
      <x:c r="I107" s="99" t="str">
        <x:v>Solve from blank; check notes only after the attempt.</x:v>
      </x:c>
      <x:c r="J107" s="98" t="str">
        <x:v>Not Started</x:v>
      </x:c>
      <x:c r="K107" s="98"/>
      <x:c r="L107" s="98"/>
      <x:c r="M107" s="98" t="str">
        <x:v>None</x:v>
      </x:c>
      <x:c r="N107" s="99"/>
      <x:c r="O107" s="99"/>
      <x:c r="P107" s="99"/>
      <x:c r="Q107" s="99"/>
    </x:row>
    <x:row r="108" ht="33" customHeight="1">
      <x:c r="A108" s="34" t="n">
        <x:v>46227</x:v>
      </x:c>
      <x:c r="B108" s="98" t="n">
        <x:v>11</x:v>
      </x:c>
      <x:c r="C108" s="98" t="n">
        <x:v>102</x:v>
      </x:c>
      <x:c r="D108" s="98" t="n">
        <x:v>100</x:v>
      </x:c>
      <x:c r="E108" s="99" t="str">
        <x:v>Circuits</x:v>
      </x:c>
      <x:c r="F108" s="99" t="str">
        <x:v>Sequential Logic → Counters</x:v>
      </x:c>
      <x:c r="G108" s="99" t="str">
        <x:v>Slow decade counter</x:v>
      </x:c>
      <x:c r="H108" s="99" t="str">
        <x:v>countslow</x:v>
      </x:c>
      <x:c r="I108" s="99" t="str">
        <x:v>Solve from blank; check notes only after the attempt.</x:v>
      </x:c>
      <x:c r="J108" s="98" t="str">
        <x:v>Not Started</x:v>
      </x:c>
      <x:c r="K108" s="98"/>
      <x:c r="L108" s="98"/>
      <x:c r="M108" s="98" t="str">
        <x:v>None</x:v>
      </x:c>
      <x:c r="N108" s="99"/>
      <x:c r="O108" s="99"/>
      <x:c r="P108" s="99"/>
      <x:c r="Q108" s="99"/>
    </x:row>
    <x:row r="109" ht="33" customHeight="1">
      <x:c r="A109" s="34" t="n">
        <x:v>46227</x:v>
      </x:c>
      <x:c r="B109" s="98" t="n">
        <x:v>11</x:v>
      </x:c>
      <x:c r="C109" s="98" t="n">
        <x:v>103</x:v>
      </x:c>
      <x:c r="D109" s="98" t="n">
        <x:v>143</x:v>
      </x:c>
      <x:c r="E109" s="99" t="str">
        <x:v>Circuits</x:v>
      </x:c>
      <x:c r="F109" s="99" t="str">
        <x:v>Sequential Logic → Counters</x:v>
      </x:c>
      <x:c r="G109" s="99" t="str">
        <x:v>Counter 1-12</x:v>
      </x:c>
      <x:c r="H109" s="99" t="str">
        <x:v>exams/ece241_2014_q7a</x:v>
      </x:c>
      <x:c r="I109" s="99" t="str">
        <x:v>Solve from blank; check notes only after the attempt.</x:v>
      </x:c>
      <x:c r="J109" s="98" t="str">
        <x:v>Not Started</x:v>
      </x:c>
      <x:c r="K109" s="98"/>
      <x:c r="L109" s="98"/>
      <x:c r="M109" s="98" t="str">
        <x:v>None</x:v>
      </x:c>
      <x:c r="N109" s="99"/>
      <x:c r="O109" s="99"/>
      <x:c r="P109" s="99"/>
      <x:c r="Q109" s="99"/>
    </x:row>
    <x:row r="110" ht="33" customHeight="1">
      <x:c r="A110" s="34" t="n">
        <x:v>46227</x:v>
      </x:c>
      <x:c r="B110" s="98" t="n">
        <x:v>11</x:v>
      </x:c>
      <x:c r="C110" s="98" t="n">
        <x:v>104</x:v>
      </x:c>
      <x:c r="D110" s="98" t="n">
        <x:v>144</x:v>
      </x:c>
      <x:c r="E110" s="99" t="str">
        <x:v>Circuits</x:v>
      </x:c>
      <x:c r="F110" s="99" t="str">
        <x:v>Sequential Logic → Counters</x:v>
      </x:c>
      <x:c r="G110" s="99" t="str">
        <x:v>Counter 1000</x:v>
      </x:c>
      <x:c r="H110" s="99" t="str">
        <x:v>exams/ece241_2014_q7b</x:v>
      </x:c>
      <x:c r="I110" s="99" t="str">
        <x:v>Solve from blank; check notes only after the attempt.</x:v>
      </x:c>
      <x:c r="J110" s="98" t="str">
        <x:v>Not Started</x:v>
      </x:c>
      <x:c r="K110" s="98"/>
      <x:c r="L110" s="98"/>
      <x:c r="M110" s="98" t="str">
        <x:v>None</x:v>
      </x:c>
      <x:c r="N110" s="99"/>
      <x:c r="O110" s="99"/>
      <x:c r="P110" s="99"/>
      <x:c r="Q110" s="99"/>
    </x:row>
    <x:row r="111" ht="33" customHeight="1">
      <x:c r="A111" s="34" t="n">
        <x:v>46227</x:v>
      </x:c>
      <x:c r="B111" s="98" t="n">
        <x:v>11</x:v>
      </x:c>
      <x:c r="C111" s="98" t="n">
        <x:v>105</x:v>
      </x:c>
      <x:c r="D111" s="98" t="n">
        <x:v>145</x:v>
      </x:c>
      <x:c r="E111" s="99" t="str">
        <x:v>Circuits</x:v>
      </x:c>
      <x:c r="F111" s="99" t="str">
        <x:v>Sequential Logic → Counters</x:v>
      </x:c>
      <x:c r="G111" s="99" t="str">
        <x:v>4-digit decimal counter</x:v>
      </x:c>
      <x:c r="H111" s="99" t="str">
        <x:v>countbcd</x:v>
      </x:c>
      <x:c r="I111" s="99" t="str">
        <x:v>Solve from blank; check notes only after the attempt.</x:v>
      </x:c>
      <x:c r="J111" s="98" t="str">
        <x:v>Not Started</x:v>
      </x:c>
      <x:c r="K111" s="98"/>
      <x:c r="L111" s="98"/>
      <x:c r="M111" s="98" t="str">
        <x:v>None</x:v>
      </x:c>
      <x:c r="N111" s="99"/>
      <x:c r="O111" s="99"/>
      <x:c r="P111" s="99"/>
      <x:c r="Q111" s="99"/>
    </x:row>
    <x:row r="112" ht="33" customHeight="1">
      <x:c r="A112" s="34" t="n">
        <x:v>46227</x:v>
      </x:c>
      <x:c r="B112" s="98" t="n">
        <x:v>11</x:v>
      </x:c>
      <x:c r="C112" s="98" t="n">
        <x:v>106</x:v>
      </x:c>
      <x:c r="D112" s="98" t="n">
        <x:v>146</x:v>
      </x:c>
      <x:c r="E112" s="99" t="str">
        <x:v>Circuits</x:v>
      </x:c>
      <x:c r="F112" s="99" t="str">
        <x:v>Sequential Logic → Counters</x:v>
      </x:c>
      <x:c r="G112" s="99" t="str">
        <x:v>12-hour clock</x:v>
      </x:c>
      <x:c r="H112" s="99" t="str">
        <x:v>count_clock</x:v>
      </x:c>
      <x:c r="I112" s="99" t="str">
        <x:v>Solve from blank; check notes only after the attempt.</x:v>
      </x:c>
      <x:c r="J112" s="98" t="str">
        <x:v>Not Started</x:v>
      </x:c>
      <x:c r="K112" s="98"/>
      <x:c r="L112" s="98"/>
      <x:c r="M112" s="98" t="str">
        <x:v>None</x:v>
      </x:c>
      <x:c r="N112" s="99"/>
      <x:c r="O112" s="99"/>
      <x:c r="P112" s="99"/>
      <x:c r="Q112" s="99"/>
    </x:row>
    <x:row r="113" ht="33" customHeight="1">
      <x:c r="A113" s="34" t="n">
        <x:v>46227</x:v>
      </x:c>
      <x:c r="B113" s="98" t="n">
        <x:v>11</x:v>
      </x:c>
      <x:c r="C113" s="98" t="n">
        <x:v>107</x:v>
      </x:c>
      <x:c r="D113" s="98" t="n">
        <x:v>101</x:v>
      </x:c>
      <x:c r="E113" s="99" t="str">
        <x:v>Circuits</x:v>
      </x:c>
      <x:c r="F113" s="99" t="str">
        <x:v>Sequential Logic → Shift Registers</x:v>
      </x:c>
      <x:c r="G113" s="99" t="str">
        <x:v>4-bit shift register</x:v>
      </x:c>
      <x:c r="H113" s="99" t="str">
        <x:v>shift4</x:v>
      </x:c>
      <x:c r="I113" s="99" t="str">
        <x:v>Solve from blank; check notes only after the attempt.</x:v>
      </x:c>
      <x:c r="J113" s="98" t="str">
        <x:v>Not Started</x:v>
      </x:c>
      <x:c r="K113" s="98"/>
      <x:c r="L113" s="98"/>
      <x:c r="M113" s="98" t="str">
        <x:v>None</x:v>
      </x:c>
      <x:c r="N113" s="99"/>
      <x:c r="O113" s="99"/>
      <x:c r="P113" s="99"/>
      <x:c r="Q113" s="99"/>
    </x:row>
    <x:row r="114" ht="33" customHeight="1">
      <x:c r="A114" s="34" t="n">
        <x:v>46227</x:v>
      </x:c>
      <x:c r="B114" s="98" t="n">
        <x:v>11</x:v>
      </x:c>
      <x:c r="C114" s="98" t="n">
        <x:v>108</x:v>
      </x:c>
      <x:c r="D114" s="98" t="n">
        <x:v>102</x:v>
      </x:c>
      <x:c r="E114" s="99" t="str">
        <x:v>Circuits</x:v>
      </x:c>
      <x:c r="F114" s="99" t="str">
        <x:v>Sequential Logic → Shift Registers</x:v>
      </x:c>
      <x:c r="G114" s="99" t="str">
        <x:v>Left/right rotator</x:v>
      </x:c>
      <x:c r="H114" s="99" t="str">
        <x:v>rotate100</x:v>
      </x:c>
      <x:c r="I114" s="99" t="str">
        <x:v>Solve from blank; check notes only after the attempt.</x:v>
      </x:c>
      <x:c r="J114" s="98" t="str">
        <x:v>Not Started</x:v>
      </x:c>
      <x:c r="K114" s="98"/>
      <x:c r="L114" s="98"/>
      <x:c r="M114" s="98" t="str">
        <x:v>None</x:v>
      </x:c>
      <x:c r="N114" s="99"/>
      <x:c r="O114" s="99"/>
      <x:c r="P114" s="99"/>
      <x:c r="Q114" s="99"/>
    </x:row>
    <x:row r="115" ht="33" customHeight="1">
      <x:c r="A115" s="34" t="n">
        <x:v>46227</x:v>
      </x:c>
      <x:c r="B115" s="98" t="n">
        <x:v>11</x:v>
      </x:c>
      <x:c r="C115" s="98" t="n">
        <x:v>109</x:v>
      </x:c>
      <x:c r="D115" s="98" t="n">
        <x:v>103</x:v>
      </x:c>
      <x:c r="E115" s="99" t="str">
        <x:v>Circuits</x:v>
      </x:c>
      <x:c r="F115" s="99" t="str">
        <x:v>Sequential Logic → Shift Registers</x:v>
      </x:c>
      <x:c r="G115" s="99" t="str">
        <x:v>Left/right arithmetic shift by 1 or 8</x:v>
      </x:c>
      <x:c r="H115" s="99" t="str">
        <x:v>shift18</x:v>
      </x:c>
      <x:c r="I115" s="99" t="str">
        <x:v>Solve from blank; check notes only after the attempt.</x:v>
      </x:c>
      <x:c r="J115" s="98" t="str">
        <x:v>Not Started</x:v>
      </x:c>
      <x:c r="K115" s="98"/>
      <x:c r="L115" s="98"/>
      <x:c r="M115" s="98" t="str">
        <x:v>None</x:v>
      </x:c>
      <x:c r="N115" s="99"/>
      <x:c r="O115" s="99"/>
      <x:c r="P115" s="99"/>
      <x:c r="Q115" s="99"/>
    </x:row>
    <x:row r="116" ht="33" customHeight="1">
      <x:c r="A116" s="34" t="n">
        <x:v>46227</x:v>
      </x:c>
      <x:c r="B116" s="98" t="n">
        <x:v>11</x:v>
      </x:c>
      <x:c r="C116" s="98" t="n">
        <x:v>110</x:v>
      </x:c>
      <x:c r="D116" s="98" t="n">
        <x:v>104</x:v>
      </x:c>
      <x:c r="E116" s="99" t="str">
        <x:v>Circuits</x:v>
      </x:c>
      <x:c r="F116" s="99" t="str">
        <x:v>Sequential Logic → Shift Registers</x:v>
      </x:c>
      <x:c r="G116" s="99" t="str">
        <x:v>5-bit LFSR</x:v>
      </x:c>
      <x:c r="H116" s="99" t="str">
        <x:v>lfsr5</x:v>
      </x:c>
      <x:c r="I116" s="99" t="str">
        <x:v>Solve from blank; check notes only after the attempt.</x:v>
      </x:c>
      <x:c r="J116" s="98" t="str">
        <x:v>Not Started</x:v>
      </x:c>
      <x:c r="K116" s="98"/>
      <x:c r="L116" s="98"/>
      <x:c r="M116" s="98" t="str">
        <x:v>None</x:v>
      </x:c>
      <x:c r="N116" s="99"/>
      <x:c r="O116" s="99"/>
      <x:c r="P116" s="99"/>
      <x:c r="Q116" s="99"/>
    </x:row>
    <x:row r="117" ht="33" customHeight="1">
      <x:c r="A117" s="34" t="n">
        <x:v>46228</x:v>
      </x:c>
      <x:c r="B117" s="98" t="n">
        <x:v>12</x:v>
      </x:c>
      <x:c r="C117" s="98" t="n">
        <x:v>111</x:v>
      </x:c>
      <x:c r="D117" s="98" t="n">
        <x:v>105</x:v>
      </x:c>
      <x:c r="E117" s="99" t="str">
        <x:v>Circuits</x:v>
      </x:c>
      <x:c r="F117" s="99" t="str">
        <x:v>Sequential Logic → Shift Registers</x:v>
      </x:c>
      <x:c r="G117" s="99" t="str">
        <x:v>3-bit LFSR</x:v>
      </x:c>
      <x:c r="H117" s="99" t="str">
        <x:v>mt2015_lfsr</x:v>
      </x:c>
      <x:c r="I117" s="99" t="str">
        <x:v>Solve from blank; check notes only after the attempt.</x:v>
      </x:c>
      <x:c r="J117" s="98" t="str">
        <x:v>Not Started</x:v>
      </x:c>
      <x:c r="K117" s="98"/>
      <x:c r="L117" s="98"/>
      <x:c r="M117" s="98" t="str">
        <x:v>None</x:v>
      </x:c>
      <x:c r="N117" s="99"/>
      <x:c r="O117" s="99"/>
      <x:c r="P117" s="99"/>
      <x:c r="Q117" s="99"/>
    </x:row>
    <x:row r="118" ht="33" customHeight="1">
      <x:c r="A118" s="34" t="n">
        <x:v>46228</x:v>
      </x:c>
      <x:c r="B118" s="98" t="n">
        <x:v>12</x:v>
      </x:c>
      <x:c r="C118" s="98" t="n">
        <x:v>112</x:v>
      </x:c>
      <x:c r="D118" s="98" t="n">
        <x:v>106</x:v>
      </x:c>
      <x:c r="E118" s="99" t="str">
        <x:v>Circuits</x:v>
      </x:c>
      <x:c r="F118" s="99" t="str">
        <x:v>Sequential Logic → Shift Registers</x:v>
      </x:c>
      <x:c r="G118" s="99" t="str">
        <x:v>32-bit LFSR</x:v>
      </x:c>
      <x:c r="H118" s="99" t="str">
        <x:v>lfsr32</x:v>
      </x:c>
      <x:c r="I118" s="99" t="str">
        <x:v>Solve from blank; check notes only after the attempt.</x:v>
      </x:c>
      <x:c r="J118" s="98" t="str">
        <x:v>Not Started</x:v>
      </x:c>
      <x:c r="K118" s="98"/>
      <x:c r="L118" s="98"/>
      <x:c r="M118" s="98" t="str">
        <x:v>None</x:v>
      </x:c>
      <x:c r="N118" s="99"/>
      <x:c r="O118" s="99"/>
      <x:c r="P118" s="99"/>
      <x:c r="Q118" s="99"/>
    </x:row>
    <x:row r="119" ht="33" customHeight="1">
      <x:c r="A119" s="34" t="n">
        <x:v>46228</x:v>
      </x:c>
      <x:c r="B119" s="98" t="n">
        <x:v>12</x:v>
      </x:c>
      <x:c r="C119" s="98" t="n">
        <x:v>113</x:v>
      </x:c>
      <x:c r="D119" s="98" t="n">
        <x:v>107</x:v>
      </x:c>
      <x:c r="E119" s="99" t="str">
        <x:v>Circuits</x:v>
      </x:c>
      <x:c r="F119" s="99" t="str">
        <x:v>Sequential Logic → Shift Registers</x:v>
      </x:c>
      <x:c r="G119" s="99" t="str">
        <x:v>Shift register</x:v>
      </x:c>
      <x:c r="H119" s="99" t="str">
        <x:v>exams/m2014_q4k</x:v>
      </x:c>
      <x:c r="I119" s="99" t="str">
        <x:v>Solve from blank; check notes only after the attempt.</x:v>
      </x:c>
      <x:c r="J119" s="98" t="str">
        <x:v>Not Started</x:v>
      </x:c>
      <x:c r="K119" s="98"/>
      <x:c r="L119" s="98"/>
      <x:c r="M119" s="98" t="str">
        <x:v>None</x:v>
      </x:c>
      <x:c r="N119" s="99"/>
      <x:c r="O119" s="99"/>
      <x:c r="P119" s="99"/>
      <x:c r="Q119" s="99"/>
    </x:row>
    <x:row r="120" ht="33" customHeight="1">
      <x:c r="A120" s="34" t="n">
        <x:v>46228</x:v>
      </x:c>
      <x:c r="B120" s="98" t="n">
        <x:v>12</x:v>
      </x:c>
      <x:c r="C120" s="98" t="n">
        <x:v>114</x:v>
      </x:c>
      <x:c r="D120" s="98" t="n">
        <x:v>108</x:v>
      </x:c>
      <x:c r="E120" s="99" t="str">
        <x:v>Circuits</x:v>
      </x:c>
      <x:c r="F120" s="99" t="str">
        <x:v>Sequential Logic → Shift Registers</x:v>
      </x:c>
      <x:c r="G120" s="99" t="str">
        <x:v>Shift register</x:v>
      </x:c>
      <x:c r="H120" s="99" t="str">
        <x:v>exams/2014_q4b</x:v>
      </x:c>
      <x:c r="I120" s="99" t="str">
        <x:v>Solve from blank; check notes only after the attempt.</x:v>
      </x:c>
      <x:c r="J120" s="98" t="str">
        <x:v>Not Started</x:v>
      </x:c>
      <x:c r="K120" s="98"/>
      <x:c r="L120" s="98"/>
      <x:c r="M120" s="98" t="str">
        <x:v>None</x:v>
      </x:c>
      <x:c r="N120" s="99"/>
      <x:c r="O120" s="99"/>
      <x:c r="P120" s="99"/>
      <x:c r="Q120" s="99"/>
    </x:row>
    <x:row r="121" ht="33" customHeight="1">
      <x:c r="A121" s="34" t="n">
        <x:v>46228</x:v>
      </x:c>
      <x:c r="B121" s="98" t="n">
        <x:v>12</x:v>
      </x:c>
      <x:c r="C121" s="98" t="n">
        <x:v>115</x:v>
      </x:c>
      <x:c r="D121" s="98" t="n">
        <x:v>109</x:v>
      </x:c>
      <x:c r="E121" s="99" t="str">
        <x:v>Circuits</x:v>
      </x:c>
      <x:c r="F121" s="99" t="str">
        <x:v>Sequential Logic → Shift Registers</x:v>
      </x:c>
      <x:c r="G121" s="99" t="str">
        <x:v>3-input LUT</x:v>
      </x:c>
      <x:c r="H121" s="99" t="str">
        <x:v>exams/ece241_2013_q12</x:v>
      </x:c>
      <x:c r="I121" s="99" t="str">
        <x:v>Solve from blank; check notes only after the attempt.</x:v>
      </x:c>
      <x:c r="J121" s="98" t="str">
        <x:v>Not Started</x:v>
      </x:c>
      <x:c r="K121" s="98"/>
      <x:c r="L121" s="98"/>
      <x:c r="M121" s="98" t="str">
        <x:v>None</x:v>
      </x:c>
      <x:c r="N121" s="99"/>
      <x:c r="O121" s="99"/>
      <x:c r="P121" s="99"/>
      <x:c r="Q121" s="99"/>
    </x:row>
    <x:row r="122" ht="33" customHeight="1">
      <x:c r="A122" s="34" t="n">
        <x:v>46228</x:v>
      </x:c>
      <x:c r="B122" s="98" t="n">
        <x:v>12</x:v>
      </x:c>
      <x:c r="C122" s="98" t="n">
        <x:v>116</x:v>
      </x:c>
      <x:c r="D122" s="98" t="n">
        <x:v>175</x:v>
      </x:c>
      <x:c r="E122" s="99" t="str">
        <x:v>Circuits</x:v>
      </x:c>
      <x:c r="F122" s="99" t="str">
        <x:v>Sequential Logic → More Circuits</x:v>
      </x:c>
      <x:c r="G122" s="99" t="str">
        <x:v>Rule 90</x:v>
      </x:c>
      <x:c r="H122" s="99" t="str">
        <x:v>rule90</x:v>
      </x:c>
      <x:c r="I122" s="99" t="str">
        <x:v>Solve from blank; check notes only after the attempt.</x:v>
      </x:c>
      <x:c r="J122" s="98" t="str">
        <x:v>Not Started</x:v>
      </x:c>
      <x:c r="K122" s="98"/>
      <x:c r="L122" s="98"/>
      <x:c r="M122" s="98" t="str">
        <x:v>None</x:v>
      </x:c>
      <x:c r="N122" s="99"/>
      <x:c r="O122" s="99"/>
      <x:c r="P122" s="99"/>
      <x:c r="Q122" s="99"/>
    </x:row>
    <x:row r="123" ht="33" customHeight="1">
      <x:c r="A123" s="34" t="n">
        <x:v>46228</x:v>
      </x:c>
      <x:c r="B123" s="98" t="n">
        <x:v>12</x:v>
      </x:c>
      <x:c r="C123" s="98" t="n">
        <x:v>117</x:v>
      </x:c>
      <x:c r="D123" s="98" t="n">
        <x:v>176</x:v>
      </x:c>
      <x:c r="E123" s="99" t="str">
        <x:v>Circuits</x:v>
      </x:c>
      <x:c r="F123" s="99" t="str">
        <x:v>Sequential Logic → More Circuits</x:v>
      </x:c>
      <x:c r="G123" s="99" t="str">
        <x:v>Rule 110</x:v>
      </x:c>
      <x:c r="H123" s="99" t="str">
        <x:v>rule110</x:v>
      </x:c>
      <x:c r="I123" s="99" t="str">
        <x:v>Solve from blank; check notes only after the attempt.</x:v>
      </x:c>
      <x:c r="J123" s="98" t="str">
        <x:v>Not Started</x:v>
      </x:c>
      <x:c r="K123" s="98"/>
      <x:c r="L123" s="98"/>
      <x:c r="M123" s="98" t="str">
        <x:v>None</x:v>
      </x:c>
      <x:c r="N123" s="99"/>
      <x:c r="O123" s="99"/>
      <x:c r="P123" s="99"/>
      <x:c r="Q123" s="99"/>
    </x:row>
    <x:row r="124" ht="33" customHeight="1">
      <x:c r="A124" s="34" t="n">
        <x:v>46228</x:v>
      </x:c>
      <x:c r="B124" s="98" t="n">
        <x:v>12</x:v>
      </x:c>
      <x:c r="C124" s="98" t="n">
        <x:v>118</x:v>
      </x:c>
      <x:c r="D124" s="98" t="n">
        <x:v>179</x:v>
      </x:c>
      <x:c r="E124" s="99" t="str">
        <x:v>Circuits</x:v>
      </x:c>
      <x:c r="F124" s="99" t="str">
        <x:v>Sequential Logic → More Circuits</x:v>
      </x:c>
      <x:c r="G124" s="99" t="str">
        <x:v>Conway's Game of Life 16x16</x:v>
      </x:c>
      <x:c r="H124" s="99" t="str">
        <x:v>conwaylife</x:v>
      </x:c>
      <x:c r="I124" s="99" t="str">
        <x:v>Solve from blank; check notes only after the attempt.</x:v>
      </x:c>
      <x:c r="J124" s="98" t="str">
        <x:v>Not Started</x:v>
      </x:c>
      <x:c r="K124" s="98"/>
      <x:c r="L124" s="98"/>
      <x:c r="M124" s="98" t="str">
        <x:v>None</x:v>
      </x:c>
      <x:c r="N124" s="99"/>
      <x:c r="O124" s="99"/>
      <x:c r="P124" s="99"/>
      <x:c r="Q124" s="99"/>
    </x:row>
    <x:row r="125" ht="33" customHeight="1">
      <x:c r="A125" s="34" t="n">
        <x:v>46228</x:v>
      </x:c>
      <x:c r="B125" s="98" t="n">
        <x:v>12</x:v>
      </x:c>
      <x:c r="C125" s="98" t="n">
        <x:v>119</x:v>
      </x:c>
      <x:c r="D125" s="98" t="n">
        <x:v>110</x:v>
      </x:c>
      <x:c r="E125" s="99" t="str">
        <x:v>Circuits</x:v>
      </x:c>
      <x:c r="F125" s="99" t="str">
        <x:v>Sequential Logic → Finite State Machines</x:v>
      </x:c>
      <x:c r="G125" s="99" t="str">
        <x:v>Simple FSM 1 (asynchronous reset)</x:v>
      </x:c>
      <x:c r="H125" s="99" t="str">
        <x:v>fsm1</x:v>
      </x:c>
      <x:c r="I125" s="99" t="str">
        <x:v>Solve from blank; check notes only after the attempt.</x:v>
      </x:c>
      <x:c r="J125" s="98" t="str">
        <x:v>Not Started</x:v>
      </x:c>
      <x:c r="K125" s="98"/>
      <x:c r="L125" s="98"/>
      <x:c r="M125" s="98" t="str">
        <x:v>None</x:v>
      </x:c>
      <x:c r="N125" s="99"/>
      <x:c r="O125" s="99"/>
      <x:c r="P125" s="99"/>
      <x:c r="Q125" s="99"/>
    </x:row>
    <x:row r="126" ht="33" customHeight="1">
      <x:c r="A126" s="34" t="n">
        <x:v>46228</x:v>
      </x:c>
      <x:c r="B126" s="98" t="n">
        <x:v>12</x:v>
      </x:c>
      <x:c r="C126" s="98" t="n">
        <x:v>120</x:v>
      </x:c>
      <x:c r="D126" s="98" t="n">
        <x:v>111</x:v>
      </x:c>
      <x:c r="E126" s="99" t="str">
        <x:v>Circuits</x:v>
      </x:c>
      <x:c r="F126" s="99" t="str">
        <x:v>Sequential Logic → Finite State Machines</x:v>
      </x:c>
      <x:c r="G126" s="99" t="str">
        <x:v>Simple FSM 1 (synchronous reset)</x:v>
      </x:c>
      <x:c r="H126" s="99" t="str">
        <x:v>fsm1s</x:v>
      </x:c>
      <x:c r="I126" s="99" t="str">
        <x:v>Solve from blank; check notes only after the attempt.</x:v>
      </x:c>
      <x:c r="J126" s="98" t="str">
        <x:v>Not Started</x:v>
      </x:c>
      <x:c r="K126" s="98"/>
      <x:c r="L126" s="98"/>
      <x:c r="M126" s="98" t="str">
        <x:v>None</x:v>
      </x:c>
      <x:c r="N126" s="99"/>
      <x:c r="O126" s="99"/>
      <x:c r="P126" s="99"/>
      <x:c r="Q126" s="99"/>
    </x:row>
    <x:row r="127" ht="33" customHeight="1">
      <x:c r="A127" s="34" t="n">
        <x:v>46229</x:v>
      </x:c>
      <x:c r="B127" s="98" t="n">
        <x:v>13</x:v>
      </x:c>
      <x:c r="C127" s="98" t="n">
        <x:v>121</x:v>
      </x:c>
      <x:c r="D127" s="98" t="n">
        <x:v>112</x:v>
      </x:c>
      <x:c r="E127" s="99" t="str">
        <x:v>Circuits</x:v>
      </x:c>
      <x:c r="F127" s="99" t="str">
        <x:v>Sequential Logic → Finite State Machines</x:v>
      </x:c>
      <x:c r="G127" s="99" t="str">
        <x:v>Simple FSM 2 (asynchronous reset)</x:v>
      </x:c>
      <x:c r="H127" s="99" t="str">
        <x:v>fsm2</x:v>
      </x:c>
      <x:c r="I127" s="99" t="str">
        <x:v>Solve from blank; check notes only after the attempt.</x:v>
      </x:c>
      <x:c r="J127" s="98" t="str">
        <x:v>Not Started</x:v>
      </x:c>
      <x:c r="K127" s="98"/>
      <x:c r="L127" s="98"/>
      <x:c r="M127" s="98" t="str">
        <x:v>None</x:v>
      </x:c>
      <x:c r="N127" s="99"/>
      <x:c r="O127" s="99"/>
      <x:c r="P127" s="99"/>
      <x:c r="Q127" s="99"/>
    </x:row>
    <x:row r="128" ht="33" customHeight="1">
      <x:c r="A128" s="34" t="n">
        <x:v>46229</x:v>
      </x:c>
      <x:c r="B128" s="98" t="n">
        <x:v>13</x:v>
      </x:c>
      <x:c r="C128" s="98" t="n">
        <x:v>122</x:v>
      </x:c>
      <x:c r="D128" s="98" t="n">
        <x:v>113</x:v>
      </x:c>
      <x:c r="E128" s="99" t="str">
        <x:v>Circuits</x:v>
      </x:c>
      <x:c r="F128" s="99" t="str">
        <x:v>Sequential Logic → Finite State Machines</x:v>
      </x:c>
      <x:c r="G128" s="99" t="str">
        <x:v>Simple FSM 2 (synchronous reset)</x:v>
      </x:c>
      <x:c r="H128" s="99" t="str">
        <x:v>fsm2s</x:v>
      </x:c>
      <x:c r="I128" s="99" t="str">
        <x:v>Solve from blank; check notes only after the attempt.</x:v>
      </x:c>
      <x:c r="J128" s="98" t="str">
        <x:v>Not Started</x:v>
      </x:c>
      <x:c r="K128" s="98"/>
      <x:c r="L128" s="98"/>
      <x:c r="M128" s="98" t="str">
        <x:v>None</x:v>
      </x:c>
      <x:c r="N128" s="99"/>
      <x:c r="O128" s="99"/>
      <x:c r="P128" s="99"/>
      <x:c r="Q128" s="99"/>
    </x:row>
    <x:row r="129" ht="33" customHeight="1">
      <x:c r="A129" s="34" t="n">
        <x:v>46229</x:v>
      </x:c>
      <x:c r="B129" s="98" t="n">
        <x:v>13</x:v>
      </x:c>
      <x:c r="C129" s="98" t="n">
        <x:v>123</x:v>
      </x:c>
      <x:c r="D129" s="98" t="n">
        <x:v>114</x:v>
      </x:c>
      <x:c r="E129" s="99" t="str">
        <x:v>Circuits</x:v>
      </x:c>
      <x:c r="F129" s="99" t="str">
        <x:v>Sequential Logic → Finite State Machines</x:v>
      </x:c>
      <x:c r="G129" s="99" t="str">
        <x:v>Simple state transitions 3</x:v>
      </x:c>
      <x:c r="H129" s="99" t="str">
        <x:v>fsm3comb</x:v>
      </x:c>
      <x:c r="I129" s="99" t="str">
        <x:v>Solve from blank; check notes only after the attempt.</x:v>
      </x:c>
      <x:c r="J129" s="98" t="str">
        <x:v>Not Started</x:v>
      </x:c>
      <x:c r="K129" s="98"/>
      <x:c r="L129" s="98"/>
      <x:c r="M129" s="98" t="str">
        <x:v>None</x:v>
      </x:c>
      <x:c r="N129" s="99"/>
      <x:c r="O129" s="99"/>
      <x:c r="P129" s="99"/>
      <x:c r="Q129" s="99"/>
    </x:row>
    <x:row r="130" ht="33" customHeight="1">
      <x:c r="A130" s="34" t="n">
        <x:v>46229</x:v>
      </x:c>
      <x:c r="B130" s="98" t="n">
        <x:v>13</x:v>
      </x:c>
      <x:c r="C130" s="98" t="n">
        <x:v>124</x:v>
      </x:c>
      <x:c r="D130" s="98" t="n">
        <x:v>115</x:v>
      </x:c>
      <x:c r="E130" s="99" t="str">
        <x:v>Circuits</x:v>
      </x:c>
      <x:c r="F130" s="99" t="str">
        <x:v>Sequential Logic → Finite State Machines</x:v>
      </x:c>
      <x:c r="G130" s="99" t="str">
        <x:v>Simple one-hot state transitions 3</x:v>
      </x:c>
      <x:c r="H130" s="99" t="str">
        <x:v>fsm3onehot</x:v>
      </x:c>
      <x:c r="I130" s="99" t="str">
        <x:v>Solve from blank; check notes only after the attempt.</x:v>
      </x:c>
      <x:c r="J130" s="98" t="str">
        <x:v>Not Started</x:v>
      </x:c>
      <x:c r="K130" s="98"/>
      <x:c r="L130" s="98"/>
      <x:c r="M130" s="98" t="str">
        <x:v>None</x:v>
      </x:c>
      <x:c r="N130" s="99"/>
      <x:c r="O130" s="99"/>
      <x:c r="P130" s="99"/>
      <x:c r="Q130" s="99"/>
    </x:row>
    <x:row r="131" ht="33" customHeight="1">
      <x:c r="A131" s="34" t="n">
        <x:v>46229</x:v>
      </x:c>
      <x:c r="B131" s="98" t="n">
        <x:v>13</x:v>
      </x:c>
      <x:c r="C131" s="98" t="n">
        <x:v>125</x:v>
      </x:c>
      <x:c r="D131" s="98" t="n">
        <x:v>116</x:v>
      </x:c>
      <x:c r="E131" s="99" t="str">
        <x:v>Circuits</x:v>
      </x:c>
      <x:c r="F131" s="99" t="str">
        <x:v>Sequential Logic → Finite State Machines</x:v>
      </x:c>
      <x:c r="G131" s="99" t="str">
        <x:v>Simple FSM 3 (asynchronous reset)</x:v>
      </x:c>
      <x:c r="H131" s="99" t="str">
        <x:v>fsm3</x:v>
      </x:c>
      <x:c r="I131" s="99" t="str">
        <x:v>Solve from blank; check notes only after the attempt.</x:v>
      </x:c>
      <x:c r="J131" s="98" t="str">
        <x:v>Not Started</x:v>
      </x:c>
      <x:c r="K131" s="98"/>
      <x:c r="L131" s="98"/>
      <x:c r="M131" s="98" t="str">
        <x:v>None</x:v>
      </x:c>
      <x:c r="N131" s="99"/>
      <x:c r="O131" s="99"/>
      <x:c r="P131" s="99"/>
      <x:c r="Q131" s="99"/>
    </x:row>
    <x:row r="132" ht="33" customHeight="1">
      <x:c r="A132" s="34" t="n">
        <x:v>46229</x:v>
      </x:c>
      <x:c r="B132" s="98" t="n">
        <x:v>13</x:v>
      </x:c>
      <x:c r="C132" s="98" t="n">
        <x:v>126</x:v>
      </x:c>
      <x:c r="D132" s="98" t="n">
        <x:v>117</x:v>
      </x:c>
      <x:c r="E132" s="99" t="str">
        <x:v>Circuits</x:v>
      </x:c>
      <x:c r="F132" s="99" t="str">
        <x:v>Sequential Logic → Finite State Machines</x:v>
      </x:c>
      <x:c r="G132" s="99" t="str">
        <x:v>Simple FSM 3 (synchronous reset)</x:v>
      </x:c>
      <x:c r="H132" s="99" t="str">
        <x:v>fsm3s</x:v>
      </x:c>
      <x:c r="I132" s="99" t="str">
        <x:v>Solve from blank; check notes only after the attempt.</x:v>
      </x:c>
      <x:c r="J132" s="98" t="str">
        <x:v>Not Started</x:v>
      </x:c>
      <x:c r="K132" s="98"/>
      <x:c r="L132" s="98"/>
      <x:c r="M132" s="98" t="str">
        <x:v>None</x:v>
      </x:c>
      <x:c r="N132" s="99"/>
      <x:c r="O132" s="99"/>
      <x:c r="P132" s="99"/>
      <x:c r="Q132" s="99"/>
    </x:row>
    <x:row r="133" ht="33" customHeight="1">
      <x:c r="A133" s="34" t="n">
        <x:v>46229</x:v>
      </x:c>
      <x:c r="B133" s="98" t="n">
        <x:v>13</x:v>
      </x:c>
      <x:c r="C133" s="98" t="n">
        <x:v>127</x:v>
      </x:c>
      <x:c r="D133" s="98" t="n">
        <x:v>118</x:v>
      </x:c>
      <x:c r="E133" s="99" t="str">
        <x:v>Circuits</x:v>
      </x:c>
      <x:c r="F133" s="99" t="str">
        <x:v>Sequential Logic → Finite State Machines</x:v>
      </x:c>
      <x:c r="G133" s="99" t="str">
        <x:v>Design a Moore FSM</x:v>
      </x:c>
      <x:c r="H133" s="99" t="str">
        <x:v>exams/ece241_2013_q4</x:v>
      </x:c>
      <x:c r="I133" s="99" t="str">
        <x:v>Solve from blank; check notes only after the attempt.</x:v>
      </x:c>
      <x:c r="J133" s="98" t="str">
        <x:v>Not Started</x:v>
      </x:c>
      <x:c r="K133" s="98"/>
      <x:c r="L133" s="98"/>
      <x:c r="M133" s="98" t="str">
        <x:v>None</x:v>
      </x:c>
      <x:c r="N133" s="99"/>
      <x:c r="O133" s="99"/>
      <x:c r="P133" s="99"/>
      <x:c r="Q133" s="99"/>
    </x:row>
    <x:row r="134" ht="33" customHeight="1">
      <x:c r="A134" s="34" t="n">
        <x:v>46229</x:v>
      </x:c>
      <x:c r="B134" s="98" t="n">
        <x:v>13</x:v>
      </x:c>
      <x:c r="C134" s="98" t="n">
        <x:v>128</x:v>
      </x:c>
      <x:c r="D134" s="98" t="n">
        <x:v>119</x:v>
      </x:c>
      <x:c r="E134" s="99" t="str">
        <x:v>Circuits</x:v>
      </x:c>
      <x:c r="F134" s="99" t="str">
        <x:v>Sequential Logic → Finite State Machines</x:v>
      </x:c>
      <x:c r="G134" s="99" t="str">
        <x:v>Lemmings 1</x:v>
      </x:c>
      <x:c r="H134" s="99" t="str">
        <x:v>lemmings1</x:v>
      </x:c>
      <x:c r="I134" s="99" t="str">
        <x:v>Solve from blank; check notes only after the attempt.</x:v>
      </x:c>
      <x:c r="J134" s="98" t="str">
        <x:v>Not Started</x:v>
      </x:c>
      <x:c r="K134" s="98"/>
      <x:c r="L134" s="98"/>
      <x:c r="M134" s="98" t="str">
        <x:v>None</x:v>
      </x:c>
      <x:c r="N134" s="99"/>
      <x:c r="O134" s="99"/>
      <x:c r="P134" s="99"/>
      <x:c r="Q134" s="99"/>
    </x:row>
    <x:row r="135" ht="33" customHeight="1">
      <x:c r="A135" s="34" t="n">
        <x:v>46229</x:v>
      </x:c>
      <x:c r="B135" s="98" t="n">
        <x:v>13</x:v>
      </x:c>
      <x:c r="C135" s="98" t="n">
        <x:v>129</x:v>
      </x:c>
      <x:c r="D135" s="98" t="n">
        <x:v>159</x:v>
      </x:c>
      <x:c r="E135" s="99" t="str">
        <x:v>Circuits</x:v>
      </x:c>
      <x:c r="F135" s="99" t="str">
        <x:v>Sequential Logic → Finite State Machines</x:v>
      </x:c>
      <x:c r="G135" s="99" t="str">
        <x:v>Lemmings 2</x:v>
      </x:c>
      <x:c r="H135" s="99" t="str">
        <x:v>lemmings2</x:v>
      </x:c>
      <x:c r="I135" s="99" t="str">
        <x:v>Solve from blank; check notes only after the attempt.</x:v>
      </x:c>
      <x:c r="J135" s="98" t="str">
        <x:v>Not Started</x:v>
      </x:c>
      <x:c r="K135" s="98"/>
      <x:c r="L135" s="98"/>
      <x:c r="M135" s="98" t="str">
        <x:v>None</x:v>
      </x:c>
      <x:c r="N135" s="99"/>
      <x:c r="O135" s="99"/>
      <x:c r="P135" s="99"/>
      <x:c r="Q135" s="99"/>
    </x:row>
    <x:row r="136" ht="33" customHeight="1">
      <x:c r="A136" s="34" t="n">
        <x:v>46229</x:v>
      </x:c>
      <x:c r="B136" s="98" t="n">
        <x:v>13</x:v>
      </x:c>
      <x:c r="C136" s="98" t="n">
        <x:v>130</x:v>
      </x:c>
      <x:c r="D136" s="98" t="n">
        <x:v>160</x:v>
      </x:c>
      <x:c r="E136" s="99" t="str">
        <x:v>Circuits</x:v>
      </x:c>
      <x:c r="F136" s="99" t="str">
        <x:v>Sequential Logic → Finite State Machines</x:v>
      </x:c>
      <x:c r="G136" s="99" t="str">
        <x:v>Lemmings 3</x:v>
      </x:c>
      <x:c r="H136" s="99" t="str">
        <x:v>lemmings3</x:v>
      </x:c>
      <x:c r="I136" s="99" t="str">
        <x:v>Solve from blank; check notes only after the attempt.</x:v>
      </x:c>
      <x:c r="J136" s="98" t="str">
        <x:v>Not Started</x:v>
      </x:c>
      <x:c r="K136" s="98"/>
      <x:c r="L136" s="98"/>
      <x:c r="M136" s="98" t="str">
        <x:v>None</x:v>
      </x:c>
      <x:c r="N136" s="99"/>
      <x:c r="O136" s="99"/>
      <x:c r="P136" s="99"/>
      <x:c r="Q136" s="99"/>
    </x:row>
    <x:row r="137" ht="33" customHeight="1">
      <x:c r="A137" s="34" t="n">
        <x:v>46230</x:v>
      </x:c>
      <x:c r="B137" s="98" t="n">
        <x:v>14</x:v>
      </x:c>
      <x:c r="C137" s="98" t="n">
        <x:v>131</x:v>
      </x:c>
      <x:c r="D137" s="98" t="n">
        <x:v>161</x:v>
      </x:c>
      <x:c r="E137" s="99" t="str">
        <x:v>Circuits</x:v>
      </x:c>
      <x:c r="F137" s="99" t="str">
        <x:v>Sequential Logic → Finite State Machines</x:v>
      </x:c>
      <x:c r="G137" s="99" t="str">
        <x:v>Lemmings 4</x:v>
      </x:c>
      <x:c r="H137" s="99" t="str">
        <x:v>lemmings4</x:v>
      </x:c>
      <x:c r="I137" s="99" t="str">
        <x:v>Solve from blank; check notes only after the attempt.</x:v>
      </x:c>
      <x:c r="J137" s="98" t="str">
        <x:v>Not Started</x:v>
      </x:c>
      <x:c r="K137" s="98"/>
      <x:c r="L137" s="98"/>
      <x:c r="M137" s="98" t="str">
        <x:v>None</x:v>
      </x:c>
      <x:c r="N137" s="99"/>
      <x:c r="O137" s="99"/>
      <x:c r="P137" s="99"/>
      <x:c r="Q137" s="99"/>
    </x:row>
    <x:row r="138" ht="33" customHeight="1">
      <x:c r="A138" s="34" t="n">
        <x:v>46230</x:v>
      </x:c>
      <x:c r="B138" s="98" t="n">
        <x:v>14</x:v>
      </x:c>
      <x:c r="C138" s="98" t="n">
        <x:v>132</x:v>
      </x:c>
      <x:c r="D138" s="98" t="n">
        <x:v>162</x:v>
      </x:c>
      <x:c r="E138" s="99" t="str">
        <x:v>Circuits</x:v>
      </x:c>
      <x:c r="F138" s="99" t="str">
        <x:v>Sequential Logic → Finite State Machines</x:v>
      </x:c>
      <x:c r="G138" s="99" t="str">
        <x:v>One-hot FSM</x:v>
      </x:c>
      <x:c r="H138" s="99" t="str">
        <x:v>fsm_onehot</x:v>
      </x:c>
      <x:c r="I138" s="99" t="str">
        <x:v>Solve from blank; check notes only after the attempt.</x:v>
      </x:c>
      <x:c r="J138" s="98" t="str">
        <x:v>Not Started</x:v>
      </x:c>
      <x:c r="K138" s="98"/>
      <x:c r="L138" s="98"/>
      <x:c r="M138" s="98" t="str">
        <x:v>None</x:v>
      </x:c>
      <x:c r="N138" s="99"/>
      <x:c r="O138" s="99"/>
      <x:c r="P138" s="99"/>
      <x:c r="Q138" s="99"/>
    </x:row>
    <x:row r="139" ht="33" customHeight="1">
      <x:c r="A139" s="34" t="n">
        <x:v>46230</x:v>
      </x:c>
      <x:c r="B139" s="98" t="n">
        <x:v>14</x:v>
      </x:c>
      <x:c r="C139" s="98" t="n">
        <x:v>133</x:v>
      </x:c>
      <x:c r="D139" s="98" t="n">
        <x:v>166</x:v>
      </x:c>
      <x:c r="E139" s="99" t="str">
        <x:v>Circuits</x:v>
      </x:c>
      <x:c r="F139" s="99" t="str">
        <x:v>Sequential Logic → Finite State Machines</x:v>
      </x:c>
      <x:c r="G139" s="99" t="str">
        <x:v>PS/2 packet parser</x:v>
      </x:c>
      <x:c r="H139" s="99" t="str">
        <x:v>fsm_ps2</x:v>
      </x:c>
      <x:c r="I139" s="99" t="str">
        <x:v>Solve from blank; check notes only after the attempt.</x:v>
      </x:c>
      <x:c r="J139" s="98" t="str">
        <x:v>Not Started</x:v>
      </x:c>
      <x:c r="K139" s="98"/>
      <x:c r="L139" s="98"/>
      <x:c r="M139" s="98" t="str">
        <x:v>None</x:v>
      </x:c>
      <x:c r="N139" s="99"/>
      <x:c r="O139" s="99"/>
      <x:c r="P139" s="99"/>
      <x:c r="Q139" s="99"/>
    </x:row>
    <x:row r="140" ht="33" customHeight="1">
      <x:c r="A140" s="34" t="n">
        <x:v>46230</x:v>
      </x:c>
      <x:c r="B140" s="98" t="n">
        <x:v>14</x:v>
      </x:c>
      <x:c r="C140" s="98" t="n">
        <x:v>134</x:v>
      </x:c>
      <x:c r="D140" s="98" t="n">
        <x:v>167</x:v>
      </x:c>
      <x:c r="E140" s="99" t="str">
        <x:v>Circuits</x:v>
      </x:c>
      <x:c r="F140" s="99" t="str">
        <x:v>Sequential Logic → Finite State Machines</x:v>
      </x:c>
      <x:c r="G140" s="99" t="str">
        <x:v>PS/2 packet parser and datapath</x:v>
      </x:c>
      <x:c r="H140" s="99" t="str">
        <x:v>fsm_ps2data</x:v>
      </x:c>
      <x:c r="I140" s="99" t="str">
        <x:v>Solve from blank; check notes only after the attempt.</x:v>
      </x:c>
      <x:c r="J140" s="98" t="str">
        <x:v>Not Started</x:v>
      </x:c>
      <x:c r="K140" s="98"/>
      <x:c r="L140" s="98"/>
      <x:c r="M140" s="98" t="str">
        <x:v>None</x:v>
      </x:c>
      <x:c r="N140" s="99"/>
      <x:c r="O140" s="99"/>
      <x:c r="P140" s="99"/>
      <x:c r="Q140" s="99"/>
    </x:row>
    <x:row r="141" ht="33" customHeight="1">
      <x:c r="A141" s="34" t="n">
        <x:v>46230</x:v>
      </x:c>
      <x:c r="B141" s="98" t="n">
        <x:v>14</x:v>
      </x:c>
      <x:c r="C141" s="98" t="n">
        <x:v>135</x:v>
      </x:c>
      <x:c r="D141" s="98" t="n">
        <x:v>163</x:v>
      </x:c>
      <x:c r="E141" s="99" t="str">
        <x:v>Circuits</x:v>
      </x:c>
      <x:c r="F141" s="99" t="str">
        <x:v>Sequential Logic → Finite State Machines</x:v>
      </x:c>
      <x:c r="G141" s="99" t="str">
        <x:v>Serial receiver</x:v>
      </x:c>
      <x:c r="H141" s="99" t="str">
        <x:v>fsm_serial</x:v>
      </x:c>
      <x:c r="I141" s="99" t="str">
        <x:v>Solve from blank; check notes only after the attempt.</x:v>
      </x:c>
      <x:c r="J141" s="98" t="str">
        <x:v>Not Started</x:v>
      </x:c>
      <x:c r="K141" s="98"/>
      <x:c r="L141" s="98"/>
      <x:c r="M141" s="98" t="str">
        <x:v>None</x:v>
      </x:c>
      <x:c r="N141" s="99"/>
      <x:c r="O141" s="99"/>
      <x:c r="P141" s="99"/>
      <x:c r="Q141" s="99"/>
    </x:row>
    <x:row r="142" ht="33" customHeight="1">
      <x:c r="A142" s="34" t="n">
        <x:v>46230</x:v>
      </x:c>
      <x:c r="B142" s="98" t="n">
        <x:v>14</x:v>
      </x:c>
      <x:c r="C142" s="98" t="n">
        <x:v>136</x:v>
      </x:c>
      <x:c r="D142" s="98" t="n">
        <x:v>164</x:v>
      </x:c>
      <x:c r="E142" s="99" t="str">
        <x:v>Circuits</x:v>
      </x:c>
      <x:c r="F142" s="99" t="str">
        <x:v>Sequential Logic → Finite State Machines</x:v>
      </x:c>
      <x:c r="G142" s="99" t="str">
        <x:v>Serial receiver and datapath</x:v>
      </x:c>
      <x:c r="H142" s="99" t="str">
        <x:v>fsm_serialdata</x:v>
      </x:c>
      <x:c r="I142" s="99" t="str">
        <x:v>Solve from blank; check notes only after the attempt.</x:v>
      </x:c>
      <x:c r="J142" s="98" t="str">
        <x:v>Not Started</x:v>
      </x:c>
      <x:c r="K142" s="98"/>
      <x:c r="L142" s="98"/>
      <x:c r="M142" s="98" t="str">
        <x:v>None</x:v>
      </x:c>
      <x:c r="N142" s="99"/>
      <x:c r="O142" s="99"/>
      <x:c r="P142" s="99"/>
      <x:c r="Q142" s="99"/>
    </x:row>
    <x:row r="143" ht="33" customHeight="1">
      <x:c r="A143" s="34" t="n">
        <x:v>46230</x:v>
      </x:c>
      <x:c r="B143" s="98" t="n">
        <x:v>14</x:v>
      </x:c>
      <x:c r="C143" s="98" t="n">
        <x:v>137</x:v>
      </x:c>
      <x:c r="D143" s="98" t="n">
        <x:v>165</x:v>
      </x:c>
      <x:c r="E143" s="99" t="str">
        <x:v>Circuits</x:v>
      </x:c>
      <x:c r="F143" s="99" t="str">
        <x:v>Sequential Logic → Finite State Machines</x:v>
      </x:c>
      <x:c r="G143" s="99" t="str">
        <x:v>Serial receiver with parity checking</x:v>
      </x:c>
      <x:c r="H143" s="99" t="str">
        <x:v>fsm_serialdp</x:v>
      </x:c>
      <x:c r="I143" s="99" t="str">
        <x:v>Solve from blank; check notes only after the attempt.</x:v>
      </x:c>
      <x:c r="J143" s="98" t="str">
        <x:v>Not Started</x:v>
      </x:c>
      <x:c r="K143" s="98"/>
      <x:c r="L143" s="98"/>
      <x:c r="M143" s="98" t="str">
        <x:v>None</x:v>
      </x:c>
      <x:c r="N143" s="99"/>
      <x:c r="O143" s="99"/>
      <x:c r="P143" s="99"/>
      <x:c r="Q143" s="99"/>
    </x:row>
    <x:row r="144" ht="33" customHeight="1">
      <x:c r="A144" s="34" t="n">
        <x:v>46230</x:v>
      </x:c>
      <x:c r="B144" s="98" t="n">
        <x:v>14</x:v>
      </x:c>
      <x:c r="C144" s="98" t="n">
        <x:v>138</x:v>
      </x:c>
      <x:c r="D144" s="98" t="n">
        <x:v>168</x:v>
      </x:c>
      <x:c r="E144" s="99" t="str">
        <x:v>Circuits</x:v>
      </x:c>
      <x:c r="F144" s="99" t="str">
        <x:v>Sequential Logic → Finite State Machines</x:v>
      </x:c>
      <x:c r="G144" s="99" t="str">
        <x:v>Sequence recognition</x:v>
      </x:c>
      <x:c r="H144" s="99" t="str">
        <x:v>fsm_hdlc</x:v>
      </x:c>
      <x:c r="I144" s="99" t="str">
        <x:v>Solve from blank; check notes only after the attempt.</x:v>
      </x:c>
      <x:c r="J144" s="98" t="str">
        <x:v>Not Started</x:v>
      </x:c>
      <x:c r="K144" s="98"/>
      <x:c r="L144" s="98"/>
      <x:c r="M144" s="98" t="str">
        <x:v>None</x:v>
      </x:c>
      <x:c r="N144" s="99"/>
      <x:c r="O144" s="99"/>
      <x:c r="P144" s="99"/>
      <x:c r="Q144" s="99"/>
    </x:row>
    <x:row r="145" ht="33" customHeight="1">
      <x:c r="A145" s="34" t="n">
        <x:v>46230</x:v>
      </x:c>
      <x:c r="B145" s="98" t="n">
        <x:v>14</x:v>
      </x:c>
      <x:c r="C145" s="98" t="n">
        <x:v>139</x:v>
      </x:c>
      <x:c r="D145" s="98" t="n">
        <x:v>142</x:v>
      </x:c>
      <x:c r="E145" s="99" t="str">
        <x:v>Circuits</x:v>
      </x:c>
      <x:c r="F145" s="99" t="str">
        <x:v>Sequential Logic → Finite State Machines</x:v>
      </x:c>
      <x:c r="G145" s="99" t="str">
        <x:v>Q8: Design a Mealy FSM</x:v>
      </x:c>
      <x:c r="H145" s="99" t="str">
        <x:v>exams/ece241_2013_q8</x:v>
      </x:c>
      <x:c r="I145" s="99" t="str">
        <x:v>Solve from blank; check notes only after the attempt.</x:v>
      </x:c>
      <x:c r="J145" s="98" t="str">
        <x:v>Not Started</x:v>
      </x:c>
      <x:c r="K145" s="98"/>
      <x:c r="L145" s="98"/>
      <x:c r="M145" s="98" t="str">
        <x:v>None</x:v>
      </x:c>
      <x:c r="N145" s="99"/>
      <x:c r="O145" s="99"/>
      <x:c r="P145" s="99"/>
      <x:c r="Q145" s="99"/>
    </x:row>
    <x:row r="146" ht="33" customHeight="1">
      <x:c r="A146" s="34" t="n">
        <x:v>46230</x:v>
      </x:c>
      <x:c r="B146" s="98" t="n">
        <x:v>14</x:v>
      </x:c>
      <x:c r="C146" s="98" t="n">
        <x:v>140</x:v>
      </x:c>
      <x:c r="D146" s="98" t="n">
        <x:v>169</x:v>
      </x:c>
      <x:c r="E146" s="99" t="str">
        <x:v>Circuits</x:v>
      </x:c>
      <x:c r="F146" s="99" t="str">
        <x:v>Sequential Logic → Finite State Machines</x:v>
      </x:c>
      <x:c r="G146" s="99" t="str">
        <x:v>Q5a: Serial two's complementer (Moore FSM)</x:v>
      </x:c>
      <x:c r="H146" s="99" t="str">
        <x:v>exams/ece241_2014_q5a</x:v>
      </x:c>
      <x:c r="I146" s="99" t="str">
        <x:v>Solve from blank; check notes only after the attempt.</x:v>
      </x:c>
      <x:c r="J146" s="98" t="str">
        <x:v>Not Started</x:v>
      </x:c>
      <x:c r="K146" s="98"/>
      <x:c r="L146" s="98"/>
      <x:c r="M146" s="98" t="str">
        <x:v>None</x:v>
      </x:c>
      <x:c r="N146" s="99"/>
      <x:c r="O146" s="99"/>
      <x:c r="P146" s="99"/>
      <x:c r="Q146" s="99"/>
    </x:row>
    <x:row r="147" ht="33" customHeight="1">
      <x:c r="A147" s="34" t="n">
        <x:v>46231</x:v>
      </x:c>
      <x:c r="B147" s="98" t="n">
        <x:v>15</x:v>
      </x:c>
      <x:c r="C147" s="98" t="n">
        <x:v>141</x:v>
      </x:c>
      <x:c r="D147" s="98" t="n">
        <x:v>170</x:v>
      </x:c>
      <x:c r="E147" s="99" t="str">
        <x:v>Circuits</x:v>
      </x:c>
      <x:c r="F147" s="99" t="str">
        <x:v>Sequential Logic → Finite State Machines</x:v>
      </x:c>
      <x:c r="G147" s="99" t="str">
        <x:v>Q5b: Serial two's complementer (Mealy FSM)</x:v>
      </x:c>
      <x:c r="H147" s="99" t="str">
        <x:v>exams/ece241_2014_q5b</x:v>
      </x:c>
      <x:c r="I147" s="99" t="str">
        <x:v>Solve from blank; check notes only after the attempt.</x:v>
      </x:c>
      <x:c r="J147" s="98" t="str">
        <x:v>Not Started</x:v>
      </x:c>
      <x:c r="K147" s="98"/>
      <x:c r="L147" s="98"/>
      <x:c r="M147" s="98" t="str">
        <x:v>None</x:v>
      </x:c>
      <x:c r="N147" s="99"/>
      <x:c r="O147" s="99"/>
      <x:c r="P147" s="99"/>
      <x:c r="Q147" s="99"/>
    </x:row>
    <x:row r="148" ht="33" customHeight="1">
      <x:c r="A148" s="34" t="n">
        <x:v>46231</x:v>
      </x:c>
      <x:c r="B148" s="98" t="n">
        <x:v>15</x:v>
      </x:c>
      <x:c r="C148" s="98" t="n">
        <x:v>142</x:v>
      </x:c>
      <x:c r="D148" s="98" t="n">
        <x:v>155</x:v>
      </x:c>
      <x:c r="E148" s="99" t="str">
        <x:v>Circuits</x:v>
      </x:c>
      <x:c r="F148" s="99" t="str">
        <x:v>Sequential Logic → Finite State Machines</x:v>
      </x:c>
      <x:c r="G148" s="99" t="str">
        <x:v>Q3a: FSM</x:v>
      </x:c>
      <x:c r="H148" s="99" t="str">
        <x:v>exams/2014_q3fsm</x:v>
      </x:c>
      <x:c r="I148" s="99" t="str">
        <x:v>Solve from blank; check notes only after the attempt.</x:v>
      </x:c>
      <x:c r="J148" s="98" t="str">
        <x:v>Not Started</x:v>
      </x:c>
      <x:c r="K148" s="98"/>
      <x:c r="L148" s="98"/>
      <x:c r="M148" s="98" t="str">
        <x:v>None</x:v>
      </x:c>
      <x:c r="N148" s="99"/>
      <x:c r="O148" s="99"/>
      <x:c r="P148" s="99"/>
      <x:c r="Q148" s="99"/>
    </x:row>
    <x:row r="149" ht="33" customHeight="1">
      <x:c r="A149" s="34" t="n">
        <x:v>46231</x:v>
      </x:c>
      <x:c r="B149" s="98" t="n">
        <x:v>15</x:v>
      </x:c>
      <x:c r="C149" s="98" t="n">
        <x:v>143</x:v>
      </x:c>
      <x:c r="D149" s="98" t="n">
        <x:v>156</x:v>
      </x:c>
      <x:c r="E149" s="99" t="str">
        <x:v>Circuits</x:v>
      </x:c>
      <x:c r="F149" s="99" t="str">
        <x:v>Sequential Logic → Finite State Machines</x:v>
      </x:c>
      <x:c r="G149" s="99" t="str">
        <x:v>Q3b: FSM</x:v>
      </x:c>
      <x:c r="H149" s="99" t="str">
        <x:v>exams/2014_q3bfsm</x:v>
      </x:c>
      <x:c r="I149" s="99" t="str">
        <x:v>Solve from blank; check notes only after the attempt.</x:v>
      </x:c>
      <x:c r="J149" s="98" t="str">
        <x:v>Not Started</x:v>
      </x:c>
      <x:c r="K149" s="98"/>
      <x:c r="L149" s="98"/>
      <x:c r="M149" s="98" t="str">
        <x:v>None</x:v>
      </x:c>
      <x:c r="N149" s="99"/>
      <x:c r="O149" s="99"/>
      <x:c r="P149" s="99"/>
      <x:c r="Q149" s="99"/>
    </x:row>
    <x:row r="150" ht="33" customHeight="1">
      <x:c r="A150" s="34" t="n">
        <x:v>46231</x:v>
      </x:c>
      <x:c r="B150" s="98" t="n">
        <x:v>15</x:v>
      </x:c>
      <x:c r="C150" s="98" t="n">
        <x:v>144</x:v>
      </x:c>
      <x:c r="D150" s="98" t="n">
        <x:v>157</x:v>
      </x:c>
      <x:c r="E150" s="99" t="str">
        <x:v>Circuits</x:v>
      </x:c>
      <x:c r="F150" s="99" t="str">
        <x:v>Sequential Logic → Finite State Machines</x:v>
      </x:c>
      <x:c r="G150" s="99" t="str">
        <x:v>Q3c: FSM logic</x:v>
      </x:c>
      <x:c r="H150" s="99" t="str">
        <x:v>exams/2014_q3c</x:v>
      </x:c>
      <x:c r="I150" s="99" t="str">
        <x:v>Solve from blank; check notes only after the attempt.</x:v>
      </x:c>
      <x:c r="J150" s="98" t="str">
        <x:v>Not Started</x:v>
      </x:c>
      <x:c r="K150" s="98"/>
      <x:c r="L150" s="98"/>
      <x:c r="M150" s="98" t="str">
        <x:v>None</x:v>
      </x:c>
      <x:c r="N150" s="99"/>
      <x:c r="O150" s="99"/>
      <x:c r="P150" s="99"/>
      <x:c r="Q150" s="99"/>
    </x:row>
    <x:row r="151" ht="33" customHeight="1">
      <x:c r="A151" s="34" t="n">
        <x:v>46231</x:v>
      </x:c>
      <x:c r="B151" s="98" t="n">
        <x:v>15</x:v>
      </x:c>
      <x:c r="C151" s="98" t="n">
        <x:v>145</x:v>
      </x:c>
      <x:c r="D151" s="98" t="n">
        <x:v>171</x:v>
      </x:c>
      <x:c r="E151" s="99" t="str">
        <x:v>Circuits</x:v>
      </x:c>
      <x:c r="F151" s="99" t="str">
        <x:v>Sequential Logic → Finite State Machines</x:v>
      </x:c>
      <x:c r="G151" s="99" t="str">
        <x:v>Q6b: FSM next-state logic</x:v>
      </x:c>
      <x:c r="H151" s="99" t="str">
        <x:v>exams/m2014_q6b</x:v>
      </x:c>
      <x:c r="I151" s="99" t="str">
        <x:v>Solve from blank; check notes only after the attempt.</x:v>
      </x:c>
      <x:c r="J151" s="98" t="str">
        <x:v>Not Started</x:v>
      </x:c>
      <x:c r="K151" s="98"/>
      <x:c r="L151" s="98"/>
      <x:c r="M151" s="98" t="str">
        <x:v>None</x:v>
      </x:c>
      <x:c r="N151" s="99"/>
      <x:c r="O151" s="99"/>
      <x:c r="P151" s="99"/>
      <x:c r="Q151" s="99"/>
    </x:row>
    <x:row r="152" ht="33" customHeight="1">
      <x:c r="A152" s="34" t="n">
        <x:v>46231</x:v>
      </x:c>
      <x:c r="B152" s="98" t="n">
        <x:v>15</x:v>
      </x:c>
      <x:c r="C152" s="98" t="n">
        <x:v>146</x:v>
      </x:c>
      <x:c r="D152" s="98" t="n">
        <x:v>158</x:v>
      </x:c>
      <x:c r="E152" s="99" t="str">
        <x:v>Circuits</x:v>
      </x:c>
      <x:c r="F152" s="99" t="str">
        <x:v>Sequential Logic → Finite State Machines</x:v>
      </x:c>
      <x:c r="G152" s="99" t="str">
        <x:v>Q6c: FSM one-hot next-state logic</x:v>
      </x:c>
      <x:c r="H152" s="99" t="str">
        <x:v>exams/m2014_q6c</x:v>
      </x:c>
      <x:c r="I152" s="99" t="str">
        <x:v>Solve from blank; check notes only after the attempt.</x:v>
      </x:c>
      <x:c r="J152" s="98" t="str">
        <x:v>Not Started</x:v>
      </x:c>
      <x:c r="K152" s="98"/>
      <x:c r="L152" s="98"/>
      <x:c r="M152" s="98" t="str">
        <x:v>None</x:v>
      </x:c>
      <x:c r="N152" s="99"/>
      <x:c r="O152" s="99"/>
      <x:c r="P152" s="99"/>
      <x:c r="Q152" s="99"/>
    </x:row>
    <x:row r="153" ht="33" customHeight="1">
      <x:c r="A153" s="34" t="n">
        <x:v>46231</x:v>
      </x:c>
      <x:c r="B153" s="98" t="n">
        <x:v>15</x:v>
      </x:c>
      <x:c r="C153" s="98" t="n">
        <x:v>147</x:v>
      </x:c>
      <x:c r="D153" s="98" t="n">
        <x:v>172</x:v>
      </x:c>
      <x:c r="E153" s="99" t="str">
        <x:v>Circuits</x:v>
      </x:c>
      <x:c r="F153" s="99" t="str">
        <x:v>Sequential Logic → Finite State Machines</x:v>
      </x:c>
      <x:c r="G153" s="99" t="str">
        <x:v>Q6: FSM</x:v>
      </x:c>
      <x:c r="H153" s="99" t="str">
        <x:v>exams/m2014_q6</x:v>
      </x:c>
      <x:c r="I153" s="99" t="str">
        <x:v>Solve from blank; check notes only after the attempt.</x:v>
      </x:c>
      <x:c r="J153" s="98" t="str">
        <x:v>Not Started</x:v>
      </x:c>
      <x:c r="K153" s="98"/>
      <x:c r="L153" s="98"/>
      <x:c r="M153" s="98" t="str">
        <x:v>None</x:v>
      </x:c>
      <x:c r="N153" s="99"/>
      <x:c r="O153" s="99"/>
      <x:c r="P153" s="99"/>
      <x:c r="Q153" s="99"/>
    </x:row>
    <x:row r="154" ht="33" customHeight="1">
      <x:c r="A154" s="34" t="n">
        <x:v>46231</x:v>
      </x:c>
      <x:c r="B154" s="98" t="n">
        <x:v>15</x:v>
      </x:c>
      <x:c r="C154" s="98" t="n">
        <x:v>148</x:v>
      </x:c>
      <x:c r="D154" s="98" t="n">
        <x:v>173</x:v>
      </x:c>
      <x:c r="E154" s="99" t="str">
        <x:v>Circuits</x:v>
      </x:c>
      <x:c r="F154" s="99" t="str">
        <x:v>Sequential Logic → Finite State Machines</x:v>
      </x:c>
      <x:c r="G154" s="99" t="str">
        <x:v>Q2a: FSM</x:v>
      </x:c>
      <x:c r="H154" s="99" t="str">
        <x:v>exams/2012_q2fsm</x:v>
      </x:c>
      <x:c r="I154" s="99" t="str">
        <x:v>Solve from blank; check notes only after the attempt.</x:v>
      </x:c>
      <x:c r="J154" s="98" t="str">
        <x:v>Not Started</x:v>
      </x:c>
      <x:c r="K154" s="98"/>
      <x:c r="L154" s="98"/>
      <x:c r="M154" s="98" t="str">
        <x:v>None</x:v>
      </x:c>
      <x:c r="N154" s="99"/>
      <x:c r="O154" s="99"/>
      <x:c r="P154" s="99"/>
      <x:c r="Q154" s="99"/>
    </x:row>
    <x:row r="155" ht="33" customHeight="1">
      <x:c r="A155" s="34" t="n">
        <x:v>46231</x:v>
      </x:c>
      <x:c r="B155" s="98" t="n">
        <x:v>15</x:v>
      </x:c>
      <x:c r="C155" s="98" t="n">
        <x:v>149</x:v>
      </x:c>
      <x:c r="D155" s="98" t="n">
        <x:v>174</x:v>
      </x:c>
      <x:c r="E155" s="99" t="str">
        <x:v>Circuits</x:v>
      </x:c>
      <x:c r="F155" s="99" t="str">
        <x:v>Sequential Logic → Finite State Machines</x:v>
      </x:c>
      <x:c r="G155" s="99" t="str">
        <x:v>Q2b: One-hot FSM equations</x:v>
      </x:c>
      <x:c r="H155" s="99" t="str">
        <x:v>exams/2012_q2b</x:v>
      </x:c>
      <x:c r="I155" s="99" t="str">
        <x:v>Solve from blank; check notes only after the attempt.</x:v>
      </x:c>
      <x:c r="J155" s="98" t="str">
        <x:v>Not Started</x:v>
      </x:c>
      <x:c r="K155" s="98"/>
      <x:c r="L155" s="98"/>
      <x:c r="M155" s="98" t="str">
        <x:v>None</x:v>
      </x:c>
      <x:c r="N155" s="99"/>
      <x:c r="O155" s="99"/>
      <x:c r="P155" s="99"/>
      <x:c r="Q155" s="99"/>
    </x:row>
    <x:row r="156" ht="33" customHeight="1">
      <x:c r="A156" s="34" t="n">
        <x:v>46231</x:v>
      </x:c>
      <x:c r="B156" s="98" t="n">
        <x:v>15</x:v>
      </x:c>
      <x:c r="C156" s="98" t="n">
        <x:v>150</x:v>
      </x:c>
      <x:c r="D156" s="98" t="n">
        <x:v>177</x:v>
      </x:c>
      <x:c r="E156" s="99" t="str">
        <x:v>Circuits</x:v>
      </x:c>
      <x:c r="F156" s="99" t="str">
        <x:v>Sequential Logic → Finite State Machines</x:v>
      </x:c>
      <x:c r="G156" s="99" t="str">
        <x:v>Q2a: FSM</x:v>
      </x:c>
      <x:c r="H156" s="99" t="str">
        <x:v>exams/2013_q2afsm</x:v>
      </x:c>
      <x:c r="I156" s="99" t="str">
        <x:v>Solve from blank; check notes only after the attempt.</x:v>
      </x:c>
      <x:c r="J156" s="98" t="str">
        <x:v>Not Started</x:v>
      </x:c>
      <x:c r="K156" s="98"/>
      <x:c r="L156" s="98"/>
      <x:c r="M156" s="98" t="str">
        <x:v>None</x:v>
      </x:c>
      <x:c r="N156" s="99"/>
      <x:c r="O156" s="99"/>
      <x:c r="P156" s="99"/>
      <x:c r="Q156" s="99"/>
    </x:row>
    <x:row r="157" ht="33" customHeight="1">
      <x:c r="A157" s="34" t="n">
        <x:v>46232</x:v>
      </x:c>
      <x:c r="B157" s="98" t="n">
        <x:v>16</x:v>
      </x:c>
      <x:c r="C157" s="98" t="n">
        <x:v>151</x:v>
      </x:c>
      <x:c r="D157" s="98" t="n">
        <x:v>121</x:v>
      </x:c>
      <x:c r="E157" s="99" t="str">
        <x:v>Circuits</x:v>
      </x:c>
      <x:c r="F157" s="99" t="str">
        <x:v>Sequential Logic → Finite State Machines</x:v>
      </x:c>
      <x:c r="G157" s="99" t="str">
        <x:v>Q2b: Another FSM</x:v>
      </x:c>
      <x:c r="H157" s="99" t="str">
        <x:v>exams/2013_q2bfsm</x:v>
      </x:c>
      <x:c r="I157" s="99" t="str">
        <x:v>Solve from blank; check notes only after the attempt.</x:v>
      </x:c>
      <x:c r="J157" s="98" t="str">
        <x:v>Not Started</x:v>
      </x:c>
      <x:c r="K157" s="98"/>
      <x:c r="L157" s="98"/>
      <x:c r="M157" s="98" t="str">
        <x:v>None</x:v>
      </x:c>
      <x:c r="N157" s="99"/>
      <x:c r="O157" s="99"/>
      <x:c r="P157" s="99"/>
      <x:c r="Q157" s="99"/>
    </x:row>
    <x:row r="158" ht="33" customHeight="1">
      <x:c r="A158" s="34" t="n">
        <x:v>46232</x:v>
      </x:c>
      <x:c r="B158" s="98" t="n">
        <x:v>16</x:v>
      </x:c>
      <x:c r="C158" s="98" t="n">
        <x:v>152</x:v>
      </x:c>
      <x:c r="D158" s="98" t="n">
        <x:v>147</x:v>
      </x:c>
      <x:c r="E158" s="99" t="str">
        <x:v>Circuits</x:v>
      </x:c>
      <x:c r="F158" s="99" t="str">
        <x:v>Building Larger Circuits</x:v>
      </x:c>
      <x:c r="G158" s="99" t="str">
        <x:v>Counter with period 1000</x:v>
      </x:c>
      <x:c r="H158" s="99" t="str">
        <x:v>exams/review2015_count1k</x:v>
      </x:c>
      <x:c r="I158" s="99" t="str">
        <x:v>Solve from blank; check notes only after the attempt.</x:v>
      </x:c>
      <x:c r="J158" s="98" t="str">
        <x:v>Not Started</x:v>
      </x:c>
      <x:c r="K158" s="98"/>
      <x:c r="L158" s="98"/>
      <x:c r="M158" s="98" t="str">
        <x:v>None</x:v>
      </x:c>
      <x:c r="N158" s="99"/>
      <x:c r="O158" s="99"/>
      <x:c r="P158" s="99"/>
      <x:c r="Q158" s="99"/>
    </x:row>
    <x:row r="159" ht="33" customHeight="1">
      <x:c r="A159" s="34" t="n">
        <x:v>46232</x:v>
      </x:c>
      <x:c r="B159" s="98" t="n">
        <x:v>16</x:v>
      </x:c>
      <x:c r="C159" s="98" t="n">
        <x:v>153</x:v>
      </x:c>
      <x:c r="D159" s="98" t="n">
        <x:v>148</x:v>
      </x:c>
      <x:c r="E159" s="99" t="str">
        <x:v>Circuits</x:v>
      </x:c>
      <x:c r="F159" s="99" t="str">
        <x:v>Building Larger Circuits</x:v>
      </x:c>
      <x:c r="G159" s="99" t="str">
        <x:v>4-bit shift register and down counter</x:v>
      </x:c>
      <x:c r="H159" s="99" t="str">
        <x:v>exams/review2015_shiftcount</x:v>
      </x:c>
      <x:c r="I159" s="99" t="str">
        <x:v>Solve from blank; check notes only after the attempt.</x:v>
      </x:c>
      <x:c r="J159" s="98" t="str">
        <x:v>Not Started</x:v>
      </x:c>
      <x:c r="K159" s="98"/>
      <x:c r="L159" s="98"/>
      <x:c r="M159" s="98" t="str">
        <x:v>None</x:v>
      </x:c>
      <x:c r="N159" s="99"/>
      <x:c r="O159" s="99"/>
      <x:c r="P159" s="99"/>
      <x:c r="Q159" s="99"/>
    </x:row>
    <x:row r="160" ht="33" customHeight="1">
      <x:c r="A160" s="34" t="n">
        <x:v>46232</x:v>
      </x:c>
      <x:c r="B160" s="98" t="n">
        <x:v>16</x:v>
      </x:c>
      <x:c r="C160" s="98" t="n">
        <x:v>154</x:v>
      </x:c>
      <x:c r="D160" s="98" t="n">
        <x:v>149</x:v>
      </x:c>
      <x:c r="E160" s="99" t="str">
        <x:v>Circuits</x:v>
      </x:c>
      <x:c r="F160" s="99" t="str">
        <x:v>Building Larger Circuits</x:v>
      </x:c>
      <x:c r="G160" s="99" t="str">
        <x:v>FSM: Sequence 1101 recognizer</x:v>
      </x:c>
      <x:c r="H160" s="99" t="str">
        <x:v>exams/review2015_fsmseq</x:v>
      </x:c>
      <x:c r="I160" s="99" t="str">
        <x:v>Solve from blank; check notes only after the attempt.</x:v>
      </x:c>
      <x:c r="J160" s="98" t="str">
        <x:v>Not Started</x:v>
      </x:c>
      <x:c r="K160" s="98"/>
      <x:c r="L160" s="98"/>
      <x:c r="M160" s="98" t="str">
        <x:v>None</x:v>
      </x:c>
      <x:c r="N160" s="99"/>
      <x:c r="O160" s="99"/>
      <x:c r="P160" s="99"/>
      <x:c r="Q160" s="99"/>
    </x:row>
    <x:row r="161" ht="33" customHeight="1">
      <x:c r="A161" s="34" t="n">
        <x:v>46232</x:v>
      </x:c>
      <x:c r="B161" s="98" t="n">
        <x:v>16</x:v>
      </x:c>
      <x:c r="C161" s="98" t="n">
        <x:v>155</x:v>
      </x:c>
      <x:c r="D161" s="98" t="n">
        <x:v>150</x:v>
      </x:c>
      <x:c r="E161" s="99" t="str">
        <x:v>Circuits</x:v>
      </x:c>
      <x:c r="F161" s="99" t="str">
        <x:v>Building Larger Circuits</x:v>
      </x:c>
      <x:c r="G161" s="99" t="str">
        <x:v>FSM: Enable shift register</x:v>
      </x:c>
      <x:c r="H161" s="99" t="str">
        <x:v>exams/review2015_fsmshift</x:v>
      </x:c>
      <x:c r="I161" s="99" t="str">
        <x:v>Solve from blank; check notes only after the attempt.</x:v>
      </x:c>
      <x:c r="J161" s="98" t="str">
        <x:v>Not Started</x:v>
      </x:c>
      <x:c r="K161" s="98"/>
      <x:c r="L161" s="98"/>
      <x:c r="M161" s="98" t="str">
        <x:v>None</x:v>
      </x:c>
      <x:c r="N161" s="99"/>
      <x:c r="O161" s="99"/>
      <x:c r="P161" s="99"/>
      <x:c r="Q161" s="99"/>
    </x:row>
    <x:row r="162" ht="33" customHeight="1">
      <x:c r="A162" s="34" t="n">
        <x:v>46232</x:v>
      </x:c>
      <x:c r="B162" s="98" t="n">
        <x:v>16</x:v>
      </x:c>
      <x:c r="C162" s="98" t="n">
        <x:v>156</x:v>
      </x:c>
      <x:c r="D162" s="98" t="n">
        <x:v>153</x:v>
      </x:c>
      <x:c r="E162" s="99" t="str">
        <x:v>Circuits</x:v>
      </x:c>
      <x:c r="F162" s="99" t="str">
        <x:v>Building Larger Circuits</x:v>
      </x:c>
      <x:c r="G162" s="99" t="str">
        <x:v>FSM: The complete FSM</x:v>
      </x:c>
      <x:c r="H162" s="99" t="str">
        <x:v>exams/review2015_fsm</x:v>
      </x:c>
      <x:c r="I162" s="99" t="str">
        <x:v>Solve from blank; check notes only after the attempt.</x:v>
      </x:c>
      <x:c r="J162" s="98" t="str">
        <x:v>Not Started</x:v>
      </x:c>
      <x:c r="K162" s="98"/>
      <x:c r="L162" s="98"/>
      <x:c r="M162" s="98" t="str">
        <x:v>None</x:v>
      </x:c>
      <x:c r="N162" s="99"/>
      <x:c r="O162" s="99"/>
      <x:c r="P162" s="99"/>
      <x:c r="Q162" s="99"/>
    </x:row>
    <x:row r="163" ht="33" customHeight="1">
      <x:c r="A163" s="34" t="n">
        <x:v>46232</x:v>
      </x:c>
      <x:c r="B163" s="98" t="n">
        <x:v>16</x:v>
      </x:c>
      <x:c r="C163" s="98" t="n">
        <x:v>157</x:v>
      </x:c>
      <x:c r="D163" s="98" t="n">
        <x:v>154</x:v>
      </x:c>
      <x:c r="E163" s="99" t="str">
        <x:v>Circuits</x:v>
      </x:c>
      <x:c r="F163" s="99" t="str">
        <x:v>Building Larger Circuits</x:v>
      </x:c>
      <x:c r="G163" s="99" t="str">
        <x:v>The complete timer</x:v>
      </x:c>
      <x:c r="H163" s="99" t="str">
        <x:v>exams/review2015_fancytimer</x:v>
      </x:c>
      <x:c r="I163" s="99" t="str">
        <x:v>Solve from blank; check notes only after the attempt.</x:v>
      </x:c>
      <x:c r="J163" s="98" t="str">
        <x:v>Not Started</x:v>
      </x:c>
      <x:c r="K163" s="98"/>
      <x:c r="L163" s="98"/>
      <x:c r="M163" s="98" t="str">
        <x:v>None</x:v>
      </x:c>
      <x:c r="N163" s="99"/>
      <x:c r="O163" s="99"/>
      <x:c r="P163" s="99"/>
      <x:c r="Q163" s="99"/>
    </x:row>
    <x:row r="164" ht="33" customHeight="1">
      <x:c r="A164" s="34" t="n">
        <x:v>46232</x:v>
      </x:c>
      <x:c r="B164" s="98" t="n">
        <x:v>16</x:v>
      </x:c>
      <x:c r="C164" s="98" t="n">
        <x:v>158</x:v>
      </x:c>
      <x:c r="D164" s="98" t="n">
        <x:v>178</x:v>
      </x:c>
      <x:c r="E164" s="99" t="str">
        <x:v>Circuits</x:v>
      </x:c>
      <x:c r="F164" s="99" t="str">
        <x:v>Building Larger Circuits</x:v>
      </x:c>
      <x:c r="G164" s="99" t="str">
        <x:v>FSM: One-hot logic equations</x:v>
      </x:c>
      <x:c r="H164" s="99" t="str">
        <x:v>exams/review2015_fsmonehot</x:v>
      </x:c>
      <x:c r="I164" s="99" t="str">
        <x:v>Solve from blank; check notes only after the attempt.</x:v>
      </x:c>
      <x:c r="J164" s="98" t="str">
        <x:v>Not Started</x:v>
      </x:c>
      <x:c r="K164" s="98"/>
      <x:c r="L164" s="98"/>
      <x:c r="M164" s="98" t="str">
        <x:v>None</x:v>
      </x:c>
      <x:c r="N164" s="99"/>
      <x:c r="O164" s="99"/>
      <x:c r="P164" s="99"/>
      <x:c r="Q164" s="99"/>
    </x:row>
    <x:row r="165" ht="33" customHeight="1">
      <x:c r="A165" s="34" t="n">
        <x:v>46232</x:v>
      </x:c>
      <x:c r="B165" s="98" t="n">
        <x:v>16</x:v>
      </x:c>
      <x:c r="C165" s="98" t="n">
        <x:v>159</x:v>
      </x:c>
      <x:c r="D165" s="98" t="n">
        <x:v>122</x:v>
      </x:c>
      <x:c r="E165" s="99" t="str">
        <x:v>Verification: Reading Simulations</x:v>
      </x:c>
      <x:c r="F165" s="99" t="str">
        <x:v>Finding bugs in code</x:v>
      </x:c>
      <x:c r="G165" s="99" t="str">
        <x:v>Mux</x:v>
      </x:c>
      <x:c r="H165" s="99" t="str">
        <x:v>bugs_mux2</x:v>
      </x:c>
      <x:c r="I165" s="99" t="str">
        <x:v>Solve from blank; check notes only after the attempt.</x:v>
      </x:c>
      <x:c r="J165" s="98" t="str">
        <x:v>Not Started</x:v>
      </x:c>
      <x:c r="K165" s="98"/>
      <x:c r="L165" s="98"/>
      <x:c r="M165" s="98" t="str">
        <x:v>None</x:v>
      </x:c>
      <x:c r="N165" s="99"/>
      <x:c r="O165" s="99"/>
      <x:c r="P165" s="99"/>
      <x:c r="Q165" s="99"/>
    </x:row>
    <x:row r="166" ht="33" customHeight="1">
      <x:c r="A166" s="34" t="n">
        <x:v>46232</x:v>
      </x:c>
      <x:c r="B166" s="98" t="n">
        <x:v>16</x:v>
      </x:c>
      <x:c r="C166" s="98" t="n">
        <x:v>160</x:v>
      </x:c>
      <x:c r="D166" s="98" t="n">
        <x:v>123</x:v>
      </x:c>
      <x:c r="E166" s="99" t="str">
        <x:v>Verification: Reading Simulations</x:v>
      </x:c>
      <x:c r="F166" s="99" t="str">
        <x:v>Finding bugs in code</x:v>
      </x:c>
      <x:c r="G166" s="99" t="str">
        <x:v>NAND</x:v>
      </x:c>
      <x:c r="H166" s="99" t="str">
        <x:v>bugs_nand3</x:v>
      </x:c>
      <x:c r="I166" s="99" t="str">
        <x:v>Solve from blank; check notes only after the attempt.</x:v>
      </x:c>
      <x:c r="J166" s="98" t="str">
        <x:v>Not Started</x:v>
      </x:c>
      <x:c r="K166" s="98"/>
      <x:c r="L166" s="98"/>
      <x:c r="M166" s="98" t="str">
        <x:v>None</x:v>
      </x:c>
      <x:c r="N166" s="99"/>
      <x:c r="O166" s="99"/>
      <x:c r="P166" s="99"/>
      <x:c r="Q166" s="99"/>
    </x:row>
    <x:row r="167" ht="33" customHeight="1">
      <x:c r="A167" s="34" t="n">
        <x:v>46233</x:v>
      </x:c>
      <x:c r="B167" s="98" t="n">
        <x:v>17</x:v>
      </x:c>
      <x:c r="C167" s="98" t="n">
        <x:v>161</x:v>
      </x:c>
      <x:c r="D167" s="98" t="n">
        <x:v>124</x:v>
      </x:c>
      <x:c r="E167" s="99" t="str">
        <x:v>Verification: Reading Simulations</x:v>
      </x:c>
      <x:c r="F167" s="99" t="str">
        <x:v>Finding bugs in code</x:v>
      </x:c>
      <x:c r="G167" s="99" t="str">
        <x:v>Mux</x:v>
      </x:c>
      <x:c r="H167" s="99" t="str">
        <x:v>bugs_mux4</x:v>
      </x:c>
      <x:c r="I167" s="99" t="str">
        <x:v>Solve from blank; check notes only after the attempt.</x:v>
      </x:c>
      <x:c r="J167" s="98" t="str">
        <x:v>Not Started</x:v>
      </x:c>
      <x:c r="K167" s="98"/>
      <x:c r="L167" s="98"/>
      <x:c r="M167" s="98" t="str">
        <x:v>None</x:v>
      </x:c>
      <x:c r="N167" s="99"/>
      <x:c r="O167" s="99"/>
      <x:c r="P167" s="99"/>
      <x:c r="Q167" s="99"/>
    </x:row>
    <x:row r="168" ht="33" customHeight="1">
      <x:c r="A168" s="34" t="n">
        <x:v>46233</x:v>
      </x:c>
      <x:c r="B168" s="98" t="n">
        <x:v>17</x:v>
      </x:c>
      <x:c r="C168" s="98" t="n">
        <x:v>162</x:v>
      </x:c>
      <x:c r="D168" s="98" t="n">
        <x:v>125</x:v>
      </x:c>
      <x:c r="E168" s="99" t="str">
        <x:v>Verification: Reading Simulations</x:v>
      </x:c>
      <x:c r="F168" s="99" t="str">
        <x:v>Finding bugs in code</x:v>
      </x:c>
      <x:c r="G168" s="99" t="str">
        <x:v>Add/sub</x:v>
      </x:c>
      <x:c r="H168" s="99" t="str">
        <x:v>bugs_addsubz</x:v>
      </x:c>
      <x:c r="I168" s="99" t="str">
        <x:v>Solve from blank; check notes only after the attempt.</x:v>
      </x:c>
      <x:c r="J168" s="98" t="str">
        <x:v>Not Started</x:v>
      </x:c>
      <x:c r="K168" s="98"/>
      <x:c r="L168" s="98"/>
      <x:c r="M168" s="98" t="str">
        <x:v>None</x:v>
      </x:c>
      <x:c r="N168" s="99"/>
      <x:c r="O168" s="99"/>
      <x:c r="P168" s="99"/>
      <x:c r="Q168" s="99"/>
    </x:row>
    <x:row r="169" ht="33" customHeight="1">
      <x:c r="A169" s="34" t="n">
        <x:v>46233</x:v>
      </x:c>
      <x:c r="B169" s="98" t="n">
        <x:v>17</x:v>
      </x:c>
      <x:c r="C169" s="98" t="n">
        <x:v>163</x:v>
      </x:c>
      <x:c r="D169" s="98" t="n">
        <x:v>126</x:v>
      </x:c>
      <x:c r="E169" s="99" t="str">
        <x:v>Verification: Reading Simulations</x:v>
      </x:c>
      <x:c r="F169" s="99" t="str">
        <x:v>Finding bugs in code</x:v>
      </x:c>
      <x:c r="G169" s="99" t="str">
        <x:v>Case statement</x:v>
      </x:c>
      <x:c r="H169" s="99" t="str">
        <x:v>bugs_case</x:v>
      </x:c>
      <x:c r="I169" s="99" t="str">
        <x:v>Solve from blank; check notes only after the attempt.</x:v>
      </x:c>
      <x:c r="J169" s="98" t="str">
        <x:v>Not Started</x:v>
      </x:c>
      <x:c r="K169" s="98"/>
      <x:c r="L169" s="98"/>
      <x:c r="M169" s="98" t="str">
        <x:v>None</x:v>
      </x:c>
      <x:c r="N169" s="99"/>
      <x:c r="O169" s="99"/>
      <x:c r="P169" s="99"/>
      <x:c r="Q169" s="99"/>
    </x:row>
    <x:row r="170" ht="33" customHeight="1">
      <x:c r="A170" s="34" t="n">
        <x:v>46233</x:v>
      </x:c>
      <x:c r="B170" s="98" t="n">
        <x:v>17</x:v>
      </x:c>
      <x:c r="C170" s="98" t="n">
        <x:v>164</x:v>
      </x:c>
      <x:c r="D170" s="98" t="n">
        <x:v>127</x:v>
      </x:c>
      <x:c r="E170" s="99" t="str">
        <x:v>Verification: Reading Simulations</x:v>
      </x:c>
      <x:c r="F170" s="99" t="str">
        <x:v>Build a circuit from a simulation waveform</x:v>
      </x:c>
      <x:c r="G170" s="99" t="str">
        <x:v>Combinational circuit 1</x:v>
      </x:c>
      <x:c r="H170" s="99" t="str">
        <x:v>sim/circuit1</x:v>
      </x:c>
      <x:c r="I170" s="99" t="str">
        <x:v>Solve from blank; check notes only after the attempt.</x:v>
      </x:c>
      <x:c r="J170" s="98" t="str">
        <x:v>Not Started</x:v>
      </x:c>
      <x:c r="K170" s="98"/>
      <x:c r="L170" s="98"/>
      <x:c r="M170" s="98" t="str">
        <x:v>None</x:v>
      </x:c>
      <x:c r="N170" s="99"/>
      <x:c r="O170" s="99"/>
      <x:c r="P170" s="99"/>
      <x:c r="Q170" s="99"/>
    </x:row>
    <x:row r="171" ht="33" customHeight="1">
      <x:c r="A171" s="34" t="n">
        <x:v>46233</x:v>
      </x:c>
      <x:c r="B171" s="98" t="n">
        <x:v>17</x:v>
      </x:c>
      <x:c r="C171" s="98" t="n">
        <x:v>165</x:v>
      </x:c>
      <x:c r="D171" s="98" t="n">
        <x:v>128</x:v>
      </x:c>
      <x:c r="E171" s="99" t="str">
        <x:v>Verification: Reading Simulations</x:v>
      </x:c>
      <x:c r="F171" s="99" t="str">
        <x:v>Build a circuit from a simulation waveform</x:v>
      </x:c>
      <x:c r="G171" s="99" t="str">
        <x:v>Combinational circuit 2</x:v>
      </x:c>
      <x:c r="H171" s="99" t="str">
        <x:v>sim/circuit2</x:v>
      </x:c>
      <x:c r="I171" s="99" t="str">
        <x:v>Solve from blank; check notes only after the attempt.</x:v>
      </x:c>
      <x:c r="J171" s="98" t="str">
        <x:v>Not Started</x:v>
      </x:c>
      <x:c r="K171" s="98"/>
      <x:c r="L171" s="98"/>
      <x:c r="M171" s="98" t="str">
        <x:v>None</x:v>
      </x:c>
      <x:c r="N171" s="99"/>
      <x:c r="O171" s="99"/>
      <x:c r="P171" s="99"/>
      <x:c r="Q171" s="99"/>
    </x:row>
    <x:row r="172" ht="33" customHeight="1">
      <x:c r="A172" s="34" t="n">
        <x:v>46233</x:v>
      </x:c>
      <x:c r="B172" s="98" t="n">
        <x:v>17</x:v>
      </x:c>
      <x:c r="C172" s="98" t="n">
        <x:v>166</x:v>
      </x:c>
      <x:c r="D172" s="98" t="n">
        <x:v>129</x:v>
      </x:c>
      <x:c r="E172" s="99" t="str">
        <x:v>Verification: Reading Simulations</x:v>
      </x:c>
      <x:c r="F172" s="99" t="str">
        <x:v>Build a circuit from a simulation waveform</x:v>
      </x:c>
      <x:c r="G172" s="99" t="str">
        <x:v>Combinational circuit 3</x:v>
      </x:c>
      <x:c r="H172" s="99" t="str">
        <x:v>sim/circuit3</x:v>
      </x:c>
      <x:c r="I172" s="99" t="str">
        <x:v>Solve from blank; check notes only after the attempt.</x:v>
      </x:c>
      <x:c r="J172" s="98" t="str">
        <x:v>Not Started</x:v>
      </x:c>
      <x:c r="K172" s="98"/>
      <x:c r="L172" s="98"/>
      <x:c r="M172" s="98" t="str">
        <x:v>None</x:v>
      </x:c>
      <x:c r="N172" s="99"/>
      <x:c r="O172" s="99"/>
      <x:c r="P172" s="99"/>
      <x:c r="Q172" s="99"/>
    </x:row>
    <x:row r="173" ht="33" customHeight="1">
      <x:c r="A173" s="34" t="n">
        <x:v>46233</x:v>
      </x:c>
      <x:c r="B173" s="98" t="n">
        <x:v>17</x:v>
      </x:c>
      <x:c r="C173" s="98" t="n">
        <x:v>167</x:v>
      </x:c>
      <x:c r="D173" s="98" t="n">
        <x:v>130</x:v>
      </x:c>
      <x:c r="E173" s="99" t="str">
        <x:v>Verification: Reading Simulations</x:v>
      </x:c>
      <x:c r="F173" s="99" t="str">
        <x:v>Build a circuit from a simulation waveform</x:v>
      </x:c>
      <x:c r="G173" s="99" t="str">
        <x:v>Combinational circuit 4</x:v>
      </x:c>
      <x:c r="H173" s="99" t="str">
        <x:v>sim/circuit4</x:v>
      </x:c>
      <x:c r="I173" s="99" t="str">
        <x:v>Solve from blank; check notes only after the attempt.</x:v>
      </x:c>
      <x:c r="J173" s="98" t="str">
        <x:v>Not Started</x:v>
      </x:c>
      <x:c r="K173" s="98"/>
      <x:c r="L173" s="98"/>
      <x:c r="M173" s="98" t="str">
        <x:v>None</x:v>
      </x:c>
      <x:c r="N173" s="99"/>
      <x:c r="O173" s="99"/>
      <x:c r="P173" s="99"/>
      <x:c r="Q173" s="99"/>
    </x:row>
    <x:row r="174" ht="33" customHeight="1">
      <x:c r="A174" s="34" t="n">
        <x:v>46233</x:v>
      </x:c>
      <x:c r="B174" s="98" t="n">
        <x:v>17</x:v>
      </x:c>
      <x:c r="C174" s="98" t="n">
        <x:v>168</x:v>
      </x:c>
      <x:c r="D174" s="98" t="n">
        <x:v>131</x:v>
      </x:c>
      <x:c r="E174" s="99" t="str">
        <x:v>Verification: Reading Simulations</x:v>
      </x:c>
      <x:c r="F174" s="99" t="str">
        <x:v>Build a circuit from a simulation waveform</x:v>
      </x:c>
      <x:c r="G174" s="99" t="str">
        <x:v>Combinational circuit 5</x:v>
      </x:c>
      <x:c r="H174" s="99" t="str">
        <x:v>sim/circuit5</x:v>
      </x:c>
      <x:c r="I174" s="99" t="str">
        <x:v>Solve from blank; check notes only after the attempt.</x:v>
      </x:c>
      <x:c r="J174" s="98" t="str">
        <x:v>Not Started</x:v>
      </x:c>
      <x:c r="K174" s="98"/>
      <x:c r="L174" s="98"/>
      <x:c r="M174" s="98" t="str">
        <x:v>None</x:v>
      </x:c>
      <x:c r="N174" s="99"/>
      <x:c r="O174" s="99"/>
      <x:c r="P174" s="99"/>
      <x:c r="Q174" s="99"/>
    </x:row>
    <x:row r="175" ht="33" customHeight="1">
      <x:c r="A175" s="34" t="n">
        <x:v>46233</x:v>
      </x:c>
      <x:c r="B175" s="98" t="n">
        <x:v>17</x:v>
      </x:c>
      <x:c r="C175" s="98" t="n">
        <x:v>169</x:v>
      </x:c>
      <x:c r="D175" s="98" t="n">
        <x:v>132</x:v>
      </x:c>
      <x:c r="E175" s="99" t="str">
        <x:v>Verification: Reading Simulations</x:v>
      </x:c>
      <x:c r="F175" s="99" t="str">
        <x:v>Build a circuit from a simulation waveform</x:v>
      </x:c>
      <x:c r="G175" s="99" t="str">
        <x:v>Combinational circuit 6</x:v>
      </x:c>
      <x:c r="H175" s="99" t="str">
        <x:v>sim/circuit6</x:v>
      </x:c>
      <x:c r="I175" s="99" t="str">
        <x:v>Solve from blank; check notes only after the attempt.</x:v>
      </x:c>
      <x:c r="J175" s="98" t="str">
        <x:v>Not Started</x:v>
      </x:c>
      <x:c r="K175" s="98"/>
      <x:c r="L175" s="98"/>
      <x:c r="M175" s="98" t="str">
        <x:v>None</x:v>
      </x:c>
      <x:c r="N175" s="99"/>
      <x:c r="O175" s="99"/>
      <x:c r="P175" s="99"/>
      <x:c r="Q175" s="99"/>
    </x:row>
    <x:row r="176" ht="33" customHeight="1">
      <x:c r="A176" s="34" t="n">
        <x:v>46233</x:v>
      </x:c>
      <x:c r="B176" s="98" t="n">
        <x:v>17</x:v>
      </x:c>
      <x:c r="C176" s="98" t="n">
        <x:v>170</x:v>
      </x:c>
      <x:c r="D176" s="98" t="n">
        <x:v>133</x:v>
      </x:c>
      <x:c r="E176" s="99" t="str">
        <x:v>Verification: Reading Simulations</x:v>
      </x:c>
      <x:c r="F176" s="99" t="str">
        <x:v>Build a circuit from a simulation waveform</x:v>
      </x:c>
      <x:c r="G176" s="99" t="str">
        <x:v>Sequential circuit 7</x:v>
      </x:c>
      <x:c r="H176" s="99" t="str">
        <x:v>sim/circuit7</x:v>
      </x:c>
      <x:c r="I176" s="99" t="str">
        <x:v>Solve from blank; check notes only after the attempt.</x:v>
      </x:c>
      <x:c r="J176" s="98" t="str">
        <x:v>Not Started</x:v>
      </x:c>
      <x:c r="K176" s="98"/>
      <x:c r="L176" s="98"/>
      <x:c r="M176" s="98" t="str">
        <x:v>None</x:v>
      </x:c>
      <x:c r="N176" s="99"/>
      <x:c r="O176" s="99"/>
      <x:c r="P176" s="99"/>
      <x:c r="Q176" s="99"/>
    </x:row>
    <x:row r="177" ht="33" customHeight="1">
      <x:c r="A177" s="34" t="n">
        <x:v>46234</x:v>
      </x:c>
      <x:c r="B177" s="98" t="n">
        <x:v>18</x:v>
      </x:c>
      <x:c r="C177" s="98" t="n">
        <x:v>171</x:v>
      </x:c>
      <x:c r="D177" s="98" t="n">
        <x:v>134</x:v>
      </x:c>
      <x:c r="E177" s="99" t="str">
        <x:v>Verification: Reading Simulations</x:v>
      </x:c>
      <x:c r="F177" s="99" t="str">
        <x:v>Build a circuit from a simulation waveform</x:v>
      </x:c>
      <x:c r="G177" s="99" t="str">
        <x:v>Sequential circuit 8</x:v>
      </x:c>
      <x:c r="H177" s="99" t="str">
        <x:v>sim/circuit8</x:v>
      </x:c>
      <x:c r="I177" s="99" t="str">
        <x:v>Solve from blank; check notes only after the attempt.</x:v>
      </x:c>
      <x:c r="J177" s="98" t="str">
        <x:v>Not Started</x:v>
      </x:c>
      <x:c r="K177" s="98"/>
      <x:c r="L177" s="98"/>
      <x:c r="M177" s="98" t="str">
        <x:v>None</x:v>
      </x:c>
      <x:c r="N177" s="99"/>
      <x:c r="O177" s="99"/>
      <x:c r="P177" s="99"/>
      <x:c r="Q177" s="99"/>
    </x:row>
    <x:row r="178" ht="33" customHeight="1">
      <x:c r="A178" s="34" t="n">
        <x:v>46234</x:v>
      </x:c>
      <x:c r="B178" s="98" t="n">
        <x:v>18</x:v>
      </x:c>
      <x:c r="C178" s="98" t="n">
        <x:v>172</x:v>
      </x:c>
      <x:c r="D178" s="98" t="n">
        <x:v>135</x:v>
      </x:c>
      <x:c r="E178" s="99" t="str">
        <x:v>Verification: Reading Simulations</x:v>
      </x:c>
      <x:c r="F178" s="99" t="str">
        <x:v>Build a circuit from a simulation waveform</x:v>
      </x:c>
      <x:c r="G178" s="99" t="str">
        <x:v>Sequential circuit 9</x:v>
      </x:c>
      <x:c r="H178" s="99" t="str">
        <x:v>sim/circuit9</x:v>
      </x:c>
      <x:c r="I178" s="99" t="str">
        <x:v>Solve from blank; check notes only after the attempt.</x:v>
      </x:c>
      <x:c r="J178" s="98" t="str">
        <x:v>Not Started</x:v>
      </x:c>
      <x:c r="K178" s="98"/>
      <x:c r="L178" s="98"/>
      <x:c r="M178" s="98" t="str">
        <x:v>None</x:v>
      </x:c>
      <x:c r="N178" s="99"/>
      <x:c r="O178" s="99"/>
      <x:c r="P178" s="99"/>
      <x:c r="Q178" s="99"/>
    </x:row>
    <x:row r="179" ht="33" customHeight="1">
      <x:c r="A179" s="34" t="n">
        <x:v>46234</x:v>
      </x:c>
      <x:c r="B179" s="98" t="n">
        <x:v>18</x:v>
      </x:c>
      <x:c r="C179" s="98" t="n">
        <x:v>173</x:v>
      </x:c>
      <x:c r="D179" s="98" t="n">
        <x:v>136</x:v>
      </x:c>
      <x:c r="E179" s="99" t="str">
        <x:v>Verification: Reading Simulations</x:v>
      </x:c>
      <x:c r="F179" s="99" t="str">
        <x:v>Build a circuit from a simulation waveform</x:v>
      </x:c>
      <x:c r="G179" s="99" t="str">
        <x:v>Sequential circuit 10</x:v>
      </x:c>
      <x:c r="H179" s="99" t="str">
        <x:v>sim/circuit10</x:v>
      </x:c>
      <x:c r="I179" s="99" t="str">
        <x:v>Solve from blank; check notes only after the attempt.</x:v>
      </x:c>
      <x:c r="J179" s="98" t="str">
        <x:v>Not Started</x:v>
      </x:c>
      <x:c r="K179" s="98"/>
      <x:c r="L179" s="98"/>
      <x:c r="M179" s="98" t="str">
        <x:v>None</x:v>
      </x:c>
      <x:c r="N179" s="99"/>
      <x:c r="O179" s="99"/>
      <x:c r="P179" s="99"/>
      <x:c r="Q179" s="99"/>
    </x:row>
    <x:row r="180" ht="33" customHeight="1">
      <x:c r="A180" s="34" t="n">
        <x:v>46234</x:v>
      </x:c>
      <x:c r="B180" s="98" t="n">
        <x:v>18</x:v>
      </x:c>
      <x:c r="C180" s="98" t="n">
        <x:v>174</x:v>
      </x:c>
      <x:c r="D180" s="98" t="n">
        <x:v>137</x:v>
      </x:c>
      <x:c r="E180" s="99" t="str">
        <x:v>Verification: Writing Testbenches</x:v>
      </x:c>
      <x:c r="F180" s="99"/>
      <x:c r="G180" s="99" t="str">
        <x:v>Clock</x:v>
      </x:c>
      <x:c r="H180" s="99" t="str">
        <x:v>tb/clock</x:v>
      </x:c>
      <x:c r="I180" s="99" t="str">
        <x:v>Solve from blank; check notes only after the attempt.</x:v>
      </x:c>
      <x:c r="J180" s="98" t="str">
        <x:v>Not Started</x:v>
      </x:c>
      <x:c r="K180" s="98"/>
      <x:c r="L180" s="98"/>
      <x:c r="M180" s="98" t="str">
        <x:v>None</x:v>
      </x:c>
      <x:c r="N180" s="99"/>
      <x:c r="O180" s="99"/>
      <x:c r="P180" s="99"/>
      <x:c r="Q180" s="99"/>
    </x:row>
    <x:row r="181" ht="33" customHeight="1">
      <x:c r="A181" s="34" t="n">
        <x:v>46234</x:v>
      </x:c>
      <x:c r="B181" s="98" t="n">
        <x:v>18</x:v>
      </x:c>
      <x:c r="C181" s="98" t="n">
        <x:v>175</x:v>
      </x:c>
      <x:c r="D181" s="98" t="n">
        <x:v>138</x:v>
      </x:c>
      <x:c r="E181" s="99" t="str">
        <x:v>Verification: Writing Testbenches</x:v>
      </x:c>
      <x:c r="F181" s="99"/>
      <x:c r="G181" s="99" t="str">
        <x:v>Testbench1</x:v>
      </x:c>
      <x:c r="H181" s="99" t="str">
        <x:v>tb/tb1</x:v>
      </x:c>
      <x:c r="I181" s="99" t="str">
        <x:v>Solve from blank; check notes only after the attempt.</x:v>
      </x:c>
      <x:c r="J181" s="98" t="str">
        <x:v>Not Started</x:v>
      </x:c>
      <x:c r="K181" s="98"/>
      <x:c r="L181" s="98"/>
      <x:c r="M181" s="98" t="str">
        <x:v>None</x:v>
      </x:c>
      <x:c r="N181" s="99"/>
      <x:c r="O181" s="99"/>
      <x:c r="P181" s="99"/>
      <x:c r="Q181" s="99"/>
    </x:row>
    <x:row r="182" ht="33" customHeight="1">
      <x:c r="A182" s="34" t="n">
        <x:v>46234</x:v>
      </x:c>
      <x:c r="B182" s="98" t="n">
        <x:v>18</x:v>
      </x:c>
      <x:c r="C182" s="98" t="n">
        <x:v>176</x:v>
      </x:c>
      <x:c r="D182" s="98" t="n">
        <x:v>139</x:v>
      </x:c>
      <x:c r="E182" s="99" t="str">
        <x:v>Verification: Writing Testbenches</x:v>
      </x:c>
      <x:c r="F182" s="99"/>
      <x:c r="G182" s="99" t="str">
        <x:v>AND gate</x:v>
      </x:c>
      <x:c r="H182" s="99" t="str">
        <x:v>tb/and</x:v>
      </x:c>
      <x:c r="I182" s="99" t="str">
        <x:v>Solve from blank; check notes only after the attempt.</x:v>
      </x:c>
      <x:c r="J182" s="98" t="str">
        <x:v>Not Started</x:v>
      </x:c>
      <x:c r="K182" s="98"/>
      <x:c r="L182" s="98"/>
      <x:c r="M182" s="98" t="str">
        <x:v>None</x:v>
      </x:c>
      <x:c r="N182" s="99"/>
      <x:c r="O182" s="99"/>
      <x:c r="P182" s="99"/>
      <x:c r="Q182" s="99"/>
    </x:row>
    <x:row r="183" ht="33" customHeight="1">
      <x:c r="A183" s="34" t="n">
        <x:v>46234</x:v>
      </x:c>
      <x:c r="B183" s="98" t="n">
        <x:v>18</x:v>
      </x:c>
      <x:c r="C183" s="98" t="n">
        <x:v>177</x:v>
      </x:c>
      <x:c r="D183" s="98" t="n">
        <x:v>140</x:v>
      </x:c>
      <x:c r="E183" s="99" t="str">
        <x:v>Verification: Writing Testbenches</x:v>
      </x:c>
      <x:c r="F183" s="99"/>
      <x:c r="G183" s="99" t="str">
        <x:v>Testbench2</x:v>
      </x:c>
      <x:c r="H183" s="99" t="str">
        <x:v>tb/tb2</x:v>
      </x:c>
      <x:c r="I183" s="99" t="str">
        <x:v>Solve from blank; check notes only after the attempt.</x:v>
      </x:c>
      <x:c r="J183" s="98" t="str">
        <x:v>Not Started</x:v>
      </x:c>
      <x:c r="K183" s="98"/>
      <x:c r="L183" s="98"/>
      <x:c r="M183" s="98" t="str">
        <x:v>None</x:v>
      </x:c>
      <x:c r="N183" s="99"/>
      <x:c r="O183" s="99"/>
      <x:c r="P183" s="99"/>
      <x:c r="Q183" s="99"/>
    </x:row>
    <x:row r="184" ht="33" customHeight="1">
      <x:c r="A184" s="34" t="n">
        <x:v>46234</x:v>
      </x:c>
      <x:c r="B184" s="98" t="n">
        <x:v>18</x:v>
      </x:c>
      <x:c r="C184" s="98" t="n">
        <x:v>178</x:v>
      </x:c>
      <x:c r="D184" s="98" t="n">
        <x:v>141</x:v>
      </x:c>
      <x:c r="E184" s="99" t="str">
        <x:v>Verification: Writing Testbenches</x:v>
      </x:c>
      <x:c r="F184" s="99"/>
      <x:c r="G184" s="99" t="str">
        <x:v>T flip-flop</x:v>
      </x:c>
      <x:c r="H184" s="99" t="str">
        <x:v>tb/tff</x:v>
      </x:c>
      <x:c r="I184" s="99" t="str">
        <x:v>Solve from blank; check notes only after the attempt.</x:v>
      </x:c>
      <x:c r="J184" s="98" t="str">
        <x:v>Not Started</x:v>
      </x:c>
      <x:c r="K184" s="98"/>
      <x:c r="L184" s="98"/>
      <x:c r="M184" s="98" t="str">
        <x:v>None</x:v>
      </x:c>
      <x:c r="N184" s="99"/>
      <x:c r="O184" s="99"/>
      <x:c r="P184" s="99"/>
      <x:c r="Q184" s="99"/>
    </x:row>
  </x:sheetData>
  <x:mergeCells>
    <x:mergeCell ref="A1:Q2"/>
    <x:mergeCell ref="A3:Q3"/>
    <x:mergeCell ref="A4:Q4"/>
  </x:mergeCells>
  <x:conditionalFormatting sqref="J7:J184">
    <x:cfRule type="containsText" dxfId="0" priority="1" operator="containsText" text="Done"/>
    <x:cfRule type="containsText" dxfId="1" priority="2" operator="containsText" text="Needs Review"/>
    <x:cfRule type="containsText" dxfId="2" priority="3" operator="containsText" text="Not Started"/>
  </x:conditionalFormatting>
  <x:conditionalFormatting sqref="K7:K184">
    <x:cfRule type="colorScale" priority="4">
      <x:colorScale>
        <x:cfvo type="min"/>
        <x:cfvo type="percentile" val="50"/>
        <x:cfvo type="max"/>
        <x:color rgb="FFF4CCCC"/>
        <x:color rgb="FFFFF2CC"/>
        <x:color rgb="FFC6EFCE"/>
      </x:colorScale>
    </x:cfRule>
  </x:conditionalFormatting>
  <x:conditionalFormatting sqref="L7:L184">
    <x:cfRule type="containsText" dxfId="3" priority="5" operator="containsText" text="Easy"/>
    <x:cfRule type="containsText" dxfId="4" priority="6" operator="containsText" text="Medium"/>
    <x:cfRule type="containsText" dxfId="5" priority="7" operator="containsText" text="Hard"/>
  </x:conditionalFormatting>
  <x:dataValidations count="4">
    <x:dataValidation type="list" sqref="J7:J184">
      <x:formula1>"Not Started,Done,Needs Review"</x:formula1>
    </x:dataValidation>
    <x:dataValidation type="whole" operator="between" sqref="K7:K184">
      <x:formula1>1</x:formula1>
      <x:formula2>5</x:formula2>
    </x:dataValidation>
    <x:dataValidation type="list" sqref="L7:L184">
      <x:formula1>"Easy,Medium,Hard"</x:formula1>
    </x:dataValidation>
    <x:dataValidation type="list" sqref="M7:M184">
      <x:formula1>"None,Syntax,Width / signedness,Combinational logic,Reset / timing,Nonblocking assignment,FSM / state,Testbench / waveform,Other"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c1894ca5ba4d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11.109999656677246" hidden="0" customWidth="1"/>
    <x:col min="3" max="3" width="7.21999979019165" hidden="0" customWidth="1"/>
    <x:col min="4" max="4" width="7.559999942779541" hidden="0" customWidth="1"/>
    <x:col min="5" max="5" width="7.559999942779541" hidden="0" customWidth="1"/>
    <x:col min="6" max="6" width="26.670000076293945" hidden="0" customWidth="1"/>
    <x:col min="7" max="7" width="23.329999923706055" hidden="0" customWidth="1"/>
    <x:col min="8" max="8" width="30" hidden="0" customWidth="1"/>
    <x:col min="9" max="9" width="10.670000076293945" hidden="0" customWidth="1"/>
    <x:col min="10" max="10" width="10.220000267028809" hidden="0" customWidth="1"/>
    <x:col min="11" max="11" width="16.670000076293945" hidden="0" customWidth="1"/>
    <x:col min="12" max="12" width="24.440000534057617" hidden="0" customWidth="1"/>
    <x:col min="13" max="13" width="25.559999465942383" hidden="0" customWidth="1"/>
    <x:col min="14" max="14" width="23.329999923706055" hidden="0" customWidth="1"/>
  </x:cols>
  <x:sheetData>
    <x:row r="1" ht="24" customHeight="1">
      <x:c r="A1" s="4" t="str">
        <x:v>Separate Revision Calendar</x:v>
      </x:c>
      <x:c r="B1" s="4" t="str">
        <x:v>Separate Revision Calendar</x:v>
      </x:c>
      <x:c r="C1" s="4" t="str">
        <x:v>Separate Revision Calendar</x:v>
      </x:c>
      <x:c r="D1" s="4" t="str">
        <x:v>Separate Revision Calendar</x:v>
      </x:c>
      <x:c r="E1" s="4" t="str">
        <x:v>Separate Revision Calendar</x:v>
      </x:c>
      <x:c r="F1" s="4" t="str">
        <x:v>Separate Revision Calendar</x:v>
      </x:c>
      <x:c r="G1" s="4" t="str">
        <x:v>Separate Revision Calendar</x:v>
      </x:c>
      <x:c r="H1" s="4" t="str">
        <x:v>Separate Revision Calendar</x:v>
      </x:c>
      <x:c r="I1" s="4" t="str">
        <x:v>Separate Revision Calendar</x:v>
      </x:c>
      <x:c r="J1" s="4" t="str">
        <x:v>Separate Revision Calendar</x:v>
      </x:c>
      <x:c r="K1" s="4" t="str">
        <x:v>Separate Revision Calendar</x:v>
      </x:c>
      <x:c r="L1" s="4" t="str">
        <x:v>Separate Revision Calendar</x:v>
      </x:c>
      <x:c r="M1" s="4" t="str">
        <x:v>Separate Revision Calendar</x:v>
      </x:c>
      <x:c r="N1" s="4" t="str">
        <x:v>Separate Revision Calendar</x:v>
      </x:c>
    </x:row>
    <x:row r="2" ht="24" customHeight="1">
      <x:c r="A2" s="4" t="str">
        <x:v>Separate Revision Calendar</x:v>
      </x:c>
      <x:c r="B2" s="4" t="str">
        <x:v>Separate Revision Calendar</x:v>
      </x:c>
      <x:c r="C2" s="4" t="str">
        <x:v>Separate Revision Calendar</x:v>
      </x:c>
      <x:c r="D2" s="4" t="str">
        <x:v>Separate Revision Calendar</x:v>
      </x:c>
      <x:c r="E2" s="4" t="str">
        <x:v>Separate Revision Calendar</x:v>
      </x:c>
      <x:c r="F2" s="4" t="str">
        <x:v>Separate Revision Calendar</x:v>
      </x:c>
      <x:c r="G2" s="4" t="str">
        <x:v>Separate Revision Calendar</x:v>
      </x:c>
      <x:c r="H2" s="4" t="str">
        <x:v>Separate Revision Calendar</x:v>
      </x:c>
      <x:c r="I2" s="4" t="str">
        <x:v>Separate Revision Calendar</x:v>
      </x:c>
      <x:c r="J2" s="4" t="str">
        <x:v>Separate Revision Calendar</x:v>
      </x:c>
      <x:c r="K2" s="4" t="str">
        <x:v>Separate Revision Calendar</x:v>
      </x:c>
      <x:c r="L2" s="4" t="str">
        <x:v>Separate Revision Calendar</x:v>
      </x:c>
      <x:c r="M2" s="4" t="str">
        <x:v>Separate Revision Calendar</x:v>
      </x:c>
      <x:c r="N2" s="4" t="str">
        <x:v>Separate Revision Calendar</x:v>
      </x:c>
    </x:row>
    <x:row r="3" ht="21" customHeight="1">
      <x:c r="A3" s="9" t="str">
        <x:v>Revision 1: 2026-08-01–08-18 · Revision 2: 2026-08-19–09-05 · Final Revision: 2026-09-06–09-23 · 10 questions/day</x:v>
      </x:c>
      <x:c r="B3" s="9" t="str">
        <x:v>Revision 1: 2026-08-01–08-18 · Revision 2: 2026-08-19–09-05 · Final Revision: 2026-09-06–09-23 · 10 questions/day</x:v>
      </x:c>
      <x:c r="C3" s="9" t="str">
        <x:v>Revision 1: 2026-08-01–08-18 · Revision 2: 2026-08-19–09-05 · Final Revision: 2026-09-06–09-23 · 10 questions/day</x:v>
      </x:c>
      <x:c r="D3" s="9" t="str">
        <x:v>Revision 1: 2026-08-01–08-18 · Revision 2: 2026-08-19–09-05 · Final Revision: 2026-09-06–09-23 · 10 questions/day</x:v>
      </x:c>
      <x:c r="E3" s="9" t="str">
        <x:v>Revision 1: 2026-08-01–08-18 · Revision 2: 2026-08-19–09-05 · Final Revision: 2026-09-06–09-23 · 10 questions/day</x:v>
      </x:c>
      <x:c r="F3" s="9" t="str">
        <x:v>Revision 1: 2026-08-01–08-18 · Revision 2: 2026-08-19–09-05 · Final Revision: 2026-09-06–09-23 · 10 questions/day</x:v>
      </x:c>
      <x:c r="G3" s="9" t="str">
        <x:v>Revision 1: 2026-08-01–08-18 · Revision 2: 2026-08-19–09-05 · Final Revision: 2026-09-06–09-23 · 10 questions/day</x:v>
      </x:c>
      <x:c r="H3" s="9" t="str">
        <x:v>Revision 1: 2026-08-01–08-18 · Revision 2: 2026-08-19–09-05 · Final Revision: 2026-09-06–09-23 · 10 questions/day</x:v>
      </x:c>
      <x:c r="I3" s="9" t="str">
        <x:v>Revision 1: 2026-08-01–08-18 · Revision 2: 2026-08-19–09-05 · Final Revision: 2026-09-06–09-23 · 10 questions/day</x:v>
      </x:c>
      <x:c r="J3" s="9" t="str">
        <x:v>Revision 1: 2026-08-01–08-18 · Revision 2: 2026-08-19–09-05 · Final Revision: 2026-09-06–09-23 · 10 questions/day</x:v>
      </x:c>
      <x:c r="K3" s="9" t="str">
        <x:v>Revision 1: 2026-08-01–08-18 · Revision 2: 2026-08-19–09-05 · Final Revision: 2026-09-06–09-23 · 10 questions/day</x:v>
      </x:c>
      <x:c r="L3" s="9" t="str">
        <x:v>Revision 1: 2026-08-01–08-18 · Revision 2: 2026-08-19–09-05 · Final Revision: 2026-09-06–09-23 · 10 questions/day</x:v>
      </x:c>
      <x:c r="M3" s="9" t="str">
        <x:v>Revision 1: 2026-08-01–08-18 · Revision 2: 2026-08-19–09-05 · Final Revision: 2026-09-06–09-23 · 10 questions/day</x:v>
      </x:c>
      <x:c r="N3" s="9" t="str">
        <x:v>Revision 1: 2026-08-01–08-18 · Revision 2: 2026-08-19–09-05 · Final Revision: 2026-09-06–09-23 · 10 questions/day</x:v>
      </x:c>
    </x:row>
    <x:row r="4">
      <x:c r="A4" s="97" t="str">
        <x:v>Each revision round is separate from Pass 1. Use filters for Date, Round, Status, Error type, or any difficult topic.</x:v>
      </x:c>
      <x:c r="B4" s="97" t="str">
        <x:v>Each revision round is separate from Pass 1. Use filters for Date, Round, Status, Error type, or any difficult topic.</x:v>
      </x:c>
      <x:c r="C4" s="97" t="str">
        <x:v>Each revision round is separate from Pass 1. Use filters for Date, Round, Status, Error type, or any difficult topic.</x:v>
      </x:c>
      <x:c r="D4" s="97" t="str">
        <x:v>Each revision round is separate from Pass 1. Use filters for Date, Round, Status, Error type, or any difficult topic.</x:v>
      </x:c>
      <x:c r="E4" s="97" t="str">
        <x:v>Each revision round is separate from Pass 1. Use filters for Date, Round, Status, Error type, or any difficult topic.</x:v>
      </x:c>
      <x:c r="F4" s="97" t="str">
        <x:v>Each revision round is separate from Pass 1. Use filters for Date, Round, Status, Error type, or any difficult topic.</x:v>
      </x:c>
      <x:c r="G4" s="97" t="str">
        <x:v>Each revision round is separate from Pass 1. Use filters for Date, Round, Status, Error type, or any difficult topic.</x:v>
      </x:c>
      <x:c r="H4" s="97" t="str">
        <x:v>Each revision round is separate from Pass 1. Use filters for Date, Round, Status, Error type, or any difficult topic.</x:v>
      </x:c>
      <x:c r="I4" s="97" t="str">
        <x:v>Each revision round is separate from Pass 1. Use filters for Date, Round, Status, Error type, or any difficult topic.</x:v>
      </x:c>
      <x:c r="J4" s="97" t="str">
        <x:v>Each revision round is separate from Pass 1. Use filters for Date, Round, Status, Error type, or any difficult topic.</x:v>
      </x:c>
      <x:c r="K4" s="97" t="str">
        <x:v>Each revision round is separate from Pass 1. Use filters for Date, Round, Status, Error type, or any difficult topic.</x:v>
      </x:c>
      <x:c r="L4" s="97" t="str">
        <x:v>Each revision round is separate from Pass 1. Use filters for Date, Round, Status, Error type, or any difficult topic.</x:v>
      </x:c>
      <x:c r="M4" s="97" t="str">
        <x:v>Each revision round is separate from Pass 1. Use filters for Date, Round, Status, Error type, or any difficult topic.</x:v>
      </x:c>
      <x:c r="N4" s="97" t="str">
        <x:v>Each revision round is separate from Pass 1. Use filters for Date, Round, Status, Error type, or any difficult topic.</x:v>
      </x:c>
    </x:row>
    <x:row r="6">
      <x:c r="A6" s="33" t="str">
        <x:v>Date</x:v>
      </x:c>
      <x:c r="B6" s="33" t="str">
        <x:v>Round</x:v>
      </x:c>
      <x:c r="C6" s="33" t="str">
        <x:v>Round day</x:v>
      </x:c>
      <x:c r="D6" s="33" t="str">
        <x:v>Website #</x:v>
      </x:c>
      <x:c r="E6" s="33" t="str">
        <x:v>Archive #</x:v>
      </x:c>
      <x:c r="F6" s="33" t="str">
        <x:v>Topic</x:v>
      </x:c>
      <x:c r="G6" s="33" t="str">
        <x:v>Problem</x:v>
      </x:c>
      <x:c r="H6" s="33" t="str">
        <x:v>Goal</x:v>
      </x:c>
      <x:c r="I6" s="33" t="str">
        <x:v>Status</x:v>
      </x:c>
      <x:c r="J6" s="33" t="str">
        <x:v>Confidence 1–5</x:v>
      </x:c>
      <x:c r="K6" s="33" t="str">
        <x:v>Error type</x:v>
      </x:c>
      <x:c r="L6" s="33" t="str">
        <x:v>Mistake still repeated?</x:v>
      </x:c>
      <x:c r="M6" s="33" t="str">
        <x:v>One-line correction</x:v>
      </x:c>
      <x:c r="N6" s="33" t="str">
        <x:v>Next action</x:v>
      </x:c>
    </x:row>
    <x:row r="7" ht="34.5" customHeight="1">
      <x:c r="A7" s="34" t="n">
        <x:v>46235</x:v>
      </x:c>
      <x:c r="B7" s="98" t="str">
        <x:v>Revision 1</x:v>
      </x:c>
      <x:c r="C7" s="98" t="n">
        <x:v>1</x:v>
      </x:c>
      <x:c r="D7" s="98" t="n">
        <x:v>1</x:v>
      </x:c>
      <x:c r="E7" s="98" t="n">
        <x:v>151</x:v>
      </x:c>
      <x:c r="F7" s="99" t="str">
        <x:v>Getting Started</x:v>
      </x:c>
      <x:c r="G7" s="99" t="str">
        <x:v>Getting Started</x:v>
      </x:c>
      <x:c r="H7" s="99" t="str">
        <x:v>Blind re-solve and repair the exact mistake from Pass 1.</x:v>
      </x:c>
      <x:c r="I7" s="98" t="str">
        <x:v>Not Started</x:v>
      </x:c>
      <x:c r="J7" s="98"/>
      <x:c r="K7" s="98" t="str">
        <x:v>None</x:v>
      </x:c>
      <x:c r="L7" s="99"/>
      <x:c r="M7" s="99"/>
      <x:c r="N7" s="99"/>
    </x:row>
    <x:row r="8" ht="34.5" customHeight="1">
      <x:c r="A8" s="34" t="n">
        <x:v>46235</x:v>
      </x:c>
      <x:c r="B8" s="98" t="str">
        <x:v>Revision 1</x:v>
      </x:c>
      <x:c r="C8" s="98" t="n">
        <x:v>1</x:v>
      </x:c>
      <x:c r="D8" s="98" t="n">
        <x:v>2</x:v>
      </x:c>
      <x:c r="E8" s="98" t="n">
        <x:v>152</x:v>
      </x:c>
      <x:c r="F8" s="99" t="str">
        <x:v>Getting Started</x:v>
      </x:c>
      <x:c r="G8" s="99" t="str">
        <x:v>Output Zero</x:v>
      </x:c>
      <x:c r="H8" s="99" t="str">
        <x:v>Blind re-solve and repair the exact mistake from Pass 1.</x:v>
      </x:c>
      <x:c r="I8" s="98" t="str">
        <x:v>Not Started</x:v>
      </x:c>
      <x:c r="J8" s="98"/>
      <x:c r="K8" s="98" t="str">
        <x:v>None</x:v>
      </x:c>
      <x:c r="L8" s="99"/>
      <x:c r="M8" s="99"/>
      <x:c r="N8" s="99"/>
    </x:row>
    <x:row r="9" ht="34.5" customHeight="1">
      <x:c r="A9" s="34" t="n">
        <x:v>46235</x:v>
      </x:c>
      <x:c r="B9" s="98" t="str">
        <x:v>Revision 1</x:v>
      </x:c>
      <x:c r="C9" s="98" t="n">
        <x:v>1</x:v>
      </x:c>
      <x:c r="D9" s="98" t="n">
        <x:v>3</x:v>
      </x:c>
      <x:c r="E9" s="98" t="n">
        <x:v>1</x:v>
      </x:c>
      <x:c r="F9" s="99" t="str">
        <x:v>Verilog Language → Basics</x:v>
      </x:c>
      <x:c r="G9" s="99" t="str">
        <x:v>Simple wire</x:v>
      </x:c>
      <x:c r="H9" s="99" t="str">
        <x:v>Blind re-solve and repair the exact mistake from Pass 1.</x:v>
      </x:c>
      <x:c r="I9" s="98" t="str">
        <x:v>Not Started</x:v>
      </x:c>
      <x:c r="J9" s="98"/>
      <x:c r="K9" s="98" t="str">
        <x:v>None</x:v>
      </x:c>
      <x:c r="L9" s="99"/>
      <x:c r="M9" s="99"/>
      <x:c r="N9" s="99"/>
    </x:row>
    <x:row r="10" ht="34.5" customHeight="1">
      <x:c r="A10" s="34" t="n">
        <x:v>46235</x:v>
      </x:c>
      <x:c r="B10" s="98" t="str">
        <x:v>Revision 1</x:v>
      </x:c>
      <x:c r="C10" s="98" t="n">
        <x:v>1</x:v>
      </x:c>
      <x:c r="D10" s="98" t="n">
        <x:v>4</x:v>
      </x:c>
      <x:c r="E10" s="98" t="n">
        <x:v>2</x:v>
      </x:c>
      <x:c r="F10" s="99" t="str">
        <x:v>Verilog Language → Basics</x:v>
      </x:c>
      <x:c r="G10" s="99" t="str">
        <x:v>Four wires</x:v>
      </x:c>
      <x:c r="H10" s="99" t="str">
        <x:v>Blind re-solve and repair the exact mistake from Pass 1.</x:v>
      </x:c>
      <x:c r="I10" s="98" t="str">
        <x:v>Not Started</x:v>
      </x:c>
      <x:c r="J10" s="98"/>
      <x:c r="K10" s="98" t="str">
        <x:v>None</x:v>
      </x:c>
      <x:c r="L10" s="99"/>
      <x:c r="M10" s="99"/>
      <x:c r="N10" s="99"/>
    </x:row>
    <x:row r="11" ht="34.5" customHeight="1">
      <x:c r="A11" s="34" t="n">
        <x:v>46235</x:v>
      </x:c>
      <x:c r="B11" s="98" t="str">
        <x:v>Revision 1</x:v>
      </x:c>
      <x:c r="C11" s="98" t="n">
        <x:v>1</x:v>
      </x:c>
      <x:c r="D11" s="98" t="n">
        <x:v>5</x:v>
      </x:c>
      <x:c r="E11" s="98" t="n">
        <x:v>3</x:v>
      </x:c>
      <x:c r="F11" s="99" t="str">
        <x:v>Verilog Language → Basics</x:v>
      </x:c>
      <x:c r="G11" s="99" t="str">
        <x:v>Inverter</x:v>
      </x:c>
      <x:c r="H11" s="99" t="str">
        <x:v>Blind re-solve and repair the exact mistake from Pass 1.</x:v>
      </x:c>
      <x:c r="I11" s="98" t="str">
        <x:v>Not Started</x:v>
      </x:c>
      <x:c r="J11" s="98"/>
      <x:c r="K11" s="98" t="str">
        <x:v>None</x:v>
      </x:c>
      <x:c r="L11" s="99"/>
      <x:c r="M11" s="99"/>
      <x:c r="N11" s="99"/>
    </x:row>
    <x:row r="12" ht="34.5" customHeight="1">
      <x:c r="A12" s="34" t="n">
        <x:v>46235</x:v>
      </x:c>
      <x:c r="B12" s="98" t="str">
        <x:v>Revision 1</x:v>
      </x:c>
      <x:c r="C12" s="98" t="n">
        <x:v>1</x:v>
      </x:c>
      <x:c r="D12" s="98" t="n">
        <x:v>6</x:v>
      </x:c>
      <x:c r="E12" s="98" t="n">
        <x:v>4</x:v>
      </x:c>
      <x:c r="F12" s="99" t="str">
        <x:v>Verilog Language → Basics</x:v>
      </x:c>
      <x:c r="G12" s="99" t="str">
        <x:v>AND gate</x:v>
      </x:c>
      <x:c r="H12" s="99" t="str">
        <x:v>Blind re-solve and repair the exact mistake from Pass 1.</x:v>
      </x:c>
      <x:c r="I12" s="98" t="str">
        <x:v>Not Started</x:v>
      </x:c>
      <x:c r="J12" s="98"/>
      <x:c r="K12" s="98" t="str">
        <x:v>None</x:v>
      </x:c>
      <x:c r="L12" s="99"/>
      <x:c r="M12" s="99"/>
      <x:c r="N12" s="99"/>
    </x:row>
    <x:row r="13" ht="34.5" customHeight="1">
      <x:c r="A13" s="34" t="n">
        <x:v>46235</x:v>
      </x:c>
      <x:c r="B13" s="98" t="str">
        <x:v>Revision 1</x:v>
      </x:c>
      <x:c r="C13" s="98" t="n">
        <x:v>1</x:v>
      </x:c>
      <x:c r="D13" s="98" t="n">
        <x:v>7</x:v>
      </x:c>
      <x:c r="E13" s="98" t="n">
        <x:v>5</x:v>
      </x:c>
      <x:c r="F13" s="99" t="str">
        <x:v>Verilog Language → Basics</x:v>
      </x:c>
      <x:c r="G13" s="99" t="str">
        <x:v>NOR gate</x:v>
      </x:c>
      <x:c r="H13" s="99" t="str">
        <x:v>Blind re-solve and repair the exact mistake from Pass 1.</x:v>
      </x:c>
      <x:c r="I13" s="98" t="str">
        <x:v>Not Started</x:v>
      </x:c>
      <x:c r="J13" s="98"/>
      <x:c r="K13" s="98" t="str">
        <x:v>None</x:v>
      </x:c>
      <x:c r="L13" s="99"/>
      <x:c r="M13" s="99"/>
      <x:c r="N13" s="99"/>
    </x:row>
    <x:row r="14" ht="34.5" customHeight="1">
      <x:c r="A14" s="34" t="n">
        <x:v>46235</x:v>
      </x:c>
      <x:c r="B14" s="98" t="str">
        <x:v>Revision 1</x:v>
      </x:c>
      <x:c r="C14" s="98" t="n">
        <x:v>1</x:v>
      </x:c>
      <x:c r="D14" s="98" t="n">
        <x:v>8</x:v>
      </x:c>
      <x:c r="E14" s="98" t="n">
        <x:v>6</x:v>
      </x:c>
      <x:c r="F14" s="99" t="str">
        <x:v>Verilog Language → Basics</x:v>
      </x:c>
      <x:c r="G14" s="99" t="str">
        <x:v>XNOR gate</x:v>
      </x:c>
      <x:c r="H14" s="99" t="str">
        <x:v>Blind re-solve and repair the exact mistake from Pass 1.</x:v>
      </x:c>
      <x:c r="I14" s="98" t="str">
        <x:v>Not Started</x:v>
      </x:c>
      <x:c r="J14" s="98"/>
      <x:c r="K14" s="98" t="str">
        <x:v>None</x:v>
      </x:c>
      <x:c r="L14" s="99"/>
      <x:c r="M14" s="99"/>
      <x:c r="N14" s="99"/>
    </x:row>
    <x:row r="15" ht="34.5" customHeight="1">
      <x:c r="A15" s="34" t="n">
        <x:v>46235</x:v>
      </x:c>
      <x:c r="B15" s="98" t="str">
        <x:v>Revision 1</x:v>
      </x:c>
      <x:c r="C15" s="98" t="n">
        <x:v>1</x:v>
      </x:c>
      <x:c r="D15" s="98" t="n">
        <x:v>9</x:v>
      </x:c>
      <x:c r="E15" s="98" t="n">
        <x:v>7</x:v>
      </x:c>
      <x:c r="F15" s="99" t="str">
        <x:v>Verilog Language → Basics</x:v>
      </x:c>
      <x:c r="G15" s="99" t="str">
        <x:v>Declaring wires</x:v>
      </x:c>
      <x:c r="H15" s="99" t="str">
        <x:v>Blind re-solve and repair the exact mistake from Pass 1.</x:v>
      </x:c>
      <x:c r="I15" s="98" t="str">
        <x:v>Not Started</x:v>
      </x:c>
      <x:c r="J15" s="98"/>
      <x:c r="K15" s="98" t="str">
        <x:v>None</x:v>
      </x:c>
      <x:c r="L15" s="99"/>
      <x:c r="M15" s="99"/>
      <x:c r="N15" s="99"/>
    </x:row>
    <x:row r="16" ht="34.5" customHeight="1">
      <x:c r="A16" s="34" t="n">
        <x:v>46235</x:v>
      </x:c>
      <x:c r="B16" s="98" t="str">
        <x:v>Revision 1</x:v>
      </x:c>
      <x:c r="C16" s="98" t="n">
        <x:v>1</x:v>
      </x:c>
      <x:c r="D16" s="98" t="n">
        <x:v>10</x:v>
      </x:c>
      <x:c r="E16" s="98" t="n">
        <x:v>8</x:v>
      </x:c>
      <x:c r="F16" s="99" t="str">
        <x:v>Verilog Language → Basics</x:v>
      </x:c>
      <x:c r="G16" s="99" t="str">
        <x:v>7458 chip</x:v>
      </x:c>
      <x:c r="H16" s="99" t="str">
        <x:v>Blind re-solve and repair the exact mistake from Pass 1.</x:v>
      </x:c>
      <x:c r="I16" s="98" t="str">
        <x:v>Not Started</x:v>
      </x:c>
      <x:c r="J16" s="98"/>
      <x:c r="K16" s="98" t="str">
        <x:v>None</x:v>
      </x:c>
      <x:c r="L16" s="99"/>
      <x:c r="M16" s="99"/>
      <x:c r="N16" s="99"/>
    </x:row>
    <x:row r="17" ht="34.5" customHeight="1">
      <x:c r="A17" s="34" t="n">
        <x:v>46236</x:v>
      </x:c>
      <x:c r="B17" s="98" t="str">
        <x:v>Revision 1</x:v>
      </x:c>
      <x:c r="C17" s="98" t="n">
        <x:v>2</x:v>
      </x:c>
      <x:c r="D17" s="98" t="n">
        <x:v>11</x:v>
      </x:c>
      <x:c r="E17" s="98" t="n">
        <x:v>9</x:v>
      </x:c>
      <x:c r="F17" s="99" t="str">
        <x:v>Verilog Language → Vectors</x:v>
      </x:c>
      <x:c r="G17" s="99" t="str">
        <x:v>Vectors</x:v>
      </x:c>
      <x:c r="H17" s="99" t="str">
        <x:v>Blind re-solve and repair the exact mistake from Pass 1.</x:v>
      </x:c>
      <x:c r="I17" s="98" t="str">
        <x:v>Not Started</x:v>
      </x:c>
      <x:c r="J17" s="98"/>
      <x:c r="K17" s="98" t="str">
        <x:v>None</x:v>
      </x:c>
      <x:c r="L17" s="99"/>
      <x:c r="M17" s="99"/>
      <x:c r="N17" s="99"/>
    </x:row>
    <x:row r="18" ht="34.5" customHeight="1">
      <x:c r="A18" s="34" t="n">
        <x:v>46236</x:v>
      </x:c>
      <x:c r="B18" s="98" t="str">
        <x:v>Revision 1</x:v>
      </x:c>
      <x:c r="C18" s="98" t="n">
        <x:v>2</x:v>
      </x:c>
      <x:c r="D18" s="98" t="n">
        <x:v>12</x:v>
      </x:c>
      <x:c r="E18" s="98" t="n">
        <x:v>10</x:v>
      </x:c>
      <x:c r="F18" s="99" t="str">
        <x:v>Verilog Language → Vectors</x:v>
      </x:c>
      <x:c r="G18" s="99" t="str">
        <x:v>Vectors in more detail</x:v>
      </x:c>
      <x:c r="H18" s="99" t="str">
        <x:v>Blind re-solve and repair the exact mistake from Pass 1.</x:v>
      </x:c>
      <x:c r="I18" s="98" t="str">
        <x:v>Not Started</x:v>
      </x:c>
      <x:c r="J18" s="98"/>
      <x:c r="K18" s="98" t="str">
        <x:v>None</x:v>
      </x:c>
      <x:c r="L18" s="99"/>
      <x:c r="M18" s="99"/>
      <x:c r="N18" s="99"/>
    </x:row>
    <x:row r="19" ht="34.5" customHeight="1">
      <x:c r="A19" s="34" t="n">
        <x:v>46236</x:v>
      </x:c>
      <x:c r="B19" s="98" t="str">
        <x:v>Revision 1</x:v>
      </x:c>
      <x:c r="C19" s="98" t="n">
        <x:v>2</x:v>
      </x:c>
      <x:c r="D19" s="98" t="n">
        <x:v>13</x:v>
      </x:c>
      <x:c r="E19" s="98" t="n">
        <x:v>11</x:v>
      </x:c>
      <x:c r="F19" s="99" t="str">
        <x:v>Verilog Language → Vectors</x:v>
      </x:c>
      <x:c r="G19" s="99" t="str">
        <x:v>Vector part select</x:v>
      </x:c>
      <x:c r="H19" s="99" t="str">
        <x:v>Blind re-solve and repair the exact mistake from Pass 1.</x:v>
      </x:c>
      <x:c r="I19" s="98" t="str">
        <x:v>Not Started</x:v>
      </x:c>
      <x:c r="J19" s="98"/>
      <x:c r="K19" s="98" t="str">
        <x:v>None</x:v>
      </x:c>
      <x:c r="L19" s="99"/>
      <x:c r="M19" s="99"/>
      <x:c r="N19" s="99"/>
    </x:row>
    <x:row r="20" ht="34.5" customHeight="1">
      <x:c r="A20" s="34" t="n">
        <x:v>46236</x:v>
      </x:c>
      <x:c r="B20" s="98" t="str">
        <x:v>Revision 1</x:v>
      </x:c>
      <x:c r="C20" s="98" t="n">
        <x:v>2</x:v>
      </x:c>
      <x:c r="D20" s="98" t="n">
        <x:v>14</x:v>
      </x:c>
      <x:c r="E20" s="98" t="n">
        <x:v>12</x:v>
      </x:c>
      <x:c r="F20" s="99" t="str">
        <x:v>Verilog Language → Vectors</x:v>
      </x:c>
      <x:c r="G20" s="99" t="str">
        <x:v>Bitwise operators</x:v>
      </x:c>
      <x:c r="H20" s="99" t="str">
        <x:v>Blind re-solve and repair the exact mistake from Pass 1.</x:v>
      </x:c>
      <x:c r="I20" s="98" t="str">
        <x:v>Not Started</x:v>
      </x:c>
      <x:c r="J20" s="98"/>
      <x:c r="K20" s="98" t="str">
        <x:v>None</x:v>
      </x:c>
      <x:c r="L20" s="99"/>
      <x:c r="M20" s="99"/>
      <x:c r="N20" s="99"/>
    </x:row>
    <x:row r="21" ht="34.5" customHeight="1">
      <x:c r="A21" s="34" t="n">
        <x:v>46236</x:v>
      </x:c>
      <x:c r="B21" s="98" t="str">
        <x:v>Revision 1</x:v>
      </x:c>
      <x:c r="C21" s="98" t="n">
        <x:v>2</x:v>
      </x:c>
      <x:c r="D21" s="98" t="n">
        <x:v>15</x:v>
      </x:c>
      <x:c r="E21" s="98" t="n">
        <x:v>13</x:v>
      </x:c>
      <x:c r="F21" s="99" t="str">
        <x:v>Verilog Language → Vectors</x:v>
      </x:c>
      <x:c r="G21" s="99" t="str">
        <x:v>Four-input gates</x:v>
      </x:c>
      <x:c r="H21" s="99" t="str">
        <x:v>Blind re-solve and repair the exact mistake from Pass 1.</x:v>
      </x:c>
      <x:c r="I21" s="98" t="str">
        <x:v>Not Started</x:v>
      </x:c>
      <x:c r="J21" s="98"/>
      <x:c r="K21" s="98" t="str">
        <x:v>None</x:v>
      </x:c>
      <x:c r="L21" s="99"/>
      <x:c r="M21" s="99"/>
      <x:c r="N21" s="99"/>
    </x:row>
    <x:row r="22" ht="34.5" customHeight="1">
      <x:c r="A22" s="34" t="n">
        <x:v>46236</x:v>
      </x:c>
      <x:c r="B22" s="98" t="str">
        <x:v>Revision 1</x:v>
      </x:c>
      <x:c r="C22" s="98" t="n">
        <x:v>2</x:v>
      </x:c>
      <x:c r="D22" s="98" t="n">
        <x:v>16</x:v>
      </x:c>
      <x:c r="E22" s="98" t="n">
        <x:v>14</x:v>
      </x:c>
      <x:c r="F22" s="99" t="str">
        <x:v>Verilog Language → Vectors</x:v>
      </x:c>
      <x:c r="G22" s="99" t="str">
        <x:v>Vector concatenation operator</x:v>
      </x:c>
      <x:c r="H22" s="99" t="str">
        <x:v>Blind re-solve and repair the exact mistake from Pass 1.</x:v>
      </x:c>
      <x:c r="I22" s="98" t="str">
        <x:v>Not Started</x:v>
      </x:c>
      <x:c r="J22" s="98"/>
      <x:c r="K22" s="98" t="str">
        <x:v>None</x:v>
      </x:c>
      <x:c r="L22" s="99"/>
      <x:c r="M22" s="99"/>
      <x:c r="N22" s="99"/>
    </x:row>
    <x:row r="23" ht="34.5" customHeight="1">
      <x:c r="A23" s="34" t="n">
        <x:v>46236</x:v>
      </x:c>
      <x:c r="B23" s="98" t="str">
        <x:v>Revision 1</x:v>
      </x:c>
      <x:c r="C23" s="98" t="n">
        <x:v>2</x:v>
      </x:c>
      <x:c r="D23" s="98" t="n">
        <x:v>17</x:v>
      </x:c>
      <x:c r="E23" s="98" t="n">
        <x:v>15</x:v>
      </x:c>
      <x:c r="F23" s="99" t="str">
        <x:v>Verilog Language → Vectors</x:v>
      </x:c>
      <x:c r="G23" s="99" t="str">
        <x:v>Vector reversal 1</x:v>
      </x:c>
      <x:c r="H23" s="99" t="str">
        <x:v>Blind re-solve and repair the exact mistake from Pass 1.</x:v>
      </x:c>
      <x:c r="I23" s="98" t="str">
        <x:v>Not Started</x:v>
      </x:c>
      <x:c r="J23" s="98"/>
      <x:c r="K23" s="98" t="str">
        <x:v>None</x:v>
      </x:c>
      <x:c r="L23" s="99"/>
      <x:c r="M23" s="99"/>
      <x:c r="N23" s="99"/>
    </x:row>
    <x:row r="24" ht="34.5" customHeight="1">
      <x:c r="A24" s="34" t="n">
        <x:v>46236</x:v>
      </x:c>
      <x:c r="B24" s="98" t="str">
        <x:v>Revision 1</x:v>
      </x:c>
      <x:c r="C24" s="98" t="n">
        <x:v>2</x:v>
      </x:c>
      <x:c r="D24" s="98" t="n">
        <x:v>18</x:v>
      </x:c>
      <x:c r="E24" s="98" t="n">
        <x:v>16</x:v>
      </x:c>
      <x:c r="F24" s="99" t="str">
        <x:v>Verilog Language → Vectors</x:v>
      </x:c>
      <x:c r="G24" s="99" t="str">
        <x:v>Replication operator</x:v>
      </x:c>
      <x:c r="H24" s="99" t="str">
        <x:v>Blind re-solve and repair the exact mistake from Pass 1.</x:v>
      </x:c>
      <x:c r="I24" s="98" t="str">
        <x:v>Not Started</x:v>
      </x:c>
      <x:c r="J24" s="98"/>
      <x:c r="K24" s="98" t="str">
        <x:v>None</x:v>
      </x:c>
      <x:c r="L24" s="99"/>
      <x:c r="M24" s="99"/>
      <x:c r="N24" s="99"/>
    </x:row>
    <x:row r="25" ht="34.5" customHeight="1">
      <x:c r="A25" s="34" t="n">
        <x:v>46236</x:v>
      </x:c>
      <x:c r="B25" s="98" t="str">
        <x:v>Revision 1</x:v>
      </x:c>
      <x:c r="C25" s="98" t="n">
        <x:v>2</x:v>
      </x:c>
      <x:c r="D25" s="98" t="n">
        <x:v>19</x:v>
      </x:c>
      <x:c r="E25" s="98" t="n">
        <x:v>17</x:v>
      </x:c>
      <x:c r="F25" s="99" t="str">
        <x:v>Verilog Language → Vectors</x:v>
      </x:c>
      <x:c r="G25" s="99" t="str">
        <x:v>More replication</x:v>
      </x:c>
      <x:c r="H25" s="99" t="str">
        <x:v>Blind re-solve and repair the exact mistake from Pass 1.</x:v>
      </x:c>
      <x:c r="I25" s="98" t="str">
        <x:v>Not Started</x:v>
      </x:c>
      <x:c r="J25" s="98"/>
      <x:c r="K25" s="98" t="str">
        <x:v>None</x:v>
      </x:c>
      <x:c r="L25" s="99"/>
      <x:c r="M25" s="99"/>
      <x:c r="N25" s="99"/>
    </x:row>
    <x:row r="26" ht="34.5" customHeight="1">
      <x:c r="A26" s="34" t="n">
        <x:v>46236</x:v>
      </x:c>
      <x:c r="B26" s="98" t="str">
        <x:v>Revision 1</x:v>
      </x:c>
      <x:c r="C26" s="98" t="n">
        <x:v>2</x:v>
      </x:c>
      <x:c r="D26" s="98" t="n">
        <x:v>20</x:v>
      </x:c>
      <x:c r="E26" s="98" t="n">
        <x:v>18</x:v>
      </x:c>
      <x:c r="F26" s="99" t="str">
        <x:v>Verilog Language → Modules: Hierarchy</x:v>
      </x:c>
      <x:c r="G26" s="99" t="str">
        <x:v>Modules</x:v>
      </x:c>
      <x:c r="H26" s="99" t="str">
        <x:v>Blind re-solve and repair the exact mistake from Pass 1.</x:v>
      </x:c>
      <x:c r="I26" s="98" t="str">
        <x:v>Not Started</x:v>
      </x:c>
      <x:c r="J26" s="98"/>
      <x:c r="K26" s="98" t="str">
        <x:v>None</x:v>
      </x:c>
      <x:c r="L26" s="99"/>
      <x:c r="M26" s="99"/>
      <x:c r="N26" s="99"/>
    </x:row>
    <x:row r="27" ht="34.5" customHeight="1">
      <x:c r="A27" s="34" t="n">
        <x:v>46237</x:v>
      </x:c>
      <x:c r="B27" s="98" t="str">
        <x:v>Revision 1</x:v>
      </x:c>
      <x:c r="C27" s="98" t="n">
        <x:v>3</x:v>
      </x:c>
      <x:c r="D27" s="98" t="n">
        <x:v>21</x:v>
      </x:c>
      <x:c r="E27" s="98" t="n">
        <x:v>19</x:v>
      </x:c>
      <x:c r="F27" s="99" t="str">
        <x:v>Verilog Language → Modules: Hierarchy</x:v>
      </x:c>
      <x:c r="G27" s="99" t="str">
        <x:v>Connecting ports by position</x:v>
      </x:c>
      <x:c r="H27" s="99" t="str">
        <x:v>Blind re-solve and repair the exact mistake from Pass 1.</x:v>
      </x:c>
      <x:c r="I27" s="98" t="str">
        <x:v>Not Started</x:v>
      </x:c>
      <x:c r="J27" s="98"/>
      <x:c r="K27" s="98" t="str">
        <x:v>None</x:v>
      </x:c>
      <x:c r="L27" s="99"/>
      <x:c r="M27" s="99"/>
      <x:c r="N27" s="99"/>
    </x:row>
    <x:row r="28" ht="34.5" customHeight="1">
      <x:c r="A28" s="34" t="n">
        <x:v>46237</x:v>
      </x:c>
      <x:c r="B28" s="98" t="str">
        <x:v>Revision 1</x:v>
      </x:c>
      <x:c r="C28" s="98" t="n">
        <x:v>3</x:v>
      </x:c>
      <x:c r="D28" s="98" t="n">
        <x:v>22</x:v>
      </x:c>
      <x:c r="E28" s="98" t="n">
        <x:v>20</x:v>
      </x:c>
      <x:c r="F28" s="99" t="str">
        <x:v>Verilog Language → Modules: Hierarchy</x:v>
      </x:c>
      <x:c r="G28" s="99" t="str">
        <x:v>Connecting ports by name</x:v>
      </x:c>
      <x:c r="H28" s="99" t="str">
        <x:v>Blind re-solve and repair the exact mistake from Pass 1.</x:v>
      </x:c>
      <x:c r="I28" s="98" t="str">
        <x:v>Not Started</x:v>
      </x:c>
      <x:c r="J28" s="98"/>
      <x:c r="K28" s="98" t="str">
        <x:v>None</x:v>
      </x:c>
      <x:c r="L28" s="99"/>
      <x:c r="M28" s="99"/>
      <x:c r="N28" s="99"/>
    </x:row>
    <x:row r="29" ht="34.5" customHeight="1">
      <x:c r="A29" s="34" t="n">
        <x:v>46237</x:v>
      </x:c>
      <x:c r="B29" s="98" t="str">
        <x:v>Revision 1</x:v>
      </x:c>
      <x:c r="C29" s="98" t="n">
        <x:v>3</x:v>
      </x:c>
      <x:c r="D29" s="98" t="n">
        <x:v>23</x:v>
      </x:c>
      <x:c r="E29" s="98" t="n">
        <x:v>21</x:v>
      </x:c>
      <x:c r="F29" s="99" t="str">
        <x:v>Verilog Language → Modules: Hierarchy</x:v>
      </x:c>
      <x:c r="G29" s="99" t="str">
        <x:v>Three modules</x:v>
      </x:c>
      <x:c r="H29" s="99" t="str">
        <x:v>Blind re-solve and repair the exact mistake from Pass 1.</x:v>
      </x:c>
      <x:c r="I29" s="98" t="str">
        <x:v>Not Started</x:v>
      </x:c>
      <x:c r="J29" s="98"/>
      <x:c r="K29" s="98" t="str">
        <x:v>None</x:v>
      </x:c>
      <x:c r="L29" s="99"/>
      <x:c r="M29" s="99"/>
      <x:c r="N29" s="99"/>
    </x:row>
    <x:row r="30" ht="34.5" customHeight="1">
      <x:c r="A30" s="34" t="n">
        <x:v>46237</x:v>
      </x:c>
      <x:c r="B30" s="98" t="str">
        <x:v>Revision 1</x:v>
      </x:c>
      <x:c r="C30" s="98" t="n">
        <x:v>3</x:v>
      </x:c>
      <x:c r="D30" s="98" t="n">
        <x:v>24</x:v>
      </x:c>
      <x:c r="E30" s="98" t="n">
        <x:v>22</x:v>
      </x:c>
      <x:c r="F30" s="99" t="str">
        <x:v>Verilog Language → Modules: Hierarchy</x:v>
      </x:c>
      <x:c r="G30" s="99" t="str">
        <x:v>Modules and vectors</x:v>
      </x:c>
      <x:c r="H30" s="99" t="str">
        <x:v>Blind re-solve and repair the exact mistake from Pass 1.</x:v>
      </x:c>
      <x:c r="I30" s="98" t="str">
        <x:v>Not Started</x:v>
      </x:c>
      <x:c r="J30" s="98"/>
      <x:c r="K30" s="98" t="str">
        <x:v>None</x:v>
      </x:c>
      <x:c r="L30" s="99"/>
      <x:c r="M30" s="99"/>
      <x:c r="N30" s="99"/>
    </x:row>
    <x:row r="31" ht="34.5" customHeight="1">
      <x:c r="A31" s="34" t="n">
        <x:v>46237</x:v>
      </x:c>
      <x:c r="B31" s="98" t="str">
        <x:v>Revision 1</x:v>
      </x:c>
      <x:c r="C31" s="98" t="n">
        <x:v>3</x:v>
      </x:c>
      <x:c r="D31" s="98" t="n">
        <x:v>25</x:v>
      </x:c>
      <x:c r="E31" s="98" t="n">
        <x:v>23</x:v>
      </x:c>
      <x:c r="F31" s="99" t="str">
        <x:v>Verilog Language → Modules: Hierarchy</x:v>
      </x:c>
      <x:c r="G31" s="99" t="str">
        <x:v>Adder 1</x:v>
      </x:c>
      <x:c r="H31" s="99" t="str">
        <x:v>Blind re-solve and repair the exact mistake from Pass 1.</x:v>
      </x:c>
      <x:c r="I31" s="98" t="str">
        <x:v>Not Started</x:v>
      </x:c>
      <x:c r="J31" s="98"/>
      <x:c r="K31" s="98" t="str">
        <x:v>None</x:v>
      </x:c>
      <x:c r="L31" s="99"/>
      <x:c r="M31" s="99"/>
      <x:c r="N31" s="99"/>
    </x:row>
    <x:row r="32" ht="34.5" customHeight="1">
      <x:c r="A32" s="34" t="n">
        <x:v>46237</x:v>
      </x:c>
      <x:c r="B32" s="98" t="str">
        <x:v>Revision 1</x:v>
      </x:c>
      <x:c r="C32" s="98" t="n">
        <x:v>3</x:v>
      </x:c>
      <x:c r="D32" s="98" t="n">
        <x:v>26</x:v>
      </x:c>
      <x:c r="E32" s="98" t="n">
        <x:v>24</x:v>
      </x:c>
      <x:c r="F32" s="99" t="str">
        <x:v>Verilog Language → Modules: Hierarchy</x:v>
      </x:c>
      <x:c r="G32" s="99" t="str">
        <x:v>Adder 2</x:v>
      </x:c>
      <x:c r="H32" s="99" t="str">
        <x:v>Blind re-solve and repair the exact mistake from Pass 1.</x:v>
      </x:c>
      <x:c r="I32" s="98" t="str">
        <x:v>Not Started</x:v>
      </x:c>
      <x:c r="J32" s="98"/>
      <x:c r="K32" s="98" t="str">
        <x:v>None</x:v>
      </x:c>
      <x:c r="L32" s="99"/>
      <x:c r="M32" s="99"/>
      <x:c r="N32" s="99"/>
    </x:row>
    <x:row r="33" ht="34.5" customHeight="1">
      <x:c r="A33" s="34" t="n">
        <x:v>46237</x:v>
      </x:c>
      <x:c r="B33" s="98" t="str">
        <x:v>Revision 1</x:v>
      </x:c>
      <x:c r="C33" s="98" t="n">
        <x:v>3</x:v>
      </x:c>
      <x:c r="D33" s="98" t="n">
        <x:v>27</x:v>
      </x:c>
      <x:c r="E33" s="98" t="n">
        <x:v>25</x:v>
      </x:c>
      <x:c r="F33" s="99" t="str">
        <x:v>Verilog Language → Modules: Hierarchy</x:v>
      </x:c>
      <x:c r="G33" s="99" t="str">
        <x:v>Carry-select adder</x:v>
      </x:c>
      <x:c r="H33" s="99" t="str">
        <x:v>Blind re-solve and repair the exact mistake from Pass 1.</x:v>
      </x:c>
      <x:c r="I33" s="98" t="str">
        <x:v>Not Started</x:v>
      </x:c>
      <x:c r="J33" s="98"/>
      <x:c r="K33" s="98" t="str">
        <x:v>None</x:v>
      </x:c>
      <x:c r="L33" s="99"/>
      <x:c r="M33" s="99"/>
      <x:c r="N33" s="99"/>
    </x:row>
    <x:row r="34" ht="34.5" customHeight="1">
      <x:c r="A34" s="34" t="n">
        <x:v>46237</x:v>
      </x:c>
      <x:c r="B34" s="98" t="str">
        <x:v>Revision 1</x:v>
      </x:c>
      <x:c r="C34" s="98" t="n">
        <x:v>3</x:v>
      </x:c>
      <x:c r="D34" s="98" t="n">
        <x:v>28</x:v>
      </x:c>
      <x:c r="E34" s="98" t="n">
        <x:v>26</x:v>
      </x:c>
      <x:c r="F34" s="99" t="str">
        <x:v>Verilog Language → Modules: Hierarchy</x:v>
      </x:c>
      <x:c r="G34" s="99" t="str">
        <x:v>Adder-subtractor</x:v>
      </x:c>
      <x:c r="H34" s="99" t="str">
        <x:v>Blind re-solve and repair the exact mistake from Pass 1.</x:v>
      </x:c>
      <x:c r="I34" s="98" t="str">
        <x:v>Not Started</x:v>
      </x:c>
      <x:c r="J34" s="98"/>
      <x:c r="K34" s="98" t="str">
        <x:v>None</x:v>
      </x:c>
      <x:c r="L34" s="99"/>
      <x:c r="M34" s="99"/>
      <x:c r="N34" s="99"/>
    </x:row>
    <x:row r="35" ht="34.5" customHeight="1">
      <x:c r="A35" s="34" t="n">
        <x:v>46237</x:v>
      </x:c>
      <x:c r="B35" s="98" t="str">
        <x:v>Revision 1</x:v>
      </x:c>
      <x:c r="C35" s="98" t="n">
        <x:v>3</x:v>
      </x:c>
      <x:c r="D35" s="98" t="n">
        <x:v>29</x:v>
      </x:c>
      <x:c r="E35" s="98" t="n">
        <x:v>27</x:v>
      </x:c>
      <x:c r="F35" s="99" t="str">
        <x:v>Verilog Language → Procedures</x:v>
      </x:c>
      <x:c r="G35" s="99" t="str">
        <x:v>Always blocks (combinational)</x:v>
      </x:c>
      <x:c r="H35" s="99" t="str">
        <x:v>Blind re-solve and repair the exact mistake from Pass 1.</x:v>
      </x:c>
      <x:c r="I35" s="98" t="str">
        <x:v>Not Started</x:v>
      </x:c>
      <x:c r="J35" s="98"/>
      <x:c r="K35" s="98" t="str">
        <x:v>None</x:v>
      </x:c>
      <x:c r="L35" s="99"/>
      <x:c r="M35" s="99"/>
      <x:c r="N35" s="99"/>
    </x:row>
    <x:row r="36" ht="34.5" customHeight="1">
      <x:c r="A36" s="34" t="n">
        <x:v>46237</x:v>
      </x:c>
      <x:c r="B36" s="98" t="str">
        <x:v>Revision 1</x:v>
      </x:c>
      <x:c r="C36" s="98" t="n">
        <x:v>3</x:v>
      </x:c>
      <x:c r="D36" s="98" t="n">
        <x:v>30</x:v>
      </x:c>
      <x:c r="E36" s="98" t="n">
        <x:v>28</x:v>
      </x:c>
      <x:c r="F36" s="99" t="str">
        <x:v>Verilog Language → Procedures</x:v>
      </x:c>
      <x:c r="G36" s="99" t="str">
        <x:v>Always blocks (clocked)</x:v>
      </x:c>
      <x:c r="H36" s="99" t="str">
        <x:v>Blind re-solve and repair the exact mistake from Pass 1.</x:v>
      </x:c>
      <x:c r="I36" s="98" t="str">
        <x:v>Not Started</x:v>
      </x:c>
      <x:c r="J36" s="98"/>
      <x:c r="K36" s="98" t="str">
        <x:v>None</x:v>
      </x:c>
      <x:c r="L36" s="99"/>
      <x:c r="M36" s="99"/>
      <x:c r="N36" s="99"/>
    </x:row>
    <x:row r="37" ht="34.5" customHeight="1">
      <x:c r="A37" s="34" t="n">
        <x:v>46238</x:v>
      </x:c>
      <x:c r="B37" s="98" t="str">
        <x:v>Revision 1</x:v>
      </x:c>
      <x:c r="C37" s="98" t="n">
        <x:v>4</x:v>
      </x:c>
      <x:c r="D37" s="98" t="n">
        <x:v>31</x:v>
      </x:c>
      <x:c r="E37" s="98" t="n">
        <x:v>29</x:v>
      </x:c>
      <x:c r="F37" s="99" t="str">
        <x:v>Verilog Language → Procedures</x:v>
      </x:c>
      <x:c r="G37" s="99" t="str">
        <x:v>If statement</x:v>
      </x:c>
      <x:c r="H37" s="99" t="str">
        <x:v>Blind re-solve and repair the exact mistake from Pass 1.</x:v>
      </x:c>
      <x:c r="I37" s="98" t="str">
        <x:v>Not Started</x:v>
      </x:c>
      <x:c r="J37" s="98"/>
      <x:c r="K37" s="98" t="str">
        <x:v>None</x:v>
      </x:c>
      <x:c r="L37" s="99"/>
      <x:c r="M37" s="99"/>
      <x:c r="N37" s="99"/>
    </x:row>
    <x:row r="38" ht="34.5" customHeight="1">
      <x:c r="A38" s="34" t="n">
        <x:v>46238</x:v>
      </x:c>
      <x:c r="B38" s="98" t="str">
        <x:v>Revision 1</x:v>
      </x:c>
      <x:c r="C38" s="98" t="n">
        <x:v>4</x:v>
      </x:c>
      <x:c r="D38" s="98" t="n">
        <x:v>32</x:v>
      </x:c>
      <x:c r="E38" s="98" t="n">
        <x:v>30</x:v>
      </x:c>
      <x:c r="F38" s="99" t="str">
        <x:v>Verilog Language → Procedures</x:v>
      </x:c>
      <x:c r="G38" s="99" t="str">
        <x:v>If statement latches</x:v>
      </x:c>
      <x:c r="H38" s="99" t="str">
        <x:v>Blind re-solve and repair the exact mistake from Pass 1.</x:v>
      </x:c>
      <x:c r="I38" s="98" t="str">
        <x:v>Not Started</x:v>
      </x:c>
      <x:c r="J38" s="98"/>
      <x:c r="K38" s="98" t="str">
        <x:v>None</x:v>
      </x:c>
      <x:c r="L38" s="99"/>
      <x:c r="M38" s="99"/>
      <x:c r="N38" s="99"/>
    </x:row>
    <x:row r="39" ht="34.5" customHeight="1">
      <x:c r="A39" s="34" t="n">
        <x:v>46238</x:v>
      </x:c>
      <x:c r="B39" s="98" t="str">
        <x:v>Revision 1</x:v>
      </x:c>
      <x:c r="C39" s="98" t="n">
        <x:v>4</x:v>
      </x:c>
      <x:c r="D39" s="98" t="n">
        <x:v>33</x:v>
      </x:c>
      <x:c r="E39" s="98" t="n">
        <x:v>31</x:v>
      </x:c>
      <x:c r="F39" s="99" t="str">
        <x:v>Verilog Language → Procedures</x:v>
      </x:c>
      <x:c r="G39" s="99" t="str">
        <x:v>Case statement</x:v>
      </x:c>
      <x:c r="H39" s="99" t="str">
        <x:v>Blind re-solve and repair the exact mistake from Pass 1.</x:v>
      </x:c>
      <x:c r="I39" s="98" t="str">
        <x:v>Not Started</x:v>
      </x:c>
      <x:c r="J39" s="98"/>
      <x:c r="K39" s="98" t="str">
        <x:v>None</x:v>
      </x:c>
      <x:c r="L39" s="99"/>
      <x:c r="M39" s="99"/>
      <x:c r="N39" s="99"/>
    </x:row>
    <x:row r="40" ht="34.5" customHeight="1">
      <x:c r="A40" s="34" t="n">
        <x:v>46238</x:v>
      </x:c>
      <x:c r="B40" s="98" t="str">
        <x:v>Revision 1</x:v>
      </x:c>
      <x:c r="C40" s="98" t="n">
        <x:v>4</x:v>
      </x:c>
      <x:c r="D40" s="98" t="n">
        <x:v>34</x:v>
      </x:c>
      <x:c r="E40" s="98" t="n">
        <x:v>32</x:v>
      </x:c>
      <x:c r="F40" s="99" t="str">
        <x:v>Verilog Language → Procedures</x:v>
      </x:c>
      <x:c r="G40" s="99" t="str">
        <x:v>Priority encoder</x:v>
      </x:c>
      <x:c r="H40" s="99" t="str">
        <x:v>Blind re-solve and repair the exact mistake from Pass 1.</x:v>
      </x:c>
      <x:c r="I40" s="98" t="str">
        <x:v>Not Started</x:v>
      </x:c>
      <x:c r="J40" s="98"/>
      <x:c r="K40" s="98" t="str">
        <x:v>None</x:v>
      </x:c>
      <x:c r="L40" s="99"/>
      <x:c r="M40" s="99"/>
      <x:c r="N40" s="99"/>
    </x:row>
    <x:row r="41" ht="34.5" customHeight="1">
      <x:c r="A41" s="34" t="n">
        <x:v>46238</x:v>
      </x:c>
      <x:c r="B41" s="98" t="str">
        <x:v>Revision 1</x:v>
      </x:c>
      <x:c r="C41" s="98" t="n">
        <x:v>4</x:v>
      </x:c>
      <x:c r="D41" s="98" t="n">
        <x:v>35</x:v>
      </x:c>
      <x:c r="E41" s="98" t="n">
        <x:v>33</x:v>
      </x:c>
      <x:c r="F41" s="99" t="str">
        <x:v>Verilog Language → Procedures</x:v>
      </x:c>
      <x:c r="G41" s="99" t="str">
        <x:v>Priority encoder with casez</x:v>
      </x:c>
      <x:c r="H41" s="99" t="str">
        <x:v>Blind re-solve and repair the exact mistake from Pass 1.</x:v>
      </x:c>
      <x:c r="I41" s="98" t="str">
        <x:v>Not Started</x:v>
      </x:c>
      <x:c r="J41" s="98"/>
      <x:c r="K41" s="98" t="str">
        <x:v>None</x:v>
      </x:c>
      <x:c r="L41" s="99"/>
      <x:c r="M41" s="99"/>
      <x:c r="N41" s="99"/>
    </x:row>
    <x:row r="42" ht="34.5" customHeight="1">
      <x:c r="A42" s="34" t="n">
        <x:v>46238</x:v>
      </x:c>
      <x:c r="B42" s="98" t="str">
        <x:v>Revision 1</x:v>
      </x:c>
      <x:c r="C42" s="98" t="n">
        <x:v>4</x:v>
      </x:c>
      <x:c r="D42" s="98" t="n">
        <x:v>36</x:v>
      </x:c>
      <x:c r="E42" s="98" t="n">
        <x:v>34</x:v>
      </x:c>
      <x:c r="F42" s="99" t="str">
        <x:v>Verilog Language → Procedures</x:v>
      </x:c>
      <x:c r="G42" s="99" t="str">
        <x:v>Avoiding latches</x:v>
      </x:c>
      <x:c r="H42" s="99" t="str">
        <x:v>Blind re-solve and repair the exact mistake from Pass 1.</x:v>
      </x:c>
      <x:c r="I42" s="98" t="str">
        <x:v>Not Started</x:v>
      </x:c>
      <x:c r="J42" s="98"/>
      <x:c r="K42" s="98" t="str">
        <x:v>None</x:v>
      </x:c>
      <x:c r="L42" s="99"/>
      <x:c r="M42" s="99"/>
      <x:c r="N42" s="99"/>
    </x:row>
    <x:row r="43" ht="34.5" customHeight="1">
      <x:c r="A43" s="34" t="n">
        <x:v>46238</x:v>
      </x:c>
      <x:c r="B43" s="98" t="str">
        <x:v>Revision 1</x:v>
      </x:c>
      <x:c r="C43" s="98" t="n">
        <x:v>4</x:v>
      </x:c>
      <x:c r="D43" s="98" t="n">
        <x:v>37</x:v>
      </x:c>
      <x:c r="E43" s="98" t="n">
        <x:v>35</x:v>
      </x:c>
      <x:c r="F43" s="99" t="str">
        <x:v>Verilog Language → More Verilog Features</x:v>
      </x:c>
      <x:c r="G43" s="99" t="str">
        <x:v>Conditional ternary operator</x:v>
      </x:c>
      <x:c r="H43" s="99" t="str">
        <x:v>Blind re-solve and repair the exact mistake from Pass 1.</x:v>
      </x:c>
      <x:c r="I43" s="98" t="str">
        <x:v>Not Started</x:v>
      </x:c>
      <x:c r="J43" s="98"/>
      <x:c r="K43" s="98" t="str">
        <x:v>None</x:v>
      </x:c>
      <x:c r="L43" s="99"/>
      <x:c r="M43" s="99"/>
      <x:c r="N43" s="99"/>
    </x:row>
    <x:row r="44" ht="34.5" customHeight="1">
      <x:c r="A44" s="34" t="n">
        <x:v>46238</x:v>
      </x:c>
      <x:c r="B44" s="98" t="str">
        <x:v>Revision 1</x:v>
      </x:c>
      <x:c r="C44" s="98" t="n">
        <x:v>4</x:v>
      </x:c>
      <x:c r="D44" s="98" t="n">
        <x:v>38</x:v>
      </x:c>
      <x:c r="E44" s="98" t="n">
        <x:v>36</x:v>
      </x:c>
      <x:c r="F44" s="99" t="str">
        <x:v>Verilog Language → More Verilog Features</x:v>
      </x:c>
      <x:c r="G44" s="99" t="str">
        <x:v>Reduction operators</x:v>
      </x:c>
      <x:c r="H44" s="99" t="str">
        <x:v>Blind re-solve and repair the exact mistake from Pass 1.</x:v>
      </x:c>
      <x:c r="I44" s="98" t="str">
        <x:v>Not Started</x:v>
      </x:c>
      <x:c r="J44" s="98"/>
      <x:c r="K44" s="98" t="str">
        <x:v>None</x:v>
      </x:c>
      <x:c r="L44" s="99"/>
      <x:c r="M44" s="99"/>
      <x:c r="N44" s="99"/>
    </x:row>
    <x:row r="45" ht="34.5" customHeight="1">
      <x:c r="A45" s="34" t="n">
        <x:v>46238</x:v>
      </x:c>
      <x:c r="B45" s="98" t="str">
        <x:v>Revision 1</x:v>
      </x:c>
      <x:c r="C45" s="98" t="n">
        <x:v>4</x:v>
      </x:c>
      <x:c r="D45" s="98" t="n">
        <x:v>39</x:v>
      </x:c>
      <x:c r="E45" s="98" t="n">
        <x:v>37</x:v>
      </x:c>
      <x:c r="F45" s="99" t="str">
        <x:v>Verilog Language → More Verilog Features</x:v>
      </x:c>
      <x:c r="G45" s="99" t="str">
        <x:v>Reduction: Even wider gates</x:v>
      </x:c>
      <x:c r="H45" s="99" t="str">
        <x:v>Blind re-solve and repair the exact mistake from Pass 1.</x:v>
      </x:c>
      <x:c r="I45" s="98" t="str">
        <x:v>Not Started</x:v>
      </x:c>
      <x:c r="J45" s="98"/>
      <x:c r="K45" s="98" t="str">
        <x:v>None</x:v>
      </x:c>
      <x:c r="L45" s="99"/>
      <x:c r="M45" s="99"/>
      <x:c r="N45" s="99"/>
    </x:row>
    <x:row r="46" ht="34.5" customHeight="1">
      <x:c r="A46" s="34" t="n">
        <x:v>46238</x:v>
      </x:c>
      <x:c r="B46" s="98" t="str">
        <x:v>Revision 1</x:v>
      </x:c>
      <x:c r="C46" s="98" t="n">
        <x:v>4</x:v>
      </x:c>
      <x:c r="D46" s="98" t="n">
        <x:v>40</x:v>
      </x:c>
      <x:c r="E46" s="98" t="n">
        <x:v>38</x:v>
      </x:c>
      <x:c r="F46" s="99" t="str">
        <x:v>Verilog Language → More Verilog Features</x:v>
      </x:c>
      <x:c r="G46" s="99" t="str">
        <x:v>Combinational for-loop: Vector reversal 2</x:v>
      </x:c>
      <x:c r="H46" s="99" t="str">
        <x:v>Blind re-solve and repair the exact mistake from Pass 1.</x:v>
      </x:c>
      <x:c r="I46" s="98" t="str">
        <x:v>Not Started</x:v>
      </x:c>
      <x:c r="J46" s="98"/>
      <x:c r="K46" s="98" t="str">
        <x:v>None</x:v>
      </x:c>
      <x:c r="L46" s="99"/>
      <x:c r="M46" s="99"/>
      <x:c r="N46" s="99"/>
    </x:row>
    <x:row r="47" ht="34.5" customHeight="1">
      <x:c r="A47" s="34" t="n">
        <x:v>46239</x:v>
      </x:c>
      <x:c r="B47" s="98" t="str">
        <x:v>Revision 1</x:v>
      </x:c>
      <x:c r="C47" s="98" t="n">
        <x:v>5</x:v>
      </x:c>
      <x:c r="D47" s="98" t="n">
        <x:v>41</x:v>
      </x:c>
      <x:c r="E47" s="98" t="n">
        <x:v>39</x:v>
      </x:c>
      <x:c r="F47" s="99" t="str">
        <x:v>Verilog Language → More Verilog Features</x:v>
      </x:c>
      <x:c r="G47" s="99" t="str">
        <x:v>Combinational for-loop: 255-bit population count</x:v>
      </x:c>
      <x:c r="H47" s="99" t="str">
        <x:v>Blind re-solve and repair the exact mistake from Pass 1.</x:v>
      </x:c>
      <x:c r="I47" s="98" t="str">
        <x:v>Not Started</x:v>
      </x:c>
      <x:c r="J47" s="98"/>
      <x:c r="K47" s="98" t="str">
        <x:v>None</x:v>
      </x:c>
      <x:c r="L47" s="99"/>
      <x:c r="M47" s="99"/>
      <x:c r="N47" s="99"/>
    </x:row>
    <x:row r="48" ht="34.5" customHeight="1">
      <x:c r="A48" s="34" t="n">
        <x:v>46239</x:v>
      </x:c>
      <x:c r="B48" s="98" t="str">
        <x:v>Revision 1</x:v>
      </x:c>
      <x:c r="C48" s="98" t="n">
        <x:v>5</x:v>
      </x:c>
      <x:c r="D48" s="98" t="n">
        <x:v>42</x:v>
      </x:c>
      <x:c r="E48" s="98" t="n">
        <x:v>40</x:v>
      </x:c>
      <x:c r="F48" s="99" t="str">
        <x:v>Verilog Language → More Verilog Features</x:v>
      </x:c>
      <x:c r="G48" s="99" t="str">
        <x:v>Generate for-loop: 100-bit binary adder 2</x:v>
      </x:c>
      <x:c r="H48" s="99" t="str">
        <x:v>Blind re-solve and repair the exact mistake from Pass 1.</x:v>
      </x:c>
      <x:c r="I48" s="98" t="str">
        <x:v>Not Started</x:v>
      </x:c>
      <x:c r="J48" s="98"/>
      <x:c r="K48" s="98" t="str">
        <x:v>None</x:v>
      </x:c>
      <x:c r="L48" s="99"/>
      <x:c r="M48" s="99"/>
      <x:c r="N48" s="99"/>
    </x:row>
    <x:row r="49" ht="34.5" customHeight="1">
      <x:c r="A49" s="34" t="n">
        <x:v>46239</x:v>
      </x:c>
      <x:c r="B49" s="98" t="str">
        <x:v>Revision 1</x:v>
      </x:c>
      <x:c r="C49" s="98" t="n">
        <x:v>5</x:v>
      </x:c>
      <x:c r="D49" s="98" t="n">
        <x:v>43</x:v>
      </x:c>
      <x:c r="E49" s="98" t="n">
        <x:v>41</x:v>
      </x:c>
      <x:c r="F49" s="99" t="str">
        <x:v>Verilog Language → More Verilog Features</x:v>
      </x:c>
      <x:c r="G49" s="99" t="str">
        <x:v>Generate for-loop: 100-digit BCD adder</x:v>
      </x:c>
      <x:c r="H49" s="99" t="str">
        <x:v>Blind re-solve and repair the exact mistake from Pass 1.</x:v>
      </x:c>
      <x:c r="I49" s="98" t="str">
        <x:v>Not Started</x:v>
      </x:c>
      <x:c r="J49" s="98"/>
      <x:c r="K49" s="98" t="str">
        <x:v>None</x:v>
      </x:c>
      <x:c r="L49" s="99"/>
      <x:c r="M49" s="99"/>
      <x:c r="N49" s="99"/>
    </x:row>
    <x:row r="50" ht="34.5" customHeight="1">
      <x:c r="A50" s="34" t="n">
        <x:v>46239</x:v>
      </x:c>
      <x:c r="B50" s="98" t="str">
        <x:v>Revision 1</x:v>
      </x:c>
      <x:c r="C50" s="98" t="n">
        <x:v>5</x:v>
      </x:c>
      <x:c r="D50" s="98" t="n">
        <x:v>44</x:v>
      </x:c>
      <x:c r="E50" s="98" t="n">
        <x:v>42</x:v>
      </x:c>
      <x:c r="F50" s="99" t="str">
        <x:v>Circuits → Combinational Logic → Basic Gates</x:v>
      </x:c>
      <x:c r="G50" s="99" t="str">
        <x:v>Wire</x:v>
      </x:c>
      <x:c r="H50" s="99" t="str">
        <x:v>Blind re-solve and repair the exact mistake from Pass 1.</x:v>
      </x:c>
      <x:c r="I50" s="98" t="str">
        <x:v>Not Started</x:v>
      </x:c>
      <x:c r="J50" s="98"/>
      <x:c r="K50" s="98" t="str">
        <x:v>None</x:v>
      </x:c>
      <x:c r="L50" s="99"/>
      <x:c r="M50" s="99"/>
      <x:c r="N50" s="99"/>
    </x:row>
    <x:row r="51" ht="34.5" customHeight="1">
      <x:c r="A51" s="34" t="n">
        <x:v>46239</x:v>
      </x:c>
      <x:c r="B51" s="98" t="str">
        <x:v>Revision 1</x:v>
      </x:c>
      <x:c r="C51" s="98" t="n">
        <x:v>5</x:v>
      </x:c>
      <x:c r="D51" s="98" t="n">
        <x:v>45</x:v>
      </x:c>
      <x:c r="E51" s="98" t="n">
        <x:v>43</x:v>
      </x:c>
      <x:c r="F51" s="99" t="str">
        <x:v>Circuits → Combinational Logic → Basic Gates</x:v>
      </x:c>
      <x:c r="G51" s="99" t="str">
        <x:v>GND</x:v>
      </x:c>
      <x:c r="H51" s="99" t="str">
        <x:v>Blind re-solve and repair the exact mistake from Pass 1.</x:v>
      </x:c>
      <x:c r="I51" s="98" t="str">
        <x:v>Not Started</x:v>
      </x:c>
      <x:c r="J51" s="98"/>
      <x:c r="K51" s="98" t="str">
        <x:v>None</x:v>
      </x:c>
      <x:c r="L51" s="99"/>
      <x:c r="M51" s="99"/>
      <x:c r="N51" s="99"/>
    </x:row>
    <x:row r="52" ht="34.5" customHeight="1">
      <x:c r="A52" s="34" t="n">
        <x:v>46239</x:v>
      </x:c>
      <x:c r="B52" s="98" t="str">
        <x:v>Revision 1</x:v>
      </x:c>
      <x:c r="C52" s="98" t="n">
        <x:v>5</x:v>
      </x:c>
      <x:c r="D52" s="98" t="n">
        <x:v>46</x:v>
      </x:c>
      <x:c r="E52" s="98" t="n">
        <x:v>44</x:v>
      </x:c>
      <x:c r="F52" s="99" t="str">
        <x:v>Circuits → Combinational Logic → Basic Gates</x:v>
      </x:c>
      <x:c r="G52" s="99" t="str">
        <x:v>NOR</x:v>
      </x:c>
      <x:c r="H52" s="99" t="str">
        <x:v>Blind re-solve and repair the exact mistake from Pass 1.</x:v>
      </x:c>
      <x:c r="I52" s="98" t="str">
        <x:v>Not Started</x:v>
      </x:c>
      <x:c r="J52" s="98"/>
      <x:c r="K52" s="98" t="str">
        <x:v>None</x:v>
      </x:c>
      <x:c r="L52" s="99"/>
      <x:c r="M52" s="99"/>
      <x:c r="N52" s="99"/>
    </x:row>
    <x:row r="53" ht="34.5" customHeight="1">
      <x:c r="A53" s="34" t="n">
        <x:v>46239</x:v>
      </x:c>
      <x:c r="B53" s="98" t="str">
        <x:v>Revision 1</x:v>
      </x:c>
      <x:c r="C53" s="98" t="n">
        <x:v>5</x:v>
      </x:c>
      <x:c r="D53" s="98" t="n">
        <x:v>47</x:v>
      </x:c>
      <x:c r="E53" s="98" t="n">
        <x:v>45</x:v>
      </x:c>
      <x:c r="F53" s="99" t="str">
        <x:v>Circuits → Combinational Logic → Basic Gates</x:v>
      </x:c>
      <x:c r="G53" s="99" t="str">
        <x:v>Another gate</x:v>
      </x:c>
      <x:c r="H53" s="99" t="str">
        <x:v>Blind re-solve and repair the exact mistake from Pass 1.</x:v>
      </x:c>
      <x:c r="I53" s="98" t="str">
        <x:v>Not Started</x:v>
      </x:c>
      <x:c r="J53" s="98"/>
      <x:c r="K53" s="98" t="str">
        <x:v>None</x:v>
      </x:c>
      <x:c r="L53" s="99"/>
      <x:c r="M53" s="99"/>
      <x:c r="N53" s="99"/>
    </x:row>
    <x:row r="54" ht="34.5" customHeight="1">
      <x:c r="A54" s="34" t="n">
        <x:v>46239</x:v>
      </x:c>
      <x:c r="B54" s="98" t="str">
        <x:v>Revision 1</x:v>
      </x:c>
      <x:c r="C54" s="98" t="n">
        <x:v>5</x:v>
      </x:c>
      <x:c r="D54" s="98" t="n">
        <x:v>48</x:v>
      </x:c>
      <x:c r="E54" s="98" t="n">
        <x:v>46</x:v>
      </x:c>
      <x:c r="F54" s="99" t="str">
        <x:v>Circuits → Combinational Logic → Basic Gates</x:v>
      </x:c>
      <x:c r="G54" s="99" t="str">
        <x:v>Two gates</x:v>
      </x:c>
      <x:c r="H54" s="99" t="str">
        <x:v>Blind re-solve and repair the exact mistake from Pass 1.</x:v>
      </x:c>
      <x:c r="I54" s="98" t="str">
        <x:v>Not Started</x:v>
      </x:c>
      <x:c r="J54" s="98"/>
      <x:c r="K54" s="98" t="str">
        <x:v>None</x:v>
      </x:c>
      <x:c r="L54" s="99"/>
      <x:c r="M54" s="99"/>
      <x:c r="N54" s="99"/>
    </x:row>
    <x:row r="55" ht="34.5" customHeight="1">
      <x:c r="A55" s="34" t="n">
        <x:v>46239</x:v>
      </x:c>
      <x:c r="B55" s="98" t="str">
        <x:v>Revision 1</x:v>
      </x:c>
      <x:c r="C55" s="98" t="n">
        <x:v>5</x:v>
      </x:c>
      <x:c r="D55" s="98" t="n">
        <x:v>49</x:v>
      </x:c>
      <x:c r="E55" s="98" t="n">
        <x:v>47</x:v>
      </x:c>
      <x:c r="F55" s="99" t="str">
        <x:v>Circuits → Combinational Logic → Basic Gates</x:v>
      </x:c>
      <x:c r="G55" s="99" t="str">
        <x:v>More logic gates</x:v>
      </x:c>
      <x:c r="H55" s="99" t="str">
        <x:v>Blind re-solve and repair the exact mistake from Pass 1.</x:v>
      </x:c>
      <x:c r="I55" s="98" t="str">
        <x:v>Not Started</x:v>
      </x:c>
      <x:c r="J55" s="98"/>
      <x:c r="K55" s="98" t="str">
        <x:v>None</x:v>
      </x:c>
      <x:c r="L55" s="99"/>
      <x:c r="M55" s="99"/>
      <x:c r="N55" s="99"/>
    </x:row>
    <x:row r="56" ht="34.5" customHeight="1">
      <x:c r="A56" s="34" t="n">
        <x:v>46239</x:v>
      </x:c>
      <x:c r="B56" s="98" t="str">
        <x:v>Revision 1</x:v>
      </x:c>
      <x:c r="C56" s="98" t="n">
        <x:v>5</x:v>
      </x:c>
      <x:c r="D56" s="98" t="n">
        <x:v>50</x:v>
      </x:c>
      <x:c r="E56" s="98" t="n">
        <x:v>48</x:v>
      </x:c>
      <x:c r="F56" s="99" t="str">
        <x:v>Circuits → Combinational Logic → Basic Gates</x:v>
      </x:c>
      <x:c r="G56" s="99" t="str">
        <x:v>7420 chip</x:v>
      </x:c>
      <x:c r="H56" s="99" t="str">
        <x:v>Blind re-solve and repair the exact mistake from Pass 1.</x:v>
      </x:c>
      <x:c r="I56" s="98" t="str">
        <x:v>Not Started</x:v>
      </x:c>
      <x:c r="J56" s="98"/>
      <x:c r="K56" s="98" t="str">
        <x:v>None</x:v>
      </x:c>
      <x:c r="L56" s="99"/>
      <x:c r="M56" s="99"/>
      <x:c r="N56" s="99"/>
    </x:row>
    <x:row r="57" ht="34.5" customHeight="1">
      <x:c r="A57" s="34" t="n">
        <x:v>46240</x:v>
      </x:c>
      <x:c r="B57" s="98" t="str">
        <x:v>Revision 1</x:v>
      </x:c>
      <x:c r="C57" s="98" t="n">
        <x:v>6</x:v>
      </x:c>
      <x:c r="D57" s="98" t="n">
        <x:v>51</x:v>
      </x:c>
      <x:c r="E57" s="98" t="n">
        <x:v>49</x:v>
      </x:c>
      <x:c r="F57" s="99" t="str">
        <x:v>Circuits → Combinational Logic → Basic Gates</x:v>
      </x:c>
      <x:c r="G57" s="99" t="str">
        <x:v>Truth tables</x:v>
      </x:c>
      <x:c r="H57" s="99" t="str">
        <x:v>Blind re-solve and repair the exact mistake from Pass 1.</x:v>
      </x:c>
      <x:c r="I57" s="98" t="str">
        <x:v>Not Started</x:v>
      </x:c>
      <x:c r="J57" s="98"/>
      <x:c r="K57" s="98" t="str">
        <x:v>None</x:v>
      </x:c>
      <x:c r="L57" s="99"/>
      <x:c r="M57" s="99"/>
      <x:c r="N57" s="99"/>
    </x:row>
    <x:row r="58" ht="34.5" customHeight="1">
      <x:c r="A58" s="34" t="n">
        <x:v>46240</x:v>
      </x:c>
      <x:c r="B58" s="98" t="str">
        <x:v>Revision 1</x:v>
      </x:c>
      <x:c r="C58" s="98" t="n">
        <x:v>6</x:v>
      </x:c>
      <x:c r="D58" s="98" t="n">
        <x:v>52</x:v>
      </x:c>
      <x:c r="E58" s="98" t="n">
        <x:v>50</x:v>
      </x:c>
      <x:c r="F58" s="99" t="str">
        <x:v>Circuits → Combinational Logic → Basic Gates</x:v>
      </x:c>
      <x:c r="G58" s="99" t="str">
        <x:v>Two-bit equality</x:v>
      </x:c>
      <x:c r="H58" s="99" t="str">
        <x:v>Blind re-solve and repair the exact mistake from Pass 1.</x:v>
      </x:c>
      <x:c r="I58" s="98" t="str">
        <x:v>Not Started</x:v>
      </x:c>
      <x:c r="J58" s="98"/>
      <x:c r="K58" s="98" t="str">
        <x:v>None</x:v>
      </x:c>
      <x:c r="L58" s="99"/>
      <x:c r="M58" s="99"/>
      <x:c r="N58" s="99"/>
    </x:row>
    <x:row r="59" ht="34.5" customHeight="1">
      <x:c r="A59" s="34" t="n">
        <x:v>46240</x:v>
      </x:c>
      <x:c r="B59" s="98" t="str">
        <x:v>Revision 1</x:v>
      </x:c>
      <x:c r="C59" s="98" t="n">
        <x:v>6</x:v>
      </x:c>
      <x:c r="D59" s="98" t="n">
        <x:v>53</x:v>
      </x:c>
      <x:c r="E59" s="98" t="n">
        <x:v>51</x:v>
      </x:c>
      <x:c r="F59" s="99" t="str">
        <x:v>Circuits → Combinational Logic → Basic Gates</x:v>
      </x:c>
      <x:c r="G59" s="99" t="str">
        <x:v>Simple circuit A</x:v>
      </x:c>
      <x:c r="H59" s="99" t="str">
        <x:v>Blind re-solve and repair the exact mistake from Pass 1.</x:v>
      </x:c>
      <x:c r="I59" s="98" t="str">
        <x:v>Not Started</x:v>
      </x:c>
      <x:c r="J59" s="98"/>
      <x:c r="K59" s="98" t="str">
        <x:v>None</x:v>
      </x:c>
      <x:c r="L59" s="99"/>
      <x:c r="M59" s="99"/>
      <x:c r="N59" s="99"/>
    </x:row>
    <x:row r="60" ht="34.5" customHeight="1">
      <x:c r="A60" s="34" t="n">
        <x:v>46240</x:v>
      </x:c>
      <x:c r="B60" s="98" t="str">
        <x:v>Revision 1</x:v>
      </x:c>
      <x:c r="C60" s="98" t="n">
        <x:v>6</x:v>
      </x:c>
      <x:c r="D60" s="98" t="n">
        <x:v>54</x:v>
      </x:c>
      <x:c r="E60" s="98" t="n">
        <x:v>52</x:v>
      </x:c>
      <x:c r="F60" s="99" t="str">
        <x:v>Circuits → Combinational Logic → Basic Gates</x:v>
      </x:c>
      <x:c r="G60" s="99" t="str">
        <x:v>Simple circuit B</x:v>
      </x:c>
      <x:c r="H60" s="99" t="str">
        <x:v>Blind re-solve and repair the exact mistake from Pass 1.</x:v>
      </x:c>
      <x:c r="I60" s="98" t="str">
        <x:v>Not Started</x:v>
      </x:c>
      <x:c r="J60" s="98"/>
      <x:c r="K60" s="98" t="str">
        <x:v>None</x:v>
      </x:c>
      <x:c r="L60" s="99"/>
      <x:c r="M60" s="99"/>
      <x:c r="N60" s="99"/>
    </x:row>
    <x:row r="61" ht="34.5" customHeight="1">
      <x:c r="A61" s="34" t="n">
        <x:v>46240</x:v>
      </x:c>
      <x:c r="B61" s="98" t="str">
        <x:v>Revision 1</x:v>
      </x:c>
      <x:c r="C61" s="98" t="n">
        <x:v>6</x:v>
      </x:c>
      <x:c r="D61" s="98" t="n">
        <x:v>55</x:v>
      </x:c>
      <x:c r="E61" s="98" t="n">
        <x:v>53</x:v>
      </x:c>
      <x:c r="F61" s="99" t="str">
        <x:v>Circuits → Combinational Logic → Basic Gates</x:v>
      </x:c>
      <x:c r="G61" s="99" t="str">
        <x:v>Combine circuits A and B</x:v>
      </x:c>
      <x:c r="H61" s="99" t="str">
        <x:v>Blind re-solve and repair the exact mistake from Pass 1.</x:v>
      </x:c>
      <x:c r="I61" s="98" t="str">
        <x:v>Not Started</x:v>
      </x:c>
      <x:c r="J61" s="98"/>
      <x:c r="K61" s="98" t="str">
        <x:v>None</x:v>
      </x:c>
      <x:c r="L61" s="99"/>
      <x:c r="M61" s="99"/>
      <x:c r="N61" s="99"/>
    </x:row>
    <x:row r="62" ht="34.5" customHeight="1">
      <x:c r="A62" s="34" t="n">
        <x:v>46240</x:v>
      </x:c>
      <x:c r="B62" s="98" t="str">
        <x:v>Revision 1</x:v>
      </x:c>
      <x:c r="C62" s="98" t="n">
        <x:v>6</x:v>
      </x:c>
      <x:c r="D62" s="98" t="n">
        <x:v>56</x:v>
      </x:c>
      <x:c r="E62" s="98" t="n">
        <x:v>54</x:v>
      </x:c>
      <x:c r="F62" s="99" t="str">
        <x:v>Circuits → Combinational Logic → Basic Gates</x:v>
      </x:c>
      <x:c r="G62" s="99" t="str">
        <x:v>Ring or vibrate?</x:v>
      </x:c>
      <x:c r="H62" s="99" t="str">
        <x:v>Blind re-solve and repair the exact mistake from Pass 1.</x:v>
      </x:c>
      <x:c r="I62" s="98" t="str">
        <x:v>Not Started</x:v>
      </x:c>
      <x:c r="J62" s="98"/>
      <x:c r="K62" s="98" t="str">
        <x:v>None</x:v>
      </x:c>
      <x:c r="L62" s="99"/>
      <x:c r="M62" s="99"/>
      <x:c r="N62" s="99"/>
    </x:row>
    <x:row r="63" ht="34.5" customHeight="1">
      <x:c r="A63" s="34" t="n">
        <x:v>46240</x:v>
      </x:c>
      <x:c r="B63" s="98" t="str">
        <x:v>Revision 1</x:v>
      </x:c>
      <x:c r="C63" s="98" t="n">
        <x:v>6</x:v>
      </x:c>
      <x:c r="D63" s="98" t="n">
        <x:v>57</x:v>
      </x:c>
      <x:c r="E63" s="98" t="n">
        <x:v>55</x:v>
      </x:c>
      <x:c r="F63" s="99" t="str">
        <x:v>Circuits → Combinational Logic → Basic Gates</x:v>
      </x:c>
      <x:c r="G63" s="99" t="str">
        <x:v>Thermostat</x:v>
      </x:c>
      <x:c r="H63" s="99" t="str">
        <x:v>Blind re-solve and repair the exact mistake from Pass 1.</x:v>
      </x:c>
      <x:c r="I63" s="98" t="str">
        <x:v>Not Started</x:v>
      </x:c>
      <x:c r="J63" s="98"/>
      <x:c r="K63" s="98" t="str">
        <x:v>None</x:v>
      </x:c>
      <x:c r="L63" s="99"/>
      <x:c r="M63" s="99"/>
      <x:c r="N63" s="99"/>
    </x:row>
    <x:row r="64" ht="34.5" customHeight="1">
      <x:c r="A64" s="34" t="n">
        <x:v>46240</x:v>
      </x:c>
      <x:c r="B64" s="98" t="str">
        <x:v>Revision 1</x:v>
      </x:c>
      <x:c r="C64" s="98" t="n">
        <x:v>6</x:v>
      </x:c>
      <x:c r="D64" s="98" t="n">
        <x:v>58</x:v>
      </x:c>
      <x:c r="E64" s="98" t="n">
        <x:v>56</x:v>
      </x:c>
      <x:c r="F64" s="99" t="str">
        <x:v>Circuits → Combinational Logic → Basic Gates</x:v>
      </x:c>
      <x:c r="G64" s="99" t="str">
        <x:v>3-bit population count</x:v>
      </x:c>
      <x:c r="H64" s="99" t="str">
        <x:v>Blind re-solve and repair the exact mistake from Pass 1.</x:v>
      </x:c>
      <x:c r="I64" s="98" t="str">
        <x:v>Not Started</x:v>
      </x:c>
      <x:c r="J64" s="98"/>
      <x:c r="K64" s="98" t="str">
        <x:v>None</x:v>
      </x:c>
      <x:c r="L64" s="99"/>
      <x:c r="M64" s="99"/>
      <x:c r="N64" s="99"/>
    </x:row>
    <x:row r="65" ht="34.5" customHeight="1">
      <x:c r="A65" s="34" t="n">
        <x:v>46240</x:v>
      </x:c>
      <x:c r="B65" s="98" t="str">
        <x:v>Revision 1</x:v>
      </x:c>
      <x:c r="C65" s="98" t="n">
        <x:v>6</x:v>
      </x:c>
      <x:c r="D65" s="98" t="n">
        <x:v>59</x:v>
      </x:c>
      <x:c r="E65" s="98" t="n">
        <x:v>57</x:v>
      </x:c>
      <x:c r="F65" s="99" t="str">
        <x:v>Circuits → Combinational Logic → Basic Gates</x:v>
      </x:c>
      <x:c r="G65" s="99" t="str">
        <x:v>Gates and vectors</x:v>
      </x:c>
      <x:c r="H65" s="99" t="str">
        <x:v>Blind re-solve and repair the exact mistake from Pass 1.</x:v>
      </x:c>
      <x:c r="I65" s="98" t="str">
        <x:v>Not Started</x:v>
      </x:c>
      <x:c r="J65" s="98"/>
      <x:c r="K65" s="98" t="str">
        <x:v>None</x:v>
      </x:c>
      <x:c r="L65" s="99"/>
      <x:c r="M65" s="99"/>
      <x:c r="N65" s="99"/>
    </x:row>
    <x:row r="66" ht="34.5" customHeight="1">
      <x:c r="A66" s="34" t="n">
        <x:v>46240</x:v>
      </x:c>
      <x:c r="B66" s="98" t="str">
        <x:v>Revision 1</x:v>
      </x:c>
      <x:c r="C66" s="98" t="n">
        <x:v>6</x:v>
      </x:c>
      <x:c r="D66" s="98" t="n">
        <x:v>60</x:v>
      </x:c>
      <x:c r="E66" s="98" t="n">
        <x:v>58</x:v>
      </x:c>
      <x:c r="F66" s="99" t="str">
        <x:v>Circuits → Combinational Logic → Basic Gates</x:v>
      </x:c>
      <x:c r="G66" s="99" t="str">
        <x:v>Even longer vectors</x:v>
      </x:c>
      <x:c r="H66" s="99" t="str">
        <x:v>Blind re-solve and repair the exact mistake from Pass 1.</x:v>
      </x:c>
      <x:c r="I66" s="98" t="str">
        <x:v>Not Started</x:v>
      </x:c>
      <x:c r="J66" s="98"/>
      <x:c r="K66" s="98" t="str">
        <x:v>None</x:v>
      </x:c>
      <x:c r="L66" s="99"/>
      <x:c r="M66" s="99"/>
      <x:c r="N66" s="99"/>
    </x:row>
    <x:row r="67" ht="34.5" customHeight="1">
      <x:c r="A67" s="34" t="n">
        <x:v>46241</x:v>
      </x:c>
      <x:c r="B67" s="98" t="str">
        <x:v>Revision 1</x:v>
      </x:c>
      <x:c r="C67" s="98" t="n">
        <x:v>7</x:v>
      </x:c>
      <x:c r="D67" s="98" t="n">
        <x:v>61</x:v>
      </x:c>
      <x:c r="E67" s="98" t="n">
        <x:v>59</x:v>
      </x:c>
      <x:c r="F67" s="99" t="str">
        <x:v>Circuits → Combinational Logic → Multiplexers</x:v>
      </x:c>
      <x:c r="G67" s="99" t="str">
        <x:v>2-to-1 multiplexer</x:v>
      </x:c>
      <x:c r="H67" s="99" t="str">
        <x:v>Blind re-solve and repair the exact mistake from Pass 1.</x:v>
      </x:c>
      <x:c r="I67" s="98" t="str">
        <x:v>Not Started</x:v>
      </x:c>
      <x:c r="J67" s="98"/>
      <x:c r="K67" s="98" t="str">
        <x:v>None</x:v>
      </x:c>
      <x:c r="L67" s="99"/>
      <x:c r="M67" s="99"/>
      <x:c r="N67" s="99"/>
    </x:row>
    <x:row r="68" ht="34.5" customHeight="1">
      <x:c r="A68" s="34" t="n">
        <x:v>46241</x:v>
      </x:c>
      <x:c r="B68" s="98" t="str">
        <x:v>Revision 1</x:v>
      </x:c>
      <x:c r="C68" s="98" t="n">
        <x:v>7</x:v>
      </x:c>
      <x:c r="D68" s="98" t="n">
        <x:v>62</x:v>
      </x:c>
      <x:c r="E68" s="98" t="n">
        <x:v>60</x:v>
      </x:c>
      <x:c r="F68" s="99" t="str">
        <x:v>Circuits → Combinational Logic → Multiplexers</x:v>
      </x:c>
      <x:c r="G68" s="99" t="str">
        <x:v>2-to-1 bus multiplexer</x:v>
      </x:c>
      <x:c r="H68" s="99" t="str">
        <x:v>Blind re-solve and repair the exact mistake from Pass 1.</x:v>
      </x:c>
      <x:c r="I68" s="98" t="str">
        <x:v>Not Started</x:v>
      </x:c>
      <x:c r="J68" s="98"/>
      <x:c r="K68" s="98" t="str">
        <x:v>None</x:v>
      </x:c>
      <x:c r="L68" s="99"/>
      <x:c r="M68" s="99"/>
      <x:c r="N68" s="99"/>
    </x:row>
    <x:row r="69" ht="34.5" customHeight="1">
      <x:c r="A69" s="34" t="n">
        <x:v>46241</x:v>
      </x:c>
      <x:c r="B69" s="98" t="str">
        <x:v>Revision 1</x:v>
      </x:c>
      <x:c r="C69" s="98" t="n">
        <x:v>7</x:v>
      </x:c>
      <x:c r="D69" s="98" t="n">
        <x:v>63</x:v>
      </x:c>
      <x:c r="E69" s="98" t="n">
        <x:v>61</x:v>
      </x:c>
      <x:c r="F69" s="99" t="str">
        <x:v>Circuits → Combinational Logic → Multiplexers</x:v>
      </x:c>
      <x:c r="G69" s="99" t="str">
        <x:v>9-to-1 multiplexer</x:v>
      </x:c>
      <x:c r="H69" s="99" t="str">
        <x:v>Blind re-solve and repair the exact mistake from Pass 1.</x:v>
      </x:c>
      <x:c r="I69" s="98" t="str">
        <x:v>Not Started</x:v>
      </x:c>
      <x:c r="J69" s="98"/>
      <x:c r="K69" s="98" t="str">
        <x:v>None</x:v>
      </x:c>
      <x:c r="L69" s="99"/>
      <x:c r="M69" s="99"/>
      <x:c r="N69" s="99"/>
    </x:row>
    <x:row r="70" ht="34.5" customHeight="1">
      <x:c r="A70" s="34" t="n">
        <x:v>46241</x:v>
      </x:c>
      <x:c r="B70" s="98" t="str">
        <x:v>Revision 1</x:v>
      </x:c>
      <x:c r="C70" s="98" t="n">
        <x:v>7</x:v>
      </x:c>
      <x:c r="D70" s="98" t="n">
        <x:v>64</x:v>
      </x:c>
      <x:c r="E70" s="98" t="n">
        <x:v>62</x:v>
      </x:c>
      <x:c r="F70" s="99" t="str">
        <x:v>Circuits → Combinational Logic → Multiplexers</x:v>
      </x:c>
      <x:c r="G70" s="99" t="str">
        <x:v>256-to-1 multiplexer</x:v>
      </x:c>
      <x:c r="H70" s="99" t="str">
        <x:v>Blind re-solve and repair the exact mistake from Pass 1.</x:v>
      </x:c>
      <x:c r="I70" s="98" t="str">
        <x:v>Not Started</x:v>
      </x:c>
      <x:c r="J70" s="98"/>
      <x:c r="K70" s="98" t="str">
        <x:v>None</x:v>
      </x:c>
      <x:c r="L70" s="99"/>
      <x:c r="M70" s="99"/>
      <x:c r="N70" s="99"/>
    </x:row>
    <x:row r="71" ht="34.5" customHeight="1">
      <x:c r="A71" s="34" t="n">
        <x:v>46241</x:v>
      </x:c>
      <x:c r="B71" s="98" t="str">
        <x:v>Revision 1</x:v>
      </x:c>
      <x:c r="C71" s="98" t="n">
        <x:v>7</x:v>
      </x:c>
      <x:c r="D71" s="98" t="n">
        <x:v>65</x:v>
      </x:c>
      <x:c r="E71" s="98" t="n">
        <x:v>63</x:v>
      </x:c>
      <x:c r="F71" s="99" t="str">
        <x:v>Circuits → Combinational Logic → Multiplexers</x:v>
      </x:c>
      <x:c r="G71" s="99" t="str">
        <x:v>256-to-1 4-bit multiplexer</x:v>
      </x:c>
      <x:c r="H71" s="99" t="str">
        <x:v>Blind re-solve and repair the exact mistake from Pass 1.</x:v>
      </x:c>
      <x:c r="I71" s="98" t="str">
        <x:v>Not Started</x:v>
      </x:c>
      <x:c r="J71" s="98"/>
      <x:c r="K71" s="98" t="str">
        <x:v>None</x:v>
      </x:c>
      <x:c r="L71" s="99"/>
      <x:c r="M71" s="99"/>
      <x:c r="N71" s="99"/>
    </x:row>
    <x:row r="72" ht="34.5" customHeight="1">
      <x:c r="A72" s="34" t="n">
        <x:v>46241</x:v>
      </x:c>
      <x:c r="B72" s="98" t="str">
        <x:v>Revision 1</x:v>
      </x:c>
      <x:c r="C72" s="98" t="n">
        <x:v>7</x:v>
      </x:c>
      <x:c r="D72" s="98" t="n">
        <x:v>66</x:v>
      </x:c>
      <x:c r="E72" s="98" t="n">
        <x:v>64</x:v>
      </x:c>
      <x:c r="F72" s="99" t="str">
        <x:v>Circuits → Combinational Logic → Arithmetic Circuits</x:v>
      </x:c>
      <x:c r="G72" s="99" t="str">
        <x:v>Half adder</x:v>
      </x:c>
      <x:c r="H72" s="99" t="str">
        <x:v>Blind re-solve and repair the exact mistake from Pass 1.</x:v>
      </x:c>
      <x:c r="I72" s="98" t="str">
        <x:v>Not Started</x:v>
      </x:c>
      <x:c r="J72" s="98"/>
      <x:c r="K72" s="98" t="str">
        <x:v>None</x:v>
      </x:c>
      <x:c r="L72" s="99"/>
      <x:c r="M72" s="99"/>
      <x:c r="N72" s="99"/>
    </x:row>
    <x:row r="73" ht="34.5" customHeight="1">
      <x:c r="A73" s="34" t="n">
        <x:v>46241</x:v>
      </x:c>
      <x:c r="B73" s="98" t="str">
        <x:v>Revision 1</x:v>
      </x:c>
      <x:c r="C73" s="98" t="n">
        <x:v>7</x:v>
      </x:c>
      <x:c r="D73" s="98" t="n">
        <x:v>67</x:v>
      </x:c>
      <x:c r="E73" s="98" t="n">
        <x:v>65</x:v>
      </x:c>
      <x:c r="F73" s="99" t="str">
        <x:v>Circuits → Combinational Logic → Arithmetic Circuits</x:v>
      </x:c>
      <x:c r="G73" s="99" t="str">
        <x:v>Full adder</x:v>
      </x:c>
      <x:c r="H73" s="99" t="str">
        <x:v>Blind re-solve and repair the exact mistake from Pass 1.</x:v>
      </x:c>
      <x:c r="I73" s="98" t="str">
        <x:v>Not Started</x:v>
      </x:c>
      <x:c r="J73" s="98"/>
      <x:c r="K73" s="98" t="str">
        <x:v>None</x:v>
      </x:c>
      <x:c r="L73" s="99"/>
      <x:c r="M73" s="99"/>
      <x:c r="N73" s="99"/>
    </x:row>
    <x:row r="74" ht="34.5" customHeight="1">
      <x:c r="A74" s="34" t="n">
        <x:v>46241</x:v>
      </x:c>
      <x:c r="B74" s="98" t="str">
        <x:v>Revision 1</x:v>
      </x:c>
      <x:c r="C74" s="98" t="n">
        <x:v>7</x:v>
      </x:c>
      <x:c r="D74" s="98" t="n">
        <x:v>68</x:v>
      </x:c>
      <x:c r="E74" s="98" t="n">
        <x:v>66</x:v>
      </x:c>
      <x:c r="F74" s="99" t="str">
        <x:v>Circuits → Combinational Logic → Arithmetic Circuits</x:v>
      </x:c>
      <x:c r="G74" s="99" t="str">
        <x:v>3-bit binary adder</x:v>
      </x:c>
      <x:c r="H74" s="99" t="str">
        <x:v>Blind re-solve and repair the exact mistake from Pass 1.</x:v>
      </x:c>
      <x:c r="I74" s="98" t="str">
        <x:v>Not Started</x:v>
      </x:c>
      <x:c r="J74" s="98"/>
      <x:c r="K74" s="98" t="str">
        <x:v>None</x:v>
      </x:c>
      <x:c r="L74" s="99"/>
      <x:c r="M74" s="99"/>
      <x:c r="N74" s="99"/>
    </x:row>
    <x:row r="75" ht="34.5" customHeight="1">
      <x:c r="A75" s="34" t="n">
        <x:v>46241</x:v>
      </x:c>
      <x:c r="B75" s="98" t="str">
        <x:v>Revision 1</x:v>
      </x:c>
      <x:c r="C75" s="98" t="n">
        <x:v>7</x:v>
      </x:c>
      <x:c r="D75" s="98" t="n">
        <x:v>69</x:v>
      </x:c>
      <x:c r="E75" s="98" t="n">
        <x:v>67</x:v>
      </x:c>
      <x:c r="F75" s="99" t="str">
        <x:v>Circuits → Combinational Logic → Arithmetic Circuits</x:v>
      </x:c>
      <x:c r="G75" s="99" t="str">
        <x:v>Adder</x:v>
      </x:c>
      <x:c r="H75" s="99" t="str">
        <x:v>Blind re-solve and repair the exact mistake from Pass 1.</x:v>
      </x:c>
      <x:c r="I75" s="98" t="str">
        <x:v>Not Started</x:v>
      </x:c>
      <x:c r="J75" s="98"/>
      <x:c r="K75" s="98" t="str">
        <x:v>None</x:v>
      </x:c>
      <x:c r="L75" s="99"/>
      <x:c r="M75" s="99"/>
      <x:c r="N75" s="99"/>
    </x:row>
    <x:row r="76" ht="34.5" customHeight="1">
      <x:c r="A76" s="34" t="n">
        <x:v>46241</x:v>
      </x:c>
      <x:c r="B76" s="98" t="str">
        <x:v>Revision 1</x:v>
      </x:c>
      <x:c r="C76" s="98" t="n">
        <x:v>7</x:v>
      </x:c>
      <x:c r="D76" s="98" t="n">
        <x:v>70</x:v>
      </x:c>
      <x:c r="E76" s="98" t="n">
        <x:v>68</x:v>
      </x:c>
      <x:c r="F76" s="99" t="str">
        <x:v>Circuits → Combinational Logic → Arithmetic Circuits</x:v>
      </x:c>
      <x:c r="G76" s="99" t="str">
        <x:v>Signed addition overflow</x:v>
      </x:c>
      <x:c r="H76" s="99" t="str">
        <x:v>Blind re-solve and repair the exact mistake from Pass 1.</x:v>
      </x:c>
      <x:c r="I76" s="98" t="str">
        <x:v>Not Started</x:v>
      </x:c>
      <x:c r="J76" s="98"/>
      <x:c r="K76" s="98" t="str">
        <x:v>None</x:v>
      </x:c>
      <x:c r="L76" s="99"/>
      <x:c r="M76" s="99"/>
      <x:c r="N76" s="99"/>
    </x:row>
    <x:row r="77" ht="34.5" customHeight="1">
      <x:c r="A77" s="34" t="n">
        <x:v>46242</x:v>
      </x:c>
      <x:c r="B77" s="98" t="str">
        <x:v>Revision 1</x:v>
      </x:c>
      <x:c r="C77" s="98" t="n">
        <x:v>8</x:v>
      </x:c>
      <x:c r="D77" s="98" t="n">
        <x:v>71</x:v>
      </x:c>
      <x:c r="E77" s="98" t="n">
        <x:v>69</x:v>
      </x:c>
      <x:c r="F77" s="99" t="str">
        <x:v>Circuits → Combinational Logic → Arithmetic Circuits</x:v>
      </x:c>
      <x:c r="G77" s="99" t="str">
        <x:v>100-bit binary adder</x:v>
      </x:c>
      <x:c r="H77" s="99" t="str">
        <x:v>Blind re-solve and repair the exact mistake from Pass 1.</x:v>
      </x:c>
      <x:c r="I77" s="98" t="str">
        <x:v>Not Started</x:v>
      </x:c>
      <x:c r="J77" s="98"/>
      <x:c r="K77" s="98" t="str">
        <x:v>None</x:v>
      </x:c>
      <x:c r="L77" s="99"/>
      <x:c r="M77" s="99"/>
      <x:c r="N77" s="99"/>
    </x:row>
    <x:row r="78" ht="34.5" customHeight="1">
      <x:c r="A78" s="34" t="n">
        <x:v>46242</x:v>
      </x:c>
      <x:c r="B78" s="98" t="str">
        <x:v>Revision 1</x:v>
      </x:c>
      <x:c r="C78" s="98" t="n">
        <x:v>8</x:v>
      </x:c>
      <x:c r="D78" s="98" t="n">
        <x:v>72</x:v>
      </x:c>
      <x:c r="E78" s="98" t="n">
        <x:v>70</x:v>
      </x:c>
      <x:c r="F78" s="99" t="str">
        <x:v>Circuits → Combinational Logic → Arithmetic Circuits</x:v>
      </x:c>
      <x:c r="G78" s="99" t="str">
        <x:v>4-digit BCD adder</x:v>
      </x:c>
      <x:c r="H78" s="99" t="str">
        <x:v>Blind re-solve and repair the exact mistake from Pass 1.</x:v>
      </x:c>
      <x:c r="I78" s="98" t="str">
        <x:v>Not Started</x:v>
      </x:c>
      <x:c r="J78" s="98"/>
      <x:c r="K78" s="98" t="str">
        <x:v>None</x:v>
      </x:c>
      <x:c r="L78" s="99"/>
      <x:c r="M78" s="99"/>
      <x:c r="N78" s="99"/>
    </x:row>
    <x:row r="79" ht="34.5" customHeight="1">
      <x:c r="A79" s="34" t="n">
        <x:v>46242</x:v>
      </x:c>
      <x:c r="B79" s="98" t="str">
        <x:v>Revision 1</x:v>
      </x:c>
      <x:c r="C79" s="98" t="n">
        <x:v>8</x:v>
      </x:c>
      <x:c r="D79" s="98" t="n">
        <x:v>73</x:v>
      </x:c>
      <x:c r="E79" s="98" t="n">
        <x:v>71</x:v>
      </x:c>
      <x:c r="F79" s="99" t="str">
        <x:v>Circuits → Combinational Logic → Karnaugh Map to Circuit</x:v>
      </x:c>
      <x:c r="G79" s="99" t="str">
        <x:v>3-variable</x:v>
      </x:c>
      <x:c r="H79" s="99" t="str">
        <x:v>Blind re-solve and repair the exact mistake from Pass 1.</x:v>
      </x:c>
      <x:c r="I79" s="98" t="str">
        <x:v>Not Started</x:v>
      </x:c>
      <x:c r="J79" s="98"/>
      <x:c r="K79" s="98" t="str">
        <x:v>None</x:v>
      </x:c>
      <x:c r="L79" s="99"/>
      <x:c r="M79" s="99"/>
      <x:c r="N79" s="99"/>
    </x:row>
    <x:row r="80" ht="34.5" customHeight="1">
      <x:c r="A80" s="34" t="n">
        <x:v>46242</x:v>
      </x:c>
      <x:c r="B80" s="98" t="str">
        <x:v>Revision 1</x:v>
      </x:c>
      <x:c r="C80" s="98" t="n">
        <x:v>8</x:v>
      </x:c>
      <x:c r="D80" s="98" t="n">
        <x:v>74</x:v>
      </x:c>
      <x:c r="E80" s="98" t="n">
        <x:v>72</x:v>
      </x:c>
      <x:c r="F80" s="99" t="str">
        <x:v>Circuits → Combinational Logic → Karnaugh Map to Circuit</x:v>
      </x:c>
      <x:c r="G80" s="99" t="str">
        <x:v>4-variable</x:v>
      </x:c>
      <x:c r="H80" s="99" t="str">
        <x:v>Blind re-solve and repair the exact mistake from Pass 1.</x:v>
      </x:c>
      <x:c r="I80" s="98" t="str">
        <x:v>Not Started</x:v>
      </x:c>
      <x:c r="J80" s="98"/>
      <x:c r="K80" s="98" t="str">
        <x:v>None</x:v>
      </x:c>
      <x:c r="L80" s="99"/>
      <x:c r="M80" s="99"/>
      <x:c r="N80" s="99"/>
    </x:row>
    <x:row r="81" ht="34.5" customHeight="1">
      <x:c r="A81" s="34" t="n">
        <x:v>46242</x:v>
      </x:c>
      <x:c r="B81" s="98" t="str">
        <x:v>Revision 1</x:v>
      </x:c>
      <x:c r="C81" s="98" t="n">
        <x:v>8</x:v>
      </x:c>
      <x:c r="D81" s="98" t="n">
        <x:v>75</x:v>
      </x:c>
      <x:c r="E81" s="98" t="n">
        <x:v>73</x:v>
      </x:c>
      <x:c r="F81" s="99" t="str">
        <x:v>Circuits → Combinational Logic → Karnaugh Map to Circuit</x:v>
      </x:c>
      <x:c r="G81" s="99" t="str">
        <x:v>4-variable</x:v>
      </x:c>
      <x:c r="H81" s="99" t="str">
        <x:v>Blind re-solve and repair the exact mistake from Pass 1.</x:v>
      </x:c>
      <x:c r="I81" s="98" t="str">
        <x:v>Not Started</x:v>
      </x:c>
      <x:c r="J81" s="98"/>
      <x:c r="K81" s="98" t="str">
        <x:v>None</x:v>
      </x:c>
      <x:c r="L81" s="99"/>
      <x:c r="M81" s="99"/>
      <x:c r="N81" s="99"/>
    </x:row>
    <x:row r="82" ht="34.5" customHeight="1">
      <x:c r="A82" s="34" t="n">
        <x:v>46242</x:v>
      </x:c>
      <x:c r="B82" s="98" t="str">
        <x:v>Revision 1</x:v>
      </x:c>
      <x:c r="C82" s="98" t="n">
        <x:v>8</x:v>
      </x:c>
      <x:c r="D82" s="98" t="n">
        <x:v>76</x:v>
      </x:c>
      <x:c r="E82" s="98" t="n">
        <x:v>74</x:v>
      </x:c>
      <x:c r="F82" s="99" t="str">
        <x:v>Circuits → Combinational Logic → Karnaugh Map to Circuit</x:v>
      </x:c>
      <x:c r="G82" s="99" t="str">
        <x:v>4-variable</x:v>
      </x:c>
      <x:c r="H82" s="99" t="str">
        <x:v>Blind re-solve and repair the exact mistake from Pass 1.</x:v>
      </x:c>
      <x:c r="I82" s="98" t="str">
        <x:v>Not Started</x:v>
      </x:c>
      <x:c r="J82" s="98"/>
      <x:c r="K82" s="98" t="str">
        <x:v>None</x:v>
      </x:c>
      <x:c r="L82" s="99"/>
      <x:c r="M82" s="99"/>
      <x:c r="N82" s="99"/>
    </x:row>
    <x:row r="83" ht="34.5" customHeight="1">
      <x:c r="A83" s="34" t="n">
        <x:v>46242</x:v>
      </x:c>
      <x:c r="B83" s="98" t="str">
        <x:v>Revision 1</x:v>
      </x:c>
      <x:c r="C83" s="98" t="n">
        <x:v>8</x:v>
      </x:c>
      <x:c r="D83" s="98" t="n">
        <x:v>77</x:v>
      </x:c>
      <x:c r="E83" s="98" t="n">
        <x:v>75</x:v>
      </x:c>
      <x:c r="F83" s="99" t="str">
        <x:v>Circuits → Combinational Logic → Karnaugh Map to Circuit</x:v>
      </x:c>
      <x:c r="G83" s="99" t="str">
        <x:v>Minimum SOP and POS</x:v>
      </x:c>
      <x:c r="H83" s="99" t="str">
        <x:v>Blind re-solve and repair the exact mistake from Pass 1.</x:v>
      </x:c>
      <x:c r="I83" s="98" t="str">
        <x:v>Not Started</x:v>
      </x:c>
      <x:c r="J83" s="98"/>
      <x:c r="K83" s="98" t="str">
        <x:v>None</x:v>
      </x:c>
      <x:c r="L83" s="99"/>
      <x:c r="M83" s="99"/>
      <x:c r="N83" s="99"/>
    </x:row>
    <x:row r="84" ht="34.5" customHeight="1">
      <x:c r="A84" s="34" t="n">
        <x:v>46242</x:v>
      </x:c>
      <x:c r="B84" s="98" t="str">
        <x:v>Revision 1</x:v>
      </x:c>
      <x:c r="C84" s="98" t="n">
        <x:v>8</x:v>
      </x:c>
      <x:c r="D84" s="98" t="n">
        <x:v>78</x:v>
      </x:c>
      <x:c r="E84" s="98" t="n">
        <x:v>76</x:v>
      </x:c>
      <x:c r="F84" s="99" t="str">
        <x:v>Circuits → Combinational Logic → Karnaugh Map to Circuit</x:v>
      </x:c>
      <x:c r="G84" s="99" t="str">
        <x:v>Karnaugh map</x:v>
      </x:c>
      <x:c r="H84" s="99" t="str">
        <x:v>Blind re-solve and repair the exact mistake from Pass 1.</x:v>
      </x:c>
      <x:c r="I84" s="98" t="str">
        <x:v>Not Started</x:v>
      </x:c>
      <x:c r="J84" s="98"/>
      <x:c r="K84" s="98" t="str">
        <x:v>None</x:v>
      </x:c>
      <x:c r="L84" s="99"/>
      <x:c r="M84" s="99"/>
      <x:c r="N84" s="99"/>
    </x:row>
    <x:row r="85" ht="34.5" customHeight="1">
      <x:c r="A85" s="34" t="n">
        <x:v>46242</x:v>
      </x:c>
      <x:c r="B85" s="98" t="str">
        <x:v>Revision 1</x:v>
      </x:c>
      <x:c r="C85" s="98" t="n">
        <x:v>8</x:v>
      </x:c>
      <x:c r="D85" s="98" t="n">
        <x:v>79</x:v>
      </x:c>
      <x:c r="E85" s="98" t="n">
        <x:v>77</x:v>
      </x:c>
      <x:c r="F85" s="99" t="str">
        <x:v>Circuits → Combinational Logic → Karnaugh Map to Circuit</x:v>
      </x:c>
      <x:c r="G85" s="99" t="str">
        <x:v>Karnaugh map</x:v>
      </x:c>
      <x:c r="H85" s="99" t="str">
        <x:v>Blind re-solve and repair the exact mistake from Pass 1.</x:v>
      </x:c>
      <x:c r="I85" s="98" t="str">
        <x:v>Not Started</x:v>
      </x:c>
      <x:c r="J85" s="98"/>
      <x:c r="K85" s="98" t="str">
        <x:v>None</x:v>
      </x:c>
      <x:c r="L85" s="99"/>
      <x:c r="M85" s="99"/>
      <x:c r="N85" s="99"/>
    </x:row>
    <x:row r="86" ht="34.5" customHeight="1">
      <x:c r="A86" s="34" t="n">
        <x:v>46242</x:v>
      </x:c>
      <x:c r="B86" s="98" t="str">
        <x:v>Revision 1</x:v>
      </x:c>
      <x:c r="C86" s="98" t="n">
        <x:v>8</x:v>
      </x:c>
      <x:c r="D86" s="98" t="n">
        <x:v>80</x:v>
      </x:c>
      <x:c r="E86" s="98" t="n">
        <x:v>78</x:v>
      </x:c>
      <x:c r="F86" s="99" t="str">
        <x:v>Circuits → Combinational Logic → Karnaugh Map to Circuit</x:v>
      </x:c>
      <x:c r="G86" s="99" t="str">
        <x:v>K-map implemented with a multiplexer</x:v>
      </x:c>
      <x:c r="H86" s="99" t="str">
        <x:v>Blind re-solve and repair the exact mistake from Pass 1.</x:v>
      </x:c>
      <x:c r="I86" s="98" t="str">
        <x:v>Not Started</x:v>
      </x:c>
      <x:c r="J86" s="98"/>
      <x:c r="K86" s="98" t="str">
        <x:v>None</x:v>
      </x:c>
      <x:c r="L86" s="99"/>
      <x:c r="M86" s="99"/>
      <x:c r="N86" s="99"/>
    </x:row>
    <x:row r="87" ht="34.5" customHeight="1">
      <x:c r="A87" s="34" t="n">
        <x:v>46243</x:v>
      </x:c>
      <x:c r="B87" s="98" t="str">
        <x:v>Revision 1</x:v>
      </x:c>
      <x:c r="C87" s="98" t="n">
        <x:v>9</x:v>
      </x:c>
      <x:c r="D87" s="98" t="n">
        <x:v>81</x:v>
      </x:c>
      <x:c r="E87" s="98" t="n">
        <x:v>79</x:v>
      </x:c>
      <x:c r="F87" s="99" t="str">
        <x:v>Circuits → Sequential Logic → Latches and Flip-Flops</x:v>
      </x:c>
      <x:c r="G87" s="99" t="str">
        <x:v>D flip-flop</x:v>
      </x:c>
      <x:c r="H87" s="99" t="str">
        <x:v>Blind re-solve and repair the exact mistake from Pass 1.</x:v>
      </x:c>
      <x:c r="I87" s="98" t="str">
        <x:v>Not Started</x:v>
      </x:c>
      <x:c r="J87" s="98"/>
      <x:c r="K87" s="98" t="str">
        <x:v>None</x:v>
      </x:c>
      <x:c r="L87" s="99"/>
      <x:c r="M87" s="99"/>
      <x:c r="N87" s="99"/>
    </x:row>
    <x:row r="88" ht="34.5" customHeight="1">
      <x:c r="A88" s="34" t="n">
        <x:v>46243</x:v>
      </x:c>
      <x:c r="B88" s="98" t="str">
        <x:v>Revision 1</x:v>
      </x:c>
      <x:c r="C88" s="98" t="n">
        <x:v>9</x:v>
      </x:c>
      <x:c r="D88" s="98" t="n">
        <x:v>82</x:v>
      </x:c>
      <x:c r="E88" s="98" t="n">
        <x:v>80</x:v>
      </x:c>
      <x:c r="F88" s="99" t="str">
        <x:v>Circuits → Sequential Logic → Latches and Flip-Flops</x:v>
      </x:c>
      <x:c r="G88" s="99" t="str">
        <x:v>D flip-flops</x:v>
      </x:c>
      <x:c r="H88" s="99" t="str">
        <x:v>Blind re-solve and repair the exact mistake from Pass 1.</x:v>
      </x:c>
      <x:c r="I88" s="98" t="str">
        <x:v>Not Started</x:v>
      </x:c>
      <x:c r="J88" s="98"/>
      <x:c r="K88" s="98" t="str">
        <x:v>None</x:v>
      </x:c>
      <x:c r="L88" s="99"/>
      <x:c r="M88" s="99"/>
      <x:c r="N88" s="99"/>
    </x:row>
    <x:row r="89" ht="34.5" customHeight="1">
      <x:c r="A89" s="34" t="n">
        <x:v>46243</x:v>
      </x:c>
      <x:c r="B89" s="98" t="str">
        <x:v>Revision 1</x:v>
      </x:c>
      <x:c r="C89" s="98" t="n">
        <x:v>9</x:v>
      </x:c>
      <x:c r="D89" s="98" t="n">
        <x:v>83</x:v>
      </x:c>
      <x:c r="E89" s="98" t="n">
        <x:v>81</x:v>
      </x:c>
      <x:c r="F89" s="99" t="str">
        <x:v>Circuits → Sequential Logic → Latches and Flip-Flops</x:v>
      </x:c>
      <x:c r="G89" s="99" t="str">
        <x:v>DFF with reset</x:v>
      </x:c>
      <x:c r="H89" s="99" t="str">
        <x:v>Blind re-solve and repair the exact mistake from Pass 1.</x:v>
      </x:c>
      <x:c r="I89" s="98" t="str">
        <x:v>Not Started</x:v>
      </x:c>
      <x:c r="J89" s="98"/>
      <x:c r="K89" s="98" t="str">
        <x:v>None</x:v>
      </x:c>
      <x:c r="L89" s="99"/>
      <x:c r="M89" s="99"/>
      <x:c r="N89" s="99"/>
    </x:row>
    <x:row r="90" ht="34.5" customHeight="1">
      <x:c r="A90" s="34" t="n">
        <x:v>46243</x:v>
      </x:c>
      <x:c r="B90" s="98" t="str">
        <x:v>Revision 1</x:v>
      </x:c>
      <x:c r="C90" s="98" t="n">
        <x:v>9</x:v>
      </x:c>
      <x:c r="D90" s="98" t="n">
        <x:v>84</x:v>
      </x:c>
      <x:c r="E90" s="98" t="n">
        <x:v>82</x:v>
      </x:c>
      <x:c r="F90" s="99" t="str">
        <x:v>Circuits → Sequential Logic → Latches and Flip-Flops</x:v>
      </x:c>
      <x:c r="G90" s="99" t="str">
        <x:v>DFF with reset value</x:v>
      </x:c>
      <x:c r="H90" s="99" t="str">
        <x:v>Blind re-solve and repair the exact mistake from Pass 1.</x:v>
      </x:c>
      <x:c r="I90" s="98" t="str">
        <x:v>Not Started</x:v>
      </x:c>
      <x:c r="J90" s="98"/>
      <x:c r="K90" s="98" t="str">
        <x:v>None</x:v>
      </x:c>
      <x:c r="L90" s="99"/>
      <x:c r="M90" s="99"/>
      <x:c r="N90" s="99"/>
    </x:row>
    <x:row r="91" ht="34.5" customHeight="1">
      <x:c r="A91" s="34" t="n">
        <x:v>46243</x:v>
      </x:c>
      <x:c r="B91" s="98" t="str">
        <x:v>Revision 1</x:v>
      </x:c>
      <x:c r="C91" s="98" t="n">
        <x:v>9</x:v>
      </x:c>
      <x:c r="D91" s="98" t="n">
        <x:v>85</x:v>
      </x:c>
      <x:c r="E91" s="98" t="n">
        <x:v>83</x:v>
      </x:c>
      <x:c r="F91" s="99" t="str">
        <x:v>Circuits → Sequential Logic → Latches and Flip-Flops</x:v>
      </x:c>
      <x:c r="G91" s="99" t="str">
        <x:v>DFF with asynchronous reset</x:v>
      </x:c>
      <x:c r="H91" s="99" t="str">
        <x:v>Blind re-solve and repair the exact mistake from Pass 1.</x:v>
      </x:c>
      <x:c r="I91" s="98" t="str">
        <x:v>Not Started</x:v>
      </x:c>
      <x:c r="J91" s="98"/>
      <x:c r="K91" s="98" t="str">
        <x:v>None</x:v>
      </x:c>
      <x:c r="L91" s="99"/>
      <x:c r="M91" s="99"/>
      <x:c r="N91" s="99"/>
    </x:row>
    <x:row r="92" ht="34.5" customHeight="1">
      <x:c r="A92" s="34" t="n">
        <x:v>46243</x:v>
      </x:c>
      <x:c r="B92" s="98" t="str">
        <x:v>Revision 1</x:v>
      </x:c>
      <x:c r="C92" s="98" t="n">
        <x:v>9</x:v>
      </x:c>
      <x:c r="D92" s="98" t="n">
        <x:v>86</x:v>
      </x:c>
      <x:c r="E92" s="98" t="n">
        <x:v>84</x:v>
      </x:c>
      <x:c r="F92" s="99" t="str">
        <x:v>Circuits → Sequential Logic → Latches and Flip-Flops</x:v>
      </x:c>
      <x:c r="G92" s="99" t="str">
        <x:v>DFF with byte enable</x:v>
      </x:c>
      <x:c r="H92" s="99" t="str">
        <x:v>Blind re-solve and repair the exact mistake from Pass 1.</x:v>
      </x:c>
      <x:c r="I92" s="98" t="str">
        <x:v>Not Started</x:v>
      </x:c>
      <x:c r="J92" s="98"/>
      <x:c r="K92" s="98" t="str">
        <x:v>None</x:v>
      </x:c>
      <x:c r="L92" s="99"/>
      <x:c r="M92" s="99"/>
      <x:c r="N92" s="99"/>
    </x:row>
    <x:row r="93" ht="34.5" customHeight="1">
      <x:c r="A93" s="34" t="n">
        <x:v>46243</x:v>
      </x:c>
      <x:c r="B93" s="98" t="str">
        <x:v>Revision 1</x:v>
      </x:c>
      <x:c r="C93" s="98" t="n">
        <x:v>9</x:v>
      </x:c>
      <x:c r="D93" s="98" t="n">
        <x:v>87</x:v>
      </x:c>
      <x:c r="E93" s="98" t="n">
        <x:v>85</x:v>
      </x:c>
      <x:c r="F93" s="99" t="str">
        <x:v>Circuits → Sequential Logic → Latches and Flip-Flops</x:v>
      </x:c>
      <x:c r="G93" s="99" t="str">
        <x:v>D Latch</x:v>
      </x:c>
      <x:c r="H93" s="99" t="str">
        <x:v>Blind re-solve and repair the exact mistake from Pass 1.</x:v>
      </x:c>
      <x:c r="I93" s="98" t="str">
        <x:v>Not Started</x:v>
      </x:c>
      <x:c r="J93" s="98"/>
      <x:c r="K93" s="98" t="str">
        <x:v>None</x:v>
      </x:c>
      <x:c r="L93" s="99"/>
      <x:c r="M93" s="99"/>
      <x:c r="N93" s="99"/>
    </x:row>
    <x:row r="94" ht="34.5" customHeight="1">
      <x:c r="A94" s="34" t="n">
        <x:v>46243</x:v>
      </x:c>
      <x:c r="B94" s="98" t="str">
        <x:v>Revision 1</x:v>
      </x:c>
      <x:c r="C94" s="98" t="n">
        <x:v>9</x:v>
      </x:c>
      <x:c r="D94" s="98" t="n">
        <x:v>88</x:v>
      </x:c>
      <x:c r="E94" s="98" t="n">
        <x:v>86</x:v>
      </x:c>
      <x:c r="F94" s="99" t="str">
        <x:v>Circuits → Sequential Logic → Latches and Flip-Flops</x:v>
      </x:c>
      <x:c r="G94" s="99" t="str">
        <x:v>DFF</x:v>
      </x:c>
      <x:c r="H94" s="99" t="str">
        <x:v>Blind re-solve and repair the exact mistake from Pass 1.</x:v>
      </x:c>
      <x:c r="I94" s="98" t="str">
        <x:v>Not Started</x:v>
      </x:c>
      <x:c r="J94" s="98"/>
      <x:c r="K94" s="98" t="str">
        <x:v>None</x:v>
      </x:c>
      <x:c r="L94" s="99"/>
      <x:c r="M94" s="99"/>
      <x:c r="N94" s="99"/>
    </x:row>
    <x:row r="95" ht="34.5" customHeight="1">
      <x:c r="A95" s="34" t="n">
        <x:v>46243</x:v>
      </x:c>
      <x:c r="B95" s="98" t="str">
        <x:v>Revision 1</x:v>
      </x:c>
      <x:c r="C95" s="98" t="n">
        <x:v>9</x:v>
      </x:c>
      <x:c r="D95" s="98" t="n">
        <x:v>89</x:v>
      </x:c>
      <x:c r="E95" s="98" t="n">
        <x:v>87</x:v>
      </x:c>
      <x:c r="F95" s="99" t="str">
        <x:v>Circuits → Sequential Logic → Latches and Flip-Flops</x:v>
      </x:c>
      <x:c r="G95" s="99" t="str">
        <x:v>DFF</x:v>
      </x:c>
      <x:c r="H95" s="99" t="str">
        <x:v>Blind re-solve and repair the exact mistake from Pass 1.</x:v>
      </x:c>
      <x:c r="I95" s="98" t="str">
        <x:v>Not Started</x:v>
      </x:c>
      <x:c r="J95" s="98"/>
      <x:c r="K95" s="98" t="str">
        <x:v>None</x:v>
      </x:c>
      <x:c r="L95" s="99"/>
      <x:c r="M95" s="99"/>
      <x:c r="N95" s="99"/>
    </x:row>
    <x:row r="96" ht="34.5" customHeight="1">
      <x:c r="A96" s="34" t="n">
        <x:v>46243</x:v>
      </x:c>
      <x:c r="B96" s="98" t="str">
        <x:v>Revision 1</x:v>
      </x:c>
      <x:c r="C96" s="98" t="n">
        <x:v>9</x:v>
      </x:c>
      <x:c r="D96" s="98" t="n">
        <x:v>90</x:v>
      </x:c>
      <x:c r="E96" s="98" t="n">
        <x:v>88</x:v>
      </x:c>
      <x:c r="F96" s="99" t="str">
        <x:v>Circuits → Sequential Logic → Latches and Flip-Flops</x:v>
      </x:c>
      <x:c r="G96" s="99" t="str">
        <x:v>DFF+gate</x:v>
      </x:c>
      <x:c r="H96" s="99" t="str">
        <x:v>Blind re-solve and repair the exact mistake from Pass 1.</x:v>
      </x:c>
      <x:c r="I96" s="98" t="str">
        <x:v>Not Started</x:v>
      </x:c>
      <x:c r="J96" s="98"/>
      <x:c r="K96" s="98" t="str">
        <x:v>None</x:v>
      </x:c>
      <x:c r="L96" s="99"/>
      <x:c r="M96" s="99"/>
      <x:c r="N96" s="99"/>
    </x:row>
    <x:row r="97" ht="34.5" customHeight="1">
      <x:c r="A97" s="34" t="n">
        <x:v>46244</x:v>
      </x:c>
      <x:c r="B97" s="98" t="str">
        <x:v>Revision 1</x:v>
      </x:c>
      <x:c r="C97" s="98" t="n">
        <x:v>10</x:v>
      </x:c>
      <x:c r="D97" s="98" t="n">
        <x:v>91</x:v>
      </x:c>
      <x:c r="E97" s="98" t="n">
        <x:v>89</x:v>
      </x:c>
      <x:c r="F97" s="99" t="str">
        <x:v>Circuits → Sequential Logic → Latches and Flip-Flops</x:v>
      </x:c>
      <x:c r="G97" s="99" t="str">
        <x:v>Mux and DFF</x:v>
      </x:c>
      <x:c r="H97" s="99" t="str">
        <x:v>Blind re-solve and repair the exact mistake from Pass 1.</x:v>
      </x:c>
      <x:c r="I97" s="98" t="str">
        <x:v>Not Started</x:v>
      </x:c>
      <x:c r="J97" s="98"/>
      <x:c r="K97" s="98" t="str">
        <x:v>None</x:v>
      </x:c>
      <x:c r="L97" s="99"/>
      <x:c r="M97" s="99"/>
      <x:c r="N97" s="99"/>
    </x:row>
    <x:row r="98" ht="34.5" customHeight="1">
      <x:c r="A98" s="34" t="n">
        <x:v>46244</x:v>
      </x:c>
      <x:c r="B98" s="98" t="str">
        <x:v>Revision 1</x:v>
      </x:c>
      <x:c r="C98" s="98" t="n">
        <x:v>10</x:v>
      </x:c>
      <x:c r="D98" s="98" t="n">
        <x:v>92</x:v>
      </x:c>
      <x:c r="E98" s="98" t="n">
        <x:v>90</x:v>
      </x:c>
      <x:c r="F98" s="99" t="str">
        <x:v>Circuits → Sequential Logic → Latches and Flip-Flops</x:v>
      </x:c>
      <x:c r="G98" s="99" t="str">
        <x:v>Mux and DFF</x:v>
      </x:c>
      <x:c r="H98" s="99" t="str">
        <x:v>Blind re-solve and repair the exact mistake from Pass 1.</x:v>
      </x:c>
      <x:c r="I98" s="98" t="str">
        <x:v>Not Started</x:v>
      </x:c>
      <x:c r="J98" s="98"/>
      <x:c r="K98" s="98" t="str">
        <x:v>None</x:v>
      </x:c>
      <x:c r="L98" s="99"/>
      <x:c r="M98" s="99"/>
      <x:c r="N98" s="99"/>
    </x:row>
    <x:row r="99" ht="34.5" customHeight="1">
      <x:c r="A99" s="34" t="n">
        <x:v>46244</x:v>
      </x:c>
      <x:c r="B99" s="98" t="str">
        <x:v>Revision 1</x:v>
      </x:c>
      <x:c r="C99" s="98" t="n">
        <x:v>10</x:v>
      </x:c>
      <x:c r="D99" s="98" t="n">
        <x:v>93</x:v>
      </x:c>
      <x:c r="E99" s="98" t="n">
        <x:v>91</x:v>
      </x:c>
      <x:c r="F99" s="99" t="str">
        <x:v>Circuits → Sequential Logic → Latches and Flip-Flops</x:v>
      </x:c>
      <x:c r="G99" s="99" t="str">
        <x:v>DFFs and gates</x:v>
      </x:c>
      <x:c r="H99" s="99" t="str">
        <x:v>Blind re-solve and repair the exact mistake from Pass 1.</x:v>
      </x:c>
      <x:c r="I99" s="98" t="str">
        <x:v>Not Started</x:v>
      </x:c>
      <x:c r="J99" s="98"/>
      <x:c r="K99" s="98" t="str">
        <x:v>None</x:v>
      </x:c>
      <x:c r="L99" s="99"/>
      <x:c r="M99" s="99"/>
      <x:c r="N99" s="99"/>
    </x:row>
    <x:row r="100" ht="34.5" customHeight="1">
      <x:c r="A100" s="34" t="n">
        <x:v>46244</x:v>
      </x:c>
      <x:c r="B100" s="98" t="str">
        <x:v>Revision 1</x:v>
      </x:c>
      <x:c r="C100" s="98" t="n">
        <x:v>10</x:v>
      </x:c>
      <x:c r="D100" s="98" t="n">
        <x:v>94</x:v>
      </x:c>
      <x:c r="E100" s="98" t="n">
        <x:v>92</x:v>
      </x:c>
      <x:c r="F100" s="99" t="str">
        <x:v>Circuits → Sequential Logic → Latches and Flip-Flops</x:v>
      </x:c>
      <x:c r="G100" s="99" t="str">
        <x:v>Create circuit from truth table</x:v>
      </x:c>
      <x:c r="H100" s="99" t="str">
        <x:v>Blind re-solve and repair the exact mistake from Pass 1.</x:v>
      </x:c>
      <x:c r="I100" s="98" t="str">
        <x:v>Not Started</x:v>
      </x:c>
      <x:c r="J100" s="98"/>
      <x:c r="K100" s="98" t="str">
        <x:v>None</x:v>
      </x:c>
      <x:c r="L100" s="99"/>
      <x:c r="M100" s="99"/>
      <x:c r="N100" s="99"/>
    </x:row>
    <x:row r="101" ht="34.5" customHeight="1">
      <x:c r="A101" s="34" t="n">
        <x:v>46244</x:v>
      </x:c>
      <x:c r="B101" s="98" t="str">
        <x:v>Revision 1</x:v>
      </x:c>
      <x:c r="C101" s="98" t="n">
        <x:v>10</x:v>
      </x:c>
      <x:c r="D101" s="98" t="n">
        <x:v>95</x:v>
      </x:c>
      <x:c r="E101" s="98" t="n">
        <x:v>93</x:v>
      </x:c>
      <x:c r="F101" s="99" t="str">
        <x:v>Circuits → Sequential Logic → Latches and Flip-Flops</x:v>
      </x:c>
      <x:c r="G101" s="99" t="str">
        <x:v>Detect an edge</x:v>
      </x:c>
      <x:c r="H101" s="99" t="str">
        <x:v>Blind re-solve and repair the exact mistake from Pass 1.</x:v>
      </x:c>
      <x:c r="I101" s="98" t="str">
        <x:v>Not Started</x:v>
      </x:c>
      <x:c r="J101" s="98"/>
      <x:c r="K101" s="98" t="str">
        <x:v>None</x:v>
      </x:c>
      <x:c r="L101" s="99"/>
      <x:c r="M101" s="99"/>
      <x:c r="N101" s="99"/>
    </x:row>
    <x:row r="102" ht="34.5" customHeight="1">
      <x:c r="A102" s="34" t="n">
        <x:v>46244</x:v>
      </x:c>
      <x:c r="B102" s="98" t="str">
        <x:v>Revision 1</x:v>
      </x:c>
      <x:c r="C102" s="98" t="n">
        <x:v>10</x:v>
      </x:c>
      <x:c r="D102" s="98" t="n">
        <x:v>96</x:v>
      </x:c>
      <x:c r="E102" s="98" t="n">
        <x:v>94</x:v>
      </x:c>
      <x:c r="F102" s="99" t="str">
        <x:v>Circuits → Sequential Logic → Latches and Flip-Flops</x:v>
      </x:c>
      <x:c r="G102" s="99" t="str">
        <x:v>Detect both edges</x:v>
      </x:c>
      <x:c r="H102" s="99" t="str">
        <x:v>Blind re-solve and repair the exact mistake from Pass 1.</x:v>
      </x:c>
      <x:c r="I102" s="98" t="str">
        <x:v>Not Started</x:v>
      </x:c>
      <x:c r="J102" s="98"/>
      <x:c r="K102" s="98" t="str">
        <x:v>None</x:v>
      </x:c>
      <x:c r="L102" s="99"/>
      <x:c r="M102" s="99"/>
      <x:c r="N102" s="99"/>
    </x:row>
    <x:row r="103" ht="34.5" customHeight="1">
      <x:c r="A103" s="34" t="n">
        <x:v>46244</x:v>
      </x:c>
      <x:c r="B103" s="98" t="str">
        <x:v>Revision 1</x:v>
      </x:c>
      <x:c r="C103" s="98" t="n">
        <x:v>10</x:v>
      </x:c>
      <x:c r="D103" s="98" t="n">
        <x:v>97</x:v>
      </x:c>
      <x:c r="E103" s="98" t="n">
        <x:v>95</x:v>
      </x:c>
      <x:c r="F103" s="99" t="str">
        <x:v>Circuits → Sequential Logic → Latches and Flip-Flops</x:v>
      </x:c>
      <x:c r="G103" s="99" t="str">
        <x:v>Edge capture register</x:v>
      </x:c>
      <x:c r="H103" s="99" t="str">
        <x:v>Blind re-solve and repair the exact mistake from Pass 1.</x:v>
      </x:c>
      <x:c r="I103" s="98" t="str">
        <x:v>Not Started</x:v>
      </x:c>
      <x:c r="J103" s="98"/>
      <x:c r="K103" s="98" t="str">
        <x:v>None</x:v>
      </x:c>
      <x:c r="L103" s="99"/>
      <x:c r="M103" s="99"/>
      <x:c r="N103" s="99"/>
    </x:row>
    <x:row r="104" ht="34.5" customHeight="1">
      <x:c r="A104" s="34" t="n">
        <x:v>46244</x:v>
      </x:c>
      <x:c r="B104" s="98" t="str">
        <x:v>Revision 1</x:v>
      </x:c>
      <x:c r="C104" s="98" t="n">
        <x:v>10</x:v>
      </x:c>
      <x:c r="D104" s="98" t="n">
        <x:v>98</x:v>
      </x:c>
      <x:c r="E104" s="98" t="n">
        <x:v>96</x:v>
      </x:c>
      <x:c r="F104" s="99" t="str">
        <x:v>Circuits → Sequential Logic → Latches and Flip-Flops</x:v>
      </x:c>
      <x:c r="G104" s="99" t="str">
        <x:v>Dual-edge triggered flip-flop</x:v>
      </x:c>
      <x:c r="H104" s="99" t="str">
        <x:v>Blind re-solve and repair the exact mistake from Pass 1.</x:v>
      </x:c>
      <x:c r="I104" s="98" t="str">
        <x:v>Not Started</x:v>
      </x:c>
      <x:c r="J104" s="98"/>
      <x:c r="K104" s="98" t="str">
        <x:v>None</x:v>
      </x:c>
      <x:c r="L104" s="99"/>
      <x:c r="M104" s="99"/>
      <x:c r="N104" s="99"/>
    </x:row>
    <x:row r="105" ht="34.5" customHeight="1">
      <x:c r="A105" s="34" t="n">
        <x:v>46244</x:v>
      </x:c>
      <x:c r="B105" s="98" t="str">
        <x:v>Revision 1</x:v>
      </x:c>
      <x:c r="C105" s="98" t="n">
        <x:v>10</x:v>
      </x:c>
      <x:c r="D105" s="98" t="n">
        <x:v>99</x:v>
      </x:c>
      <x:c r="E105" s="98" t="n">
        <x:v>97</x:v>
      </x:c>
      <x:c r="F105" s="99" t="str">
        <x:v>Circuits → Sequential Logic → Counters</x:v>
      </x:c>
      <x:c r="G105" s="99" t="str">
        <x:v>Four-bit binary counter</x:v>
      </x:c>
      <x:c r="H105" s="99" t="str">
        <x:v>Blind re-solve and repair the exact mistake from Pass 1.</x:v>
      </x:c>
      <x:c r="I105" s="98" t="str">
        <x:v>Not Started</x:v>
      </x:c>
      <x:c r="J105" s="98"/>
      <x:c r="K105" s="98" t="str">
        <x:v>None</x:v>
      </x:c>
      <x:c r="L105" s="99"/>
      <x:c r="M105" s="99"/>
      <x:c r="N105" s="99"/>
    </x:row>
    <x:row r="106" ht="34.5" customHeight="1">
      <x:c r="A106" s="34" t="n">
        <x:v>46244</x:v>
      </x:c>
      <x:c r="B106" s="98" t="str">
        <x:v>Revision 1</x:v>
      </x:c>
      <x:c r="C106" s="98" t="n">
        <x:v>10</x:v>
      </x:c>
      <x:c r="D106" s="98" t="n">
        <x:v>100</x:v>
      </x:c>
      <x:c r="E106" s="98" t="n">
        <x:v>98</x:v>
      </x:c>
      <x:c r="F106" s="99" t="str">
        <x:v>Circuits → Sequential Logic → Counters</x:v>
      </x:c>
      <x:c r="G106" s="99" t="str">
        <x:v>Decade counter</x:v>
      </x:c>
      <x:c r="H106" s="99" t="str">
        <x:v>Blind re-solve and repair the exact mistake from Pass 1.</x:v>
      </x:c>
      <x:c r="I106" s="98" t="str">
        <x:v>Not Started</x:v>
      </x:c>
      <x:c r="J106" s="98"/>
      <x:c r="K106" s="98" t="str">
        <x:v>None</x:v>
      </x:c>
      <x:c r="L106" s="99"/>
      <x:c r="M106" s="99"/>
      <x:c r="N106" s="99"/>
    </x:row>
    <x:row r="107" ht="34.5" customHeight="1">
      <x:c r="A107" s="34" t="n">
        <x:v>46245</x:v>
      </x:c>
      <x:c r="B107" s="98" t="str">
        <x:v>Revision 1</x:v>
      </x:c>
      <x:c r="C107" s="98" t="n">
        <x:v>11</x:v>
      </x:c>
      <x:c r="D107" s="98" t="n">
        <x:v>101</x:v>
      </x:c>
      <x:c r="E107" s="98" t="n">
        <x:v>99</x:v>
      </x:c>
      <x:c r="F107" s="99" t="str">
        <x:v>Circuits → Sequential Logic → Counters</x:v>
      </x:c>
      <x:c r="G107" s="99" t="str">
        <x:v>Decade counter again</x:v>
      </x:c>
      <x:c r="H107" s="99" t="str">
        <x:v>Blind re-solve and repair the exact mistake from Pass 1.</x:v>
      </x:c>
      <x:c r="I107" s="98" t="str">
        <x:v>Not Started</x:v>
      </x:c>
      <x:c r="J107" s="98"/>
      <x:c r="K107" s="98" t="str">
        <x:v>None</x:v>
      </x:c>
      <x:c r="L107" s="99"/>
      <x:c r="M107" s="99"/>
      <x:c r="N107" s="99"/>
    </x:row>
    <x:row r="108" ht="34.5" customHeight="1">
      <x:c r="A108" s="34" t="n">
        <x:v>46245</x:v>
      </x:c>
      <x:c r="B108" s="98" t="str">
        <x:v>Revision 1</x:v>
      </x:c>
      <x:c r="C108" s="98" t="n">
        <x:v>11</x:v>
      </x:c>
      <x:c r="D108" s="98" t="n">
        <x:v>102</x:v>
      </x:c>
      <x:c r="E108" s="98" t="n">
        <x:v>100</x:v>
      </x:c>
      <x:c r="F108" s="99" t="str">
        <x:v>Circuits → Sequential Logic → Counters</x:v>
      </x:c>
      <x:c r="G108" s="99" t="str">
        <x:v>Slow decade counter</x:v>
      </x:c>
      <x:c r="H108" s="99" t="str">
        <x:v>Blind re-solve and repair the exact mistake from Pass 1.</x:v>
      </x:c>
      <x:c r="I108" s="98" t="str">
        <x:v>Not Started</x:v>
      </x:c>
      <x:c r="J108" s="98"/>
      <x:c r="K108" s="98" t="str">
        <x:v>None</x:v>
      </x:c>
      <x:c r="L108" s="99"/>
      <x:c r="M108" s="99"/>
      <x:c r="N108" s="99"/>
    </x:row>
    <x:row r="109" ht="34.5" customHeight="1">
      <x:c r="A109" s="34" t="n">
        <x:v>46245</x:v>
      </x:c>
      <x:c r="B109" s="98" t="str">
        <x:v>Revision 1</x:v>
      </x:c>
      <x:c r="C109" s="98" t="n">
        <x:v>11</x:v>
      </x:c>
      <x:c r="D109" s="98" t="n">
        <x:v>103</x:v>
      </x:c>
      <x:c r="E109" s="98" t="n">
        <x:v>143</x:v>
      </x:c>
      <x:c r="F109" s="99" t="str">
        <x:v>Circuits → Sequential Logic → Counters</x:v>
      </x:c>
      <x:c r="G109" s="99" t="str">
        <x:v>Counter 1-12</x:v>
      </x:c>
      <x:c r="H109" s="99" t="str">
        <x:v>Blind re-solve and repair the exact mistake from Pass 1.</x:v>
      </x:c>
      <x:c r="I109" s="98" t="str">
        <x:v>Not Started</x:v>
      </x:c>
      <x:c r="J109" s="98"/>
      <x:c r="K109" s="98" t="str">
        <x:v>None</x:v>
      </x:c>
      <x:c r="L109" s="99"/>
      <x:c r="M109" s="99"/>
      <x:c r="N109" s="99"/>
    </x:row>
    <x:row r="110" ht="34.5" customHeight="1">
      <x:c r="A110" s="34" t="n">
        <x:v>46245</x:v>
      </x:c>
      <x:c r="B110" s="98" t="str">
        <x:v>Revision 1</x:v>
      </x:c>
      <x:c r="C110" s="98" t="n">
        <x:v>11</x:v>
      </x:c>
      <x:c r="D110" s="98" t="n">
        <x:v>104</x:v>
      </x:c>
      <x:c r="E110" s="98" t="n">
        <x:v>144</x:v>
      </x:c>
      <x:c r="F110" s="99" t="str">
        <x:v>Circuits → Sequential Logic → Counters</x:v>
      </x:c>
      <x:c r="G110" s="99" t="str">
        <x:v>Counter 1000</x:v>
      </x:c>
      <x:c r="H110" s="99" t="str">
        <x:v>Blind re-solve and repair the exact mistake from Pass 1.</x:v>
      </x:c>
      <x:c r="I110" s="98" t="str">
        <x:v>Not Started</x:v>
      </x:c>
      <x:c r="J110" s="98"/>
      <x:c r="K110" s="98" t="str">
        <x:v>None</x:v>
      </x:c>
      <x:c r="L110" s="99"/>
      <x:c r="M110" s="99"/>
      <x:c r="N110" s="99"/>
    </x:row>
    <x:row r="111" ht="34.5" customHeight="1">
      <x:c r="A111" s="34" t="n">
        <x:v>46245</x:v>
      </x:c>
      <x:c r="B111" s="98" t="str">
        <x:v>Revision 1</x:v>
      </x:c>
      <x:c r="C111" s="98" t="n">
        <x:v>11</x:v>
      </x:c>
      <x:c r="D111" s="98" t="n">
        <x:v>105</x:v>
      </x:c>
      <x:c r="E111" s="98" t="n">
        <x:v>145</x:v>
      </x:c>
      <x:c r="F111" s="99" t="str">
        <x:v>Circuits → Sequential Logic → Counters</x:v>
      </x:c>
      <x:c r="G111" s="99" t="str">
        <x:v>4-digit decimal counter</x:v>
      </x:c>
      <x:c r="H111" s="99" t="str">
        <x:v>Blind re-solve and repair the exact mistake from Pass 1.</x:v>
      </x:c>
      <x:c r="I111" s="98" t="str">
        <x:v>Not Started</x:v>
      </x:c>
      <x:c r="J111" s="98"/>
      <x:c r="K111" s="98" t="str">
        <x:v>None</x:v>
      </x:c>
      <x:c r="L111" s="99"/>
      <x:c r="M111" s="99"/>
      <x:c r="N111" s="99"/>
    </x:row>
    <x:row r="112" ht="34.5" customHeight="1">
      <x:c r="A112" s="34" t="n">
        <x:v>46245</x:v>
      </x:c>
      <x:c r="B112" s="98" t="str">
        <x:v>Revision 1</x:v>
      </x:c>
      <x:c r="C112" s="98" t="n">
        <x:v>11</x:v>
      </x:c>
      <x:c r="D112" s="98" t="n">
        <x:v>106</x:v>
      </x:c>
      <x:c r="E112" s="98" t="n">
        <x:v>146</x:v>
      </x:c>
      <x:c r="F112" s="99" t="str">
        <x:v>Circuits → Sequential Logic → Counters</x:v>
      </x:c>
      <x:c r="G112" s="99" t="str">
        <x:v>12-hour clock</x:v>
      </x:c>
      <x:c r="H112" s="99" t="str">
        <x:v>Blind re-solve and repair the exact mistake from Pass 1.</x:v>
      </x:c>
      <x:c r="I112" s="98" t="str">
        <x:v>Not Started</x:v>
      </x:c>
      <x:c r="J112" s="98"/>
      <x:c r="K112" s="98" t="str">
        <x:v>None</x:v>
      </x:c>
      <x:c r="L112" s="99"/>
      <x:c r="M112" s="99"/>
      <x:c r="N112" s="99"/>
    </x:row>
    <x:row r="113" ht="34.5" customHeight="1">
      <x:c r="A113" s="34" t="n">
        <x:v>46245</x:v>
      </x:c>
      <x:c r="B113" s="98" t="str">
        <x:v>Revision 1</x:v>
      </x:c>
      <x:c r="C113" s="98" t="n">
        <x:v>11</x:v>
      </x:c>
      <x:c r="D113" s="98" t="n">
        <x:v>107</x:v>
      </x:c>
      <x:c r="E113" s="98" t="n">
        <x:v>101</x:v>
      </x:c>
      <x:c r="F113" s="99" t="str">
        <x:v>Circuits → Sequential Logic → Shift Registers</x:v>
      </x:c>
      <x:c r="G113" s="99" t="str">
        <x:v>4-bit shift register</x:v>
      </x:c>
      <x:c r="H113" s="99" t="str">
        <x:v>Blind re-solve and repair the exact mistake from Pass 1.</x:v>
      </x:c>
      <x:c r="I113" s="98" t="str">
        <x:v>Not Started</x:v>
      </x:c>
      <x:c r="J113" s="98"/>
      <x:c r="K113" s="98" t="str">
        <x:v>None</x:v>
      </x:c>
      <x:c r="L113" s="99"/>
      <x:c r="M113" s="99"/>
      <x:c r="N113" s="99"/>
    </x:row>
    <x:row r="114" ht="34.5" customHeight="1">
      <x:c r="A114" s="34" t="n">
        <x:v>46245</x:v>
      </x:c>
      <x:c r="B114" s="98" t="str">
        <x:v>Revision 1</x:v>
      </x:c>
      <x:c r="C114" s="98" t="n">
        <x:v>11</x:v>
      </x:c>
      <x:c r="D114" s="98" t="n">
        <x:v>108</x:v>
      </x:c>
      <x:c r="E114" s="98" t="n">
        <x:v>102</x:v>
      </x:c>
      <x:c r="F114" s="99" t="str">
        <x:v>Circuits → Sequential Logic → Shift Registers</x:v>
      </x:c>
      <x:c r="G114" s="99" t="str">
        <x:v>Left/right rotator</x:v>
      </x:c>
      <x:c r="H114" s="99" t="str">
        <x:v>Blind re-solve and repair the exact mistake from Pass 1.</x:v>
      </x:c>
      <x:c r="I114" s="98" t="str">
        <x:v>Not Started</x:v>
      </x:c>
      <x:c r="J114" s="98"/>
      <x:c r="K114" s="98" t="str">
        <x:v>None</x:v>
      </x:c>
      <x:c r="L114" s="99"/>
      <x:c r="M114" s="99"/>
      <x:c r="N114" s="99"/>
    </x:row>
    <x:row r="115" ht="34.5" customHeight="1">
      <x:c r="A115" s="34" t="n">
        <x:v>46245</x:v>
      </x:c>
      <x:c r="B115" s="98" t="str">
        <x:v>Revision 1</x:v>
      </x:c>
      <x:c r="C115" s="98" t="n">
        <x:v>11</x:v>
      </x:c>
      <x:c r="D115" s="98" t="n">
        <x:v>109</x:v>
      </x:c>
      <x:c r="E115" s="98" t="n">
        <x:v>103</x:v>
      </x:c>
      <x:c r="F115" s="99" t="str">
        <x:v>Circuits → Sequential Logic → Shift Registers</x:v>
      </x:c>
      <x:c r="G115" s="99" t="str">
        <x:v>Left/right arithmetic shift by 1 or 8</x:v>
      </x:c>
      <x:c r="H115" s="99" t="str">
        <x:v>Blind re-solve and repair the exact mistake from Pass 1.</x:v>
      </x:c>
      <x:c r="I115" s="98" t="str">
        <x:v>Not Started</x:v>
      </x:c>
      <x:c r="J115" s="98"/>
      <x:c r="K115" s="98" t="str">
        <x:v>None</x:v>
      </x:c>
      <x:c r="L115" s="99"/>
      <x:c r="M115" s="99"/>
      <x:c r="N115" s="99"/>
    </x:row>
    <x:row r="116" ht="34.5" customHeight="1">
      <x:c r="A116" s="34" t="n">
        <x:v>46245</x:v>
      </x:c>
      <x:c r="B116" s="98" t="str">
        <x:v>Revision 1</x:v>
      </x:c>
      <x:c r="C116" s="98" t="n">
        <x:v>11</x:v>
      </x:c>
      <x:c r="D116" s="98" t="n">
        <x:v>110</x:v>
      </x:c>
      <x:c r="E116" s="98" t="n">
        <x:v>104</x:v>
      </x:c>
      <x:c r="F116" s="99" t="str">
        <x:v>Circuits → Sequential Logic → Shift Registers</x:v>
      </x:c>
      <x:c r="G116" s="99" t="str">
        <x:v>5-bit LFSR</x:v>
      </x:c>
      <x:c r="H116" s="99" t="str">
        <x:v>Blind re-solve and repair the exact mistake from Pass 1.</x:v>
      </x:c>
      <x:c r="I116" s="98" t="str">
        <x:v>Not Started</x:v>
      </x:c>
      <x:c r="J116" s="98"/>
      <x:c r="K116" s="98" t="str">
        <x:v>None</x:v>
      </x:c>
      <x:c r="L116" s="99"/>
      <x:c r="M116" s="99"/>
      <x:c r="N116" s="99"/>
    </x:row>
    <x:row r="117" ht="34.5" customHeight="1">
      <x:c r="A117" s="34" t="n">
        <x:v>46246</x:v>
      </x:c>
      <x:c r="B117" s="98" t="str">
        <x:v>Revision 1</x:v>
      </x:c>
      <x:c r="C117" s="98" t="n">
        <x:v>12</x:v>
      </x:c>
      <x:c r="D117" s="98" t="n">
        <x:v>111</x:v>
      </x:c>
      <x:c r="E117" s="98" t="n">
        <x:v>105</x:v>
      </x:c>
      <x:c r="F117" s="99" t="str">
        <x:v>Circuits → Sequential Logic → Shift Registers</x:v>
      </x:c>
      <x:c r="G117" s="99" t="str">
        <x:v>3-bit LFSR</x:v>
      </x:c>
      <x:c r="H117" s="99" t="str">
        <x:v>Blind re-solve and repair the exact mistake from Pass 1.</x:v>
      </x:c>
      <x:c r="I117" s="98" t="str">
        <x:v>Not Started</x:v>
      </x:c>
      <x:c r="J117" s="98"/>
      <x:c r="K117" s="98" t="str">
        <x:v>None</x:v>
      </x:c>
      <x:c r="L117" s="99"/>
      <x:c r="M117" s="99"/>
      <x:c r="N117" s="99"/>
    </x:row>
    <x:row r="118" ht="34.5" customHeight="1">
      <x:c r="A118" s="34" t="n">
        <x:v>46246</x:v>
      </x:c>
      <x:c r="B118" s="98" t="str">
        <x:v>Revision 1</x:v>
      </x:c>
      <x:c r="C118" s="98" t="n">
        <x:v>12</x:v>
      </x:c>
      <x:c r="D118" s="98" t="n">
        <x:v>112</x:v>
      </x:c>
      <x:c r="E118" s="98" t="n">
        <x:v>106</x:v>
      </x:c>
      <x:c r="F118" s="99" t="str">
        <x:v>Circuits → Sequential Logic → Shift Registers</x:v>
      </x:c>
      <x:c r="G118" s="99" t="str">
        <x:v>32-bit LFSR</x:v>
      </x:c>
      <x:c r="H118" s="99" t="str">
        <x:v>Blind re-solve and repair the exact mistake from Pass 1.</x:v>
      </x:c>
      <x:c r="I118" s="98" t="str">
        <x:v>Not Started</x:v>
      </x:c>
      <x:c r="J118" s="98"/>
      <x:c r="K118" s="98" t="str">
        <x:v>None</x:v>
      </x:c>
      <x:c r="L118" s="99"/>
      <x:c r="M118" s="99"/>
      <x:c r="N118" s="99"/>
    </x:row>
    <x:row r="119" ht="34.5" customHeight="1">
      <x:c r="A119" s="34" t="n">
        <x:v>46246</x:v>
      </x:c>
      <x:c r="B119" s="98" t="str">
        <x:v>Revision 1</x:v>
      </x:c>
      <x:c r="C119" s="98" t="n">
        <x:v>12</x:v>
      </x:c>
      <x:c r="D119" s="98" t="n">
        <x:v>113</x:v>
      </x:c>
      <x:c r="E119" s="98" t="n">
        <x:v>107</x:v>
      </x:c>
      <x:c r="F119" s="99" t="str">
        <x:v>Circuits → Sequential Logic → Shift Registers</x:v>
      </x:c>
      <x:c r="G119" s="99" t="str">
        <x:v>Shift register</x:v>
      </x:c>
      <x:c r="H119" s="99" t="str">
        <x:v>Blind re-solve and repair the exact mistake from Pass 1.</x:v>
      </x:c>
      <x:c r="I119" s="98" t="str">
        <x:v>Not Started</x:v>
      </x:c>
      <x:c r="J119" s="98"/>
      <x:c r="K119" s="98" t="str">
        <x:v>None</x:v>
      </x:c>
      <x:c r="L119" s="99"/>
      <x:c r="M119" s="99"/>
      <x:c r="N119" s="99"/>
    </x:row>
    <x:row r="120" ht="34.5" customHeight="1">
      <x:c r="A120" s="34" t="n">
        <x:v>46246</x:v>
      </x:c>
      <x:c r="B120" s="98" t="str">
        <x:v>Revision 1</x:v>
      </x:c>
      <x:c r="C120" s="98" t="n">
        <x:v>12</x:v>
      </x:c>
      <x:c r="D120" s="98" t="n">
        <x:v>114</x:v>
      </x:c>
      <x:c r="E120" s="98" t="n">
        <x:v>108</x:v>
      </x:c>
      <x:c r="F120" s="99" t="str">
        <x:v>Circuits → Sequential Logic → Shift Registers</x:v>
      </x:c>
      <x:c r="G120" s="99" t="str">
        <x:v>Shift register</x:v>
      </x:c>
      <x:c r="H120" s="99" t="str">
        <x:v>Blind re-solve and repair the exact mistake from Pass 1.</x:v>
      </x:c>
      <x:c r="I120" s="98" t="str">
        <x:v>Not Started</x:v>
      </x:c>
      <x:c r="J120" s="98"/>
      <x:c r="K120" s="98" t="str">
        <x:v>None</x:v>
      </x:c>
      <x:c r="L120" s="99"/>
      <x:c r="M120" s="99"/>
      <x:c r="N120" s="99"/>
    </x:row>
    <x:row r="121" ht="34.5" customHeight="1">
      <x:c r="A121" s="34" t="n">
        <x:v>46246</x:v>
      </x:c>
      <x:c r="B121" s="98" t="str">
        <x:v>Revision 1</x:v>
      </x:c>
      <x:c r="C121" s="98" t="n">
        <x:v>12</x:v>
      </x:c>
      <x:c r="D121" s="98" t="n">
        <x:v>115</x:v>
      </x:c>
      <x:c r="E121" s="98" t="n">
        <x:v>109</x:v>
      </x:c>
      <x:c r="F121" s="99" t="str">
        <x:v>Circuits → Sequential Logic → Shift Registers</x:v>
      </x:c>
      <x:c r="G121" s="99" t="str">
        <x:v>3-input LUT</x:v>
      </x:c>
      <x:c r="H121" s="99" t="str">
        <x:v>Blind re-solve and repair the exact mistake from Pass 1.</x:v>
      </x:c>
      <x:c r="I121" s="98" t="str">
        <x:v>Not Started</x:v>
      </x:c>
      <x:c r="J121" s="98"/>
      <x:c r="K121" s="98" t="str">
        <x:v>None</x:v>
      </x:c>
      <x:c r="L121" s="99"/>
      <x:c r="M121" s="99"/>
      <x:c r="N121" s="99"/>
    </x:row>
    <x:row r="122" ht="34.5" customHeight="1">
      <x:c r="A122" s="34" t="n">
        <x:v>46246</x:v>
      </x:c>
      <x:c r="B122" s="98" t="str">
        <x:v>Revision 1</x:v>
      </x:c>
      <x:c r="C122" s="98" t="n">
        <x:v>12</x:v>
      </x:c>
      <x:c r="D122" s="98" t="n">
        <x:v>116</x:v>
      </x:c>
      <x:c r="E122" s="98" t="n">
        <x:v>175</x:v>
      </x:c>
      <x:c r="F122" s="99" t="str">
        <x:v>Circuits → Sequential Logic → More Circuits</x:v>
      </x:c>
      <x:c r="G122" s="99" t="str">
        <x:v>Rule 90</x:v>
      </x:c>
      <x:c r="H122" s="99" t="str">
        <x:v>Blind re-solve and repair the exact mistake from Pass 1.</x:v>
      </x:c>
      <x:c r="I122" s="98" t="str">
        <x:v>Not Started</x:v>
      </x:c>
      <x:c r="J122" s="98"/>
      <x:c r="K122" s="98" t="str">
        <x:v>None</x:v>
      </x:c>
      <x:c r="L122" s="99"/>
      <x:c r="M122" s="99"/>
      <x:c r="N122" s="99"/>
    </x:row>
    <x:row r="123" ht="34.5" customHeight="1">
      <x:c r="A123" s="34" t="n">
        <x:v>46246</x:v>
      </x:c>
      <x:c r="B123" s="98" t="str">
        <x:v>Revision 1</x:v>
      </x:c>
      <x:c r="C123" s="98" t="n">
        <x:v>12</x:v>
      </x:c>
      <x:c r="D123" s="98" t="n">
        <x:v>117</x:v>
      </x:c>
      <x:c r="E123" s="98" t="n">
        <x:v>176</x:v>
      </x:c>
      <x:c r="F123" s="99" t="str">
        <x:v>Circuits → Sequential Logic → More Circuits</x:v>
      </x:c>
      <x:c r="G123" s="99" t="str">
        <x:v>Rule 110</x:v>
      </x:c>
      <x:c r="H123" s="99" t="str">
        <x:v>Blind re-solve and repair the exact mistake from Pass 1.</x:v>
      </x:c>
      <x:c r="I123" s="98" t="str">
        <x:v>Not Started</x:v>
      </x:c>
      <x:c r="J123" s="98"/>
      <x:c r="K123" s="98" t="str">
        <x:v>None</x:v>
      </x:c>
      <x:c r="L123" s="99"/>
      <x:c r="M123" s="99"/>
      <x:c r="N123" s="99"/>
    </x:row>
    <x:row r="124" ht="34.5" customHeight="1">
      <x:c r="A124" s="34" t="n">
        <x:v>46246</x:v>
      </x:c>
      <x:c r="B124" s="98" t="str">
        <x:v>Revision 1</x:v>
      </x:c>
      <x:c r="C124" s="98" t="n">
        <x:v>12</x:v>
      </x:c>
      <x:c r="D124" s="98" t="n">
        <x:v>118</x:v>
      </x:c>
      <x:c r="E124" s="98" t="n">
        <x:v>179</x:v>
      </x:c>
      <x:c r="F124" s="99" t="str">
        <x:v>Circuits → Sequential Logic → More Circuits</x:v>
      </x:c>
      <x:c r="G124" s="99" t="str">
        <x:v>Conway's Game of Life 16x16</x:v>
      </x:c>
      <x:c r="H124" s="99" t="str">
        <x:v>Blind re-solve and repair the exact mistake from Pass 1.</x:v>
      </x:c>
      <x:c r="I124" s="98" t="str">
        <x:v>Not Started</x:v>
      </x:c>
      <x:c r="J124" s="98"/>
      <x:c r="K124" s="98" t="str">
        <x:v>None</x:v>
      </x:c>
      <x:c r="L124" s="99"/>
      <x:c r="M124" s="99"/>
      <x:c r="N124" s="99"/>
    </x:row>
    <x:row r="125" ht="34.5" customHeight="1">
      <x:c r="A125" s="34" t="n">
        <x:v>46246</x:v>
      </x:c>
      <x:c r="B125" s="98" t="str">
        <x:v>Revision 1</x:v>
      </x:c>
      <x:c r="C125" s="98" t="n">
        <x:v>12</x:v>
      </x:c>
      <x:c r="D125" s="98" t="n">
        <x:v>119</x:v>
      </x:c>
      <x:c r="E125" s="98" t="n">
        <x:v>110</x:v>
      </x:c>
      <x:c r="F125" s="99" t="str">
        <x:v>Circuits → Sequential Logic → Finite State Machines</x:v>
      </x:c>
      <x:c r="G125" s="99" t="str">
        <x:v>Simple FSM 1 (asynchronous reset)</x:v>
      </x:c>
      <x:c r="H125" s="99" t="str">
        <x:v>Blind re-solve and repair the exact mistake from Pass 1.</x:v>
      </x:c>
      <x:c r="I125" s="98" t="str">
        <x:v>Not Started</x:v>
      </x:c>
      <x:c r="J125" s="98"/>
      <x:c r="K125" s="98" t="str">
        <x:v>None</x:v>
      </x:c>
      <x:c r="L125" s="99"/>
      <x:c r="M125" s="99"/>
      <x:c r="N125" s="99"/>
    </x:row>
    <x:row r="126" ht="34.5" customHeight="1">
      <x:c r="A126" s="34" t="n">
        <x:v>46246</x:v>
      </x:c>
      <x:c r="B126" s="98" t="str">
        <x:v>Revision 1</x:v>
      </x:c>
      <x:c r="C126" s="98" t="n">
        <x:v>12</x:v>
      </x:c>
      <x:c r="D126" s="98" t="n">
        <x:v>120</x:v>
      </x:c>
      <x:c r="E126" s="98" t="n">
        <x:v>111</x:v>
      </x:c>
      <x:c r="F126" s="99" t="str">
        <x:v>Circuits → Sequential Logic → Finite State Machines</x:v>
      </x:c>
      <x:c r="G126" s="99" t="str">
        <x:v>Simple FSM 1 (synchronous reset)</x:v>
      </x:c>
      <x:c r="H126" s="99" t="str">
        <x:v>Blind re-solve and repair the exact mistake from Pass 1.</x:v>
      </x:c>
      <x:c r="I126" s="98" t="str">
        <x:v>Not Started</x:v>
      </x:c>
      <x:c r="J126" s="98"/>
      <x:c r="K126" s="98" t="str">
        <x:v>None</x:v>
      </x:c>
      <x:c r="L126" s="99"/>
      <x:c r="M126" s="99"/>
      <x:c r="N126" s="99"/>
    </x:row>
    <x:row r="127" ht="34.5" customHeight="1">
      <x:c r="A127" s="34" t="n">
        <x:v>46247</x:v>
      </x:c>
      <x:c r="B127" s="98" t="str">
        <x:v>Revision 1</x:v>
      </x:c>
      <x:c r="C127" s="98" t="n">
        <x:v>13</x:v>
      </x:c>
      <x:c r="D127" s="98" t="n">
        <x:v>121</x:v>
      </x:c>
      <x:c r="E127" s="98" t="n">
        <x:v>112</x:v>
      </x:c>
      <x:c r="F127" s="99" t="str">
        <x:v>Circuits → Sequential Logic → Finite State Machines</x:v>
      </x:c>
      <x:c r="G127" s="99" t="str">
        <x:v>Simple FSM 2 (asynchronous reset)</x:v>
      </x:c>
      <x:c r="H127" s="99" t="str">
        <x:v>Blind re-solve and repair the exact mistake from Pass 1.</x:v>
      </x:c>
      <x:c r="I127" s="98" t="str">
        <x:v>Not Started</x:v>
      </x:c>
      <x:c r="J127" s="98"/>
      <x:c r="K127" s="98" t="str">
        <x:v>None</x:v>
      </x:c>
      <x:c r="L127" s="99"/>
      <x:c r="M127" s="99"/>
      <x:c r="N127" s="99"/>
    </x:row>
    <x:row r="128" ht="34.5" customHeight="1">
      <x:c r="A128" s="34" t="n">
        <x:v>46247</x:v>
      </x:c>
      <x:c r="B128" s="98" t="str">
        <x:v>Revision 1</x:v>
      </x:c>
      <x:c r="C128" s="98" t="n">
        <x:v>13</x:v>
      </x:c>
      <x:c r="D128" s="98" t="n">
        <x:v>122</x:v>
      </x:c>
      <x:c r="E128" s="98" t="n">
        <x:v>113</x:v>
      </x:c>
      <x:c r="F128" s="99" t="str">
        <x:v>Circuits → Sequential Logic → Finite State Machines</x:v>
      </x:c>
      <x:c r="G128" s="99" t="str">
        <x:v>Simple FSM 2 (synchronous reset)</x:v>
      </x:c>
      <x:c r="H128" s="99" t="str">
        <x:v>Blind re-solve and repair the exact mistake from Pass 1.</x:v>
      </x:c>
      <x:c r="I128" s="98" t="str">
        <x:v>Not Started</x:v>
      </x:c>
      <x:c r="J128" s="98"/>
      <x:c r="K128" s="98" t="str">
        <x:v>None</x:v>
      </x:c>
      <x:c r="L128" s="99"/>
      <x:c r="M128" s="99"/>
      <x:c r="N128" s="99"/>
    </x:row>
    <x:row r="129" ht="34.5" customHeight="1">
      <x:c r="A129" s="34" t="n">
        <x:v>46247</x:v>
      </x:c>
      <x:c r="B129" s="98" t="str">
        <x:v>Revision 1</x:v>
      </x:c>
      <x:c r="C129" s="98" t="n">
        <x:v>13</x:v>
      </x:c>
      <x:c r="D129" s="98" t="n">
        <x:v>123</x:v>
      </x:c>
      <x:c r="E129" s="98" t="n">
        <x:v>114</x:v>
      </x:c>
      <x:c r="F129" s="99" t="str">
        <x:v>Circuits → Sequential Logic → Finite State Machines</x:v>
      </x:c>
      <x:c r="G129" s="99" t="str">
        <x:v>Simple state transitions 3</x:v>
      </x:c>
      <x:c r="H129" s="99" t="str">
        <x:v>Blind re-solve and repair the exact mistake from Pass 1.</x:v>
      </x:c>
      <x:c r="I129" s="98" t="str">
        <x:v>Not Started</x:v>
      </x:c>
      <x:c r="J129" s="98"/>
      <x:c r="K129" s="98" t="str">
        <x:v>None</x:v>
      </x:c>
      <x:c r="L129" s="99"/>
      <x:c r="M129" s="99"/>
      <x:c r="N129" s="99"/>
    </x:row>
    <x:row r="130" ht="34.5" customHeight="1">
      <x:c r="A130" s="34" t="n">
        <x:v>46247</x:v>
      </x:c>
      <x:c r="B130" s="98" t="str">
        <x:v>Revision 1</x:v>
      </x:c>
      <x:c r="C130" s="98" t="n">
        <x:v>13</x:v>
      </x:c>
      <x:c r="D130" s="98" t="n">
        <x:v>124</x:v>
      </x:c>
      <x:c r="E130" s="98" t="n">
        <x:v>115</x:v>
      </x:c>
      <x:c r="F130" s="99" t="str">
        <x:v>Circuits → Sequential Logic → Finite State Machines</x:v>
      </x:c>
      <x:c r="G130" s="99" t="str">
        <x:v>Simple one-hot state transitions 3</x:v>
      </x:c>
      <x:c r="H130" s="99" t="str">
        <x:v>Blind re-solve and repair the exact mistake from Pass 1.</x:v>
      </x:c>
      <x:c r="I130" s="98" t="str">
        <x:v>Not Started</x:v>
      </x:c>
      <x:c r="J130" s="98"/>
      <x:c r="K130" s="98" t="str">
        <x:v>None</x:v>
      </x:c>
      <x:c r="L130" s="99"/>
      <x:c r="M130" s="99"/>
      <x:c r="N130" s="99"/>
    </x:row>
    <x:row r="131" ht="34.5" customHeight="1">
      <x:c r="A131" s="34" t="n">
        <x:v>46247</x:v>
      </x:c>
      <x:c r="B131" s="98" t="str">
        <x:v>Revision 1</x:v>
      </x:c>
      <x:c r="C131" s="98" t="n">
        <x:v>13</x:v>
      </x:c>
      <x:c r="D131" s="98" t="n">
        <x:v>125</x:v>
      </x:c>
      <x:c r="E131" s="98" t="n">
        <x:v>116</x:v>
      </x:c>
      <x:c r="F131" s="99" t="str">
        <x:v>Circuits → Sequential Logic → Finite State Machines</x:v>
      </x:c>
      <x:c r="G131" s="99" t="str">
        <x:v>Simple FSM 3 (asynchronous reset)</x:v>
      </x:c>
      <x:c r="H131" s="99" t="str">
        <x:v>Blind re-solve and repair the exact mistake from Pass 1.</x:v>
      </x:c>
      <x:c r="I131" s="98" t="str">
        <x:v>Not Started</x:v>
      </x:c>
      <x:c r="J131" s="98"/>
      <x:c r="K131" s="98" t="str">
        <x:v>None</x:v>
      </x:c>
      <x:c r="L131" s="99"/>
      <x:c r="M131" s="99"/>
      <x:c r="N131" s="99"/>
    </x:row>
    <x:row r="132" ht="34.5" customHeight="1">
      <x:c r="A132" s="34" t="n">
        <x:v>46247</x:v>
      </x:c>
      <x:c r="B132" s="98" t="str">
        <x:v>Revision 1</x:v>
      </x:c>
      <x:c r="C132" s="98" t="n">
        <x:v>13</x:v>
      </x:c>
      <x:c r="D132" s="98" t="n">
        <x:v>126</x:v>
      </x:c>
      <x:c r="E132" s="98" t="n">
        <x:v>117</x:v>
      </x:c>
      <x:c r="F132" s="99" t="str">
        <x:v>Circuits → Sequential Logic → Finite State Machines</x:v>
      </x:c>
      <x:c r="G132" s="99" t="str">
        <x:v>Simple FSM 3 (synchronous reset)</x:v>
      </x:c>
      <x:c r="H132" s="99" t="str">
        <x:v>Blind re-solve and repair the exact mistake from Pass 1.</x:v>
      </x:c>
      <x:c r="I132" s="98" t="str">
        <x:v>Not Started</x:v>
      </x:c>
      <x:c r="J132" s="98"/>
      <x:c r="K132" s="98" t="str">
        <x:v>None</x:v>
      </x:c>
      <x:c r="L132" s="99"/>
      <x:c r="M132" s="99"/>
      <x:c r="N132" s="99"/>
    </x:row>
    <x:row r="133" ht="34.5" customHeight="1">
      <x:c r="A133" s="34" t="n">
        <x:v>46247</x:v>
      </x:c>
      <x:c r="B133" s="98" t="str">
        <x:v>Revision 1</x:v>
      </x:c>
      <x:c r="C133" s="98" t="n">
        <x:v>13</x:v>
      </x:c>
      <x:c r="D133" s="98" t="n">
        <x:v>127</x:v>
      </x:c>
      <x:c r="E133" s="98" t="n">
        <x:v>118</x:v>
      </x:c>
      <x:c r="F133" s="99" t="str">
        <x:v>Circuits → Sequential Logic → Finite State Machines</x:v>
      </x:c>
      <x:c r="G133" s="99" t="str">
        <x:v>Design a Moore FSM</x:v>
      </x:c>
      <x:c r="H133" s="99" t="str">
        <x:v>Blind re-solve and repair the exact mistake from Pass 1.</x:v>
      </x:c>
      <x:c r="I133" s="98" t="str">
        <x:v>Not Started</x:v>
      </x:c>
      <x:c r="J133" s="98"/>
      <x:c r="K133" s="98" t="str">
        <x:v>None</x:v>
      </x:c>
      <x:c r="L133" s="99"/>
      <x:c r="M133" s="99"/>
      <x:c r="N133" s="99"/>
    </x:row>
    <x:row r="134" ht="34.5" customHeight="1">
      <x:c r="A134" s="34" t="n">
        <x:v>46247</x:v>
      </x:c>
      <x:c r="B134" s="98" t="str">
        <x:v>Revision 1</x:v>
      </x:c>
      <x:c r="C134" s="98" t="n">
        <x:v>13</x:v>
      </x:c>
      <x:c r="D134" s="98" t="n">
        <x:v>128</x:v>
      </x:c>
      <x:c r="E134" s="98" t="n">
        <x:v>119</x:v>
      </x:c>
      <x:c r="F134" s="99" t="str">
        <x:v>Circuits → Sequential Logic → Finite State Machines</x:v>
      </x:c>
      <x:c r="G134" s="99" t="str">
        <x:v>Lemmings 1</x:v>
      </x:c>
      <x:c r="H134" s="99" t="str">
        <x:v>Blind re-solve and repair the exact mistake from Pass 1.</x:v>
      </x:c>
      <x:c r="I134" s="98" t="str">
        <x:v>Not Started</x:v>
      </x:c>
      <x:c r="J134" s="98"/>
      <x:c r="K134" s="98" t="str">
        <x:v>None</x:v>
      </x:c>
      <x:c r="L134" s="99"/>
      <x:c r="M134" s="99"/>
      <x:c r="N134" s="99"/>
    </x:row>
    <x:row r="135" ht="34.5" customHeight="1">
      <x:c r="A135" s="34" t="n">
        <x:v>46247</x:v>
      </x:c>
      <x:c r="B135" s="98" t="str">
        <x:v>Revision 1</x:v>
      </x:c>
      <x:c r="C135" s="98" t="n">
        <x:v>13</x:v>
      </x:c>
      <x:c r="D135" s="98" t="n">
        <x:v>129</x:v>
      </x:c>
      <x:c r="E135" s="98" t="n">
        <x:v>159</x:v>
      </x:c>
      <x:c r="F135" s="99" t="str">
        <x:v>Circuits → Sequential Logic → Finite State Machines</x:v>
      </x:c>
      <x:c r="G135" s="99" t="str">
        <x:v>Lemmings 2</x:v>
      </x:c>
      <x:c r="H135" s="99" t="str">
        <x:v>Blind re-solve and repair the exact mistake from Pass 1.</x:v>
      </x:c>
      <x:c r="I135" s="98" t="str">
        <x:v>Not Started</x:v>
      </x:c>
      <x:c r="J135" s="98"/>
      <x:c r="K135" s="98" t="str">
        <x:v>None</x:v>
      </x:c>
      <x:c r="L135" s="99"/>
      <x:c r="M135" s="99"/>
      <x:c r="N135" s="99"/>
    </x:row>
    <x:row r="136" ht="34.5" customHeight="1">
      <x:c r="A136" s="34" t="n">
        <x:v>46247</x:v>
      </x:c>
      <x:c r="B136" s="98" t="str">
        <x:v>Revision 1</x:v>
      </x:c>
      <x:c r="C136" s="98" t="n">
        <x:v>13</x:v>
      </x:c>
      <x:c r="D136" s="98" t="n">
        <x:v>130</x:v>
      </x:c>
      <x:c r="E136" s="98" t="n">
        <x:v>160</x:v>
      </x:c>
      <x:c r="F136" s="99" t="str">
        <x:v>Circuits → Sequential Logic → Finite State Machines</x:v>
      </x:c>
      <x:c r="G136" s="99" t="str">
        <x:v>Lemmings 3</x:v>
      </x:c>
      <x:c r="H136" s="99" t="str">
        <x:v>Blind re-solve and repair the exact mistake from Pass 1.</x:v>
      </x:c>
      <x:c r="I136" s="98" t="str">
        <x:v>Not Started</x:v>
      </x:c>
      <x:c r="J136" s="98"/>
      <x:c r="K136" s="98" t="str">
        <x:v>None</x:v>
      </x:c>
      <x:c r="L136" s="99"/>
      <x:c r="M136" s="99"/>
      <x:c r="N136" s="99"/>
    </x:row>
    <x:row r="137" ht="34.5" customHeight="1">
      <x:c r="A137" s="34" t="n">
        <x:v>46248</x:v>
      </x:c>
      <x:c r="B137" s="98" t="str">
        <x:v>Revision 1</x:v>
      </x:c>
      <x:c r="C137" s="98" t="n">
        <x:v>14</x:v>
      </x:c>
      <x:c r="D137" s="98" t="n">
        <x:v>131</x:v>
      </x:c>
      <x:c r="E137" s="98" t="n">
        <x:v>161</x:v>
      </x:c>
      <x:c r="F137" s="99" t="str">
        <x:v>Circuits → Sequential Logic → Finite State Machines</x:v>
      </x:c>
      <x:c r="G137" s="99" t="str">
        <x:v>Lemmings 4</x:v>
      </x:c>
      <x:c r="H137" s="99" t="str">
        <x:v>Blind re-solve and repair the exact mistake from Pass 1.</x:v>
      </x:c>
      <x:c r="I137" s="98" t="str">
        <x:v>Not Started</x:v>
      </x:c>
      <x:c r="J137" s="98"/>
      <x:c r="K137" s="98" t="str">
        <x:v>None</x:v>
      </x:c>
      <x:c r="L137" s="99"/>
      <x:c r="M137" s="99"/>
      <x:c r="N137" s="99"/>
    </x:row>
    <x:row r="138" ht="34.5" customHeight="1">
      <x:c r="A138" s="34" t="n">
        <x:v>46248</x:v>
      </x:c>
      <x:c r="B138" s="98" t="str">
        <x:v>Revision 1</x:v>
      </x:c>
      <x:c r="C138" s="98" t="n">
        <x:v>14</x:v>
      </x:c>
      <x:c r="D138" s="98" t="n">
        <x:v>132</x:v>
      </x:c>
      <x:c r="E138" s="98" t="n">
        <x:v>162</x:v>
      </x:c>
      <x:c r="F138" s="99" t="str">
        <x:v>Circuits → Sequential Logic → Finite State Machines</x:v>
      </x:c>
      <x:c r="G138" s="99" t="str">
        <x:v>One-hot FSM</x:v>
      </x:c>
      <x:c r="H138" s="99" t="str">
        <x:v>Blind re-solve and repair the exact mistake from Pass 1.</x:v>
      </x:c>
      <x:c r="I138" s="98" t="str">
        <x:v>Not Started</x:v>
      </x:c>
      <x:c r="J138" s="98"/>
      <x:c r="K138" s="98" t="str">
        <x:v>None</x:v>
      </x:c>
      <x:c r="L138" s="99"/>
      <x:c r="M138" s="99"/>
      <x:c r="N138" s="99"/>
    </x:row>
    <x:row r="139" ht="34.5" customHeight="1">
      <x:c r="A139" s="34" t="n">
        <x:v>46248</x:v>
      </x:c>
      <x:c r="B139" s="98" t="str">
        <x:v>Revision 1</x:v>
      </x:c>
      <x:c r="C139" s="98" t="n">
        <x:v>14</x:v>
      </x:c>
      <x:c r="D139" s="98" t="n">
        <x:v>133</x:v>
      </x:c>
      <x:c r="E139" s="98" t="n">
        <x:v>166</x:v>
      </x:c>
      <x:c r="F139" s="99" t="str">
        <x:v>Circuits → Sequential Logic → Finite State Machines</x:v>
      </x:c>
      <x:c r="G139" s="99" t="str">
        <x:v>PS/2 packet parser</x:v>
      </x:c>
      <x:c r="H139" s="99" t="str">
        <x:v>Blind re-solve and repair the exact mistake from Pass 1.</x:v>
      </x:c>
      <x:c r="I139" s="98" t="str">
        <x:v>Not Started</x:v>
      </x:c>
      <x:c r="J139" s="98"/>
      <x:c r="K139" s="98" t="str">
        <x:v>None</x:v>
      </x:c>
      <x:c r="L139" s="99"/>
      <x:c r="M139" s="99"/>
      <x:c r="N139" s="99"/>
    </x:row>
    <x:row r="140" ht="34.5" customHeight="1">
      <x:c r="A140" s="34" t="n">
        <x:v>46248</x:v>
      </x:c>
      <x:c r="B140" s="98" t="str">
        <x:v>Revision 1</x:v>
      </x:c>
      <x:c r="C140" s="98" t="n">
        <x:v>14</x:v>
      </x:c>
      <x:c r="D140" s="98" t="n">
        <x:v>134</x:v>
      </x:c>
      <x:c r="E140" s="98" t="n">
        <x:v>167</x:v>
      </x:c>
      <x:c r="F140" s="99" t="str">
        <x:v>Circuits → Sequential Logic → Finite State Machines</x:v>
      </x:c>
      <x:c r="G140" s="99" t="str">
        <x:v>PS/2 packet parser and datapath</x:v>
      </x:c>
      <x:c r="H140" s="99" t="str">
        <x:v>Blind re-solve and repair the exact mistake from Pass 1.</x:v>
      </x:c>
      <x:c r="I140" s="98" t="str">
        <x:v>Not Started</x:v>
      </x:c>
      <x:c r="J140" s="98"/>
      <x:c r="K140" s="98" t="str">
        <x:v>None</x:v>
      </x:c>
      <x:c r="L140" s="99"/>
      <x:c r="M140" s="99"/>
      <x:c r="N140" s="99"/>
    </x:row>
    <x:row r="141" ht="34.5" customHeight="1">
      <x:c r="A141" s="34" t="n">
        <x:v>46248</x:v>
      </x:c>
      <x:c r="B141" s="98" t="str">
        <x:v>Revision 1</x:v>
      </x:c>
      <x:c r="C141" s="98" t="n">
        <x:v>14</x:v>
      </x:c>
      <x:c r="D141" s="98" t="n">
        <x:v>135</x:v>
      </x:c>
      <x:c r="E141" s="98" t="n">
        <x:v>163</x:v>
      </x:c>
      <x:c r="F141" s="99" t="str">
        <x:v>Circuits → Sequential Logic → Finite State Machines</x:v>
      </x:c>
      <x:c r="G141" s="99" t="str">
        <x:v>Serial receiver</x:v>
      </x:c>
      <x:c r="H141" s="99" t="str">
        <x:v>Blind re-solve and repair the exact mistake from Pass 1.</x:v>
      </x:c>
      <x:c r="I141" s="98" t="str">
        <x:v>Not Started</x:v>
      </x:c>
      <x:c r="J141" s="98"/>
      <x:c r="K141" s="98" t="str">
        <x:v>None</x:v>
      </x:c>
      <x:c r="L141" s="99"/>
      <x:c r="M141" s="99"/>
      <x:c r="N141" s="99"/>
    </x:row>
    <x:row r="142" ht="34.5" customHeight="1">
      <x:c r="A142" s="34" t="n">
        <x:v>46248</x:v>
      </x:c>
      <x:c r="B142" s="98" t="str">
        <x:v>Revision 1</x:v>
      </x:c>
      <x:c r="C142" s="98" t="n">
        <x:v>14</x:v>
      </x:c>
      <x:c r="D142" s="98" t="n">
        <x:v>136</x:v>
      </x:c>
      <x:c r="E142" s="98" t="n">
        <x:v>164</x:v>
      </x:c>
      <x:c r="F142" s="99" t="str">
        <x:v>Circuits → Sequential Logic → Finite State Machines</x:v>
      </x:c>
      <x:c r="G142" s="99" t="str">
        <x:v>Serial receiver and datapath</x:v>
      </x:c>
      <x:c r="H142" s="99" t="str">
        <x:v>Blind re-solve and repair the exact mistake from Pass 1.</x:v>
      </x:c>
      <x:c r="I142" s="98" t="str">
        <x:v>Not Started</x:v>
      </x:c>
      <x:c r="J142" s="98"/>
      <x:c r="K142" s="98" t="str">
        <x:v>None</x:v>
      </x:c>
      <x:c r="L142" s="99"/>
      <x:c r="M142" s="99"/>
      <x:c r="N142" s="99"/>
    </x:row>
    <x:row r="143" ht="34.5" customHeight="1">
      <x:c r="A143" s="34" t="n">
        <x:v>46248</x:v>
      </x:c>
      <x:c r="B143" s="98" t="str">
        <x:v>Revision 1</x:v>
      </x:c>
      <x:c r="C143" s="98" t="n">
        <x:v>14</x:v>
      </x:c>
      <x:c r="D143" s="98" t="n">
        <x:v>137</x:v>
      </x:c>
      <x:c r="E143" s="98" t="n">
        <x:v>165</x:v>
      </x:c>
      <x:c r="F143" s="99" t="str">
        <x:v>Circuits → Sequential Logic → Finite State Machines</x:v>
      </x:c>
      <x:c r="G143" s="99" t="str">
        <x:v>Serial receiver with parity checking</x:v>
      </x:c>
      <x:c r="H143" s="99" t="str">
        <x:v>Blind re-solve and repair the exact mistake from Pass 1.</x:v>
      </x:c>
      <x:c r="I143" s="98" t="str">
        <x:v>Not Started</x:v>
      </x:c>
      <x:c r="J143" s="98"/>
      <x:c r="K143" s="98" t="str">
        <x:v>None</x:v>
      </x:c>
      <x:c r="L143" s="99"/>
      <x:c r="M143" s="99"/>
      <x:c r="N143" s="99"/>
    </x:row>
    <x:row r="144" ht="34.5" customHeight="1">
      <x:c r="A144" s="34" t="n">
        <x:v>46248</x:v>
      </x:c>
      <x:c r="B144" s="98" t="str">
        <x:v>Revision 1</x:v>
      </x:c>
      <x:c r="C144" s="98" t="n">
        <x:v>14</x:v>
      </x:c>
      <x:c r="D144" s="98" t="n">
        <x:v>138</x:v>
      </x:c>
      <x:c r="E144" s="98" t="n">
        <x:v>168</x:v>
      </x:c>
      <x:c r="F144" s="99" t="str">
        <x:v>Circuits → Sequential Logic → Finite State Machines</x:v>
      </x:c>
      <x:c r="G144" s="99" t="str">
        <x:v>Sequence recognition</x:v>
      </x:c>
      <x:c r="H144" s="99" t="str">
        <x:v>Blind re-solve and repair the exact mistake from Pass 1.</x:v>
      </x:c>
      <x:c r="I144" s="98" t="str">
        <x:v>Not Started</x:v>
      </x:c>
      <x:c r="J144" s="98"/>
      <x:c r="K144" s="98" t="str">
        <x:v>None</x:v>
      </x:c>
      <x:c r="L144" s="99"/>
      <x:c r="M144" s="99"/>
      <x:c r="N144" s="99"/>
    </x:row>
    <x:row r="145" ht="34.5" customHeight="1">
      <x:c r="A145" s="34" t="n">
        <x:v>46248</x:v>
      </x:c>
      <x:c r="B145" s="98" t="str">
        <x:v>Revision 1</x:v>
      </x:c>
      <x:c r="C145" s="98" t="n">
        <x:v>14</x:v>
      </x:c>
      <x:c r="D145" s="98" t="n">
        <x:v>139</x:v>
      </x:c>
      <x:c r="E145" s="98" t="n">
        <x:v>142</x:v>
      </x:c>
      <x:c r="F145" s="99" t="str">
        <x:v>Circuits → Sequential Logic → Finite State Machines</x:v>
      </x:c>
      <x:c r="G145" s="99" t="str">
        <x:v>Q8: Design a Mealy FSM</x:v>
      </x:c>
      <x:c r="H145" s="99" t="str">
        <x:v>Blind re-solve and repair the exact mistake from Pass 1.</x:v>
      </x:c>
      <x:c r="I145" s="98" t="str">
        <x:v>Not Started</x:v>
      </x:c>
      <x:c r="J145" s="98"/>
      <x:c r="K145" s="98" t="str">
        <x:v>None</x:v>
      </x:c>
      <x:c r="L145" s="99"/>
      <x:c r="M145" s="99"/>
      <x:c r="N145" s="99"/>
    </x:row>
    <x:row r="146" ht="34.5" customHeight="1">
      <x:c r="A146" s="34" t="n">
        <x:v>46248</x:v>
      </x:c>
      <x:c r="B146" s="98" t="str">
        <x:v>Revision 1</x:v>
      </x:c>
      <x:c r="C146" s="98" t="n">
        <x:v>14</x:v>
      </x:c>
      <x:c r="D146" s="98" t="n">
        <x:v>140</x:v>
      </x:c>
      <x:c r="E146" s="98" t="n">
        <x:v>169</x:v>
      </x:c>
      <x:c r="F146" s="99" t="str">
        <x:v>Circuits → Sequential Logic → Finite State Machines</x:v>
      </x:c>
      <x:c r="G146" s="99" t="str">
        <x:v>Q5a: Serial two's complementer (Moore FSM)</x:v>
      </x:c>
      <x:c r="H146" s="99" t="str">
        <x:v>Blind re-solve and repair the exact mistake from Pass 1.</x:v>
      </x:c>
      <x:c r="I146" s="98" t="str">
        <x:v>Not Started</x:v>
      </x:c>
      <x:c r="J146" s="98"/>
      <x:c r="K146" s="98" t="str">
        <x:v>None</x:v>
      </x:c>
      <x:c r="L146" s="99"/>
      <x:c r="M146" s="99"/>
      <x:c r="N146" s="99"/>
    </x:row>
    <x:row r="147" ht="34.5" customHeight="1">
      <x:c r="A147" s="34" t="n">
        <x:v>46249</x:v>
      </x:c>
      <x:c r="B147" s="98" t="str">
        <x:v>Revision 1</x:v>
      </x:c>
      <x:c r="C147" s="98" t="n">
        <x:v>15</x:v>
      </x:c>
      <x:c r="D147" s="98" t="n">
        <x:v>141</x:v>
      </x:c>
      <x:c r="E147" s="98" t="n">
        <x:v>170</x:v>
      </x:c>
      <x:c r="F147" s="99" t="str">
        <x:v>Circuits → Sequential Logic → Finite State Machines</x:v>
      </x:c>
      <x:c r="G147" s="99" t="str">
        <x:v>Q5b: Serial two's complementer (Mealy FSM)</x:v>
      </x:c>
      <x:c r="H147" s="99" t="str">
        <x:v>Blind re-solve and repair the exact mistake from Pass 1.</x:v>
      </x:c>
      <x:c r="I147" s="98" t="str">
        <x:v>Not Started</x:v>
      </x:c>
      <x:c r="J147" s="98"/>
      <x:c r="K147" s="98" t="str">
        <x:v>None</x:v>
      </x:c>
      <x:c r="L147" s="99"/>
      <x:c r="M147" s="99"/>
      <x:c r="N147" s="99"/>
    </x:row>
    <x:row r="148" ht="34.5" customHeight="1">
      <x:c r="A148" s="34" t="n">
        <x:v>46249</x:v>
      </x:c>
      <x:c r="B148" s="98" t="str">
        <x:v>Revision 1</x:v>
      </x:c>
      <x:c r="C148" s="98" t="n">
        <x:v>15</x:v>
      </x:c>
      <x:c r="D148" s="98" t="n">
        <x:v>142</x:v>
      </x:c>
      <x:c r="E148" s="98" t="n">
        <x:v>155</x:v>
      </x:c>
      <x:c r="F148" s="99" t="str">
        <x:v>Circuits → Sequential Logic → Finite State Machines</x:v>
      </x:c>
      <x:c r="G148" s="99" t="str">
        <x:v>Q3a: FSM</x:v>
      </x:c>
      <x:c r="H148" s="99" t="str">
        <x:v>Blind re-solve and repair the exact mistake from Pass 1.</x:v>
      </x:c>
      <x:c r="I148" s="98" t="str">
        <x:v>Not Started</x:v>
      </x:c>
      <x:c r="J148" s="98"/>
      <x:c r="K148" s="98" t="str">
        <x:v>None</x:v>
      </x:c>
      <x:c r="L148" s="99"/>
      <x:c r="M148" s="99"/>
      <x:c r="N148" s="99"/>
    </x:row>
    <x:row r="149" ht="34.5" customHeight="1">
      <x:c r="A149" s="34" t="n">
        <x:v>46249</x:v>
      </x:c>
      <x:c r="B149" s="98" t="str">
        <x:v>Revision 1</x:v>
      </x:c>
      <x:c r="C149" s="98" t="n">
        <x:v>15</x:v>
      </x:c>
      <x:c r="D149" s="98" t="n">
        <x:v>143</x:v>
      </x:c>
      <x:c r="E149" s="98" t="n">
        <x:v>156</x:v>
      </x:c>
      <x:c r="F149" s="99" t="str">
        <x:v>Circuits → Sequential Logic → Finite State Machines</x:v>
      </x:c>
      <x:c r="G149" s="99" t="str">
        <x:v>Q3b: FSM</x:v>
      </x:c>
      <x:c r="H149" s="99" t="str">
        <x:v>Blind re-solve and repair the exact mistake from Pass 1.</x:v>
      </x:c>
      <x:c r="I149" s="98" t="str">
        <x:v>Not Started</x:v>
      </x:c>
      <x:c r="J149" s="98"/>
      <x:c r="K149" s="98" t="str">
        <x:v>None</x:v>
      </x:c>
      <x:c r="L149" s="99"/>
      <x:c r="M149" s="99"/>
      <x:c r="N149" s="99"/>
    </x:row>
    <x:row r="150" ht="34.5" customHeight="1">
      <x:c r="A150" s="34" t="n">
        <x:v>46249</x:v>
      </x:c>
      <x:c r="B150" s="98" t="str">
        <x:v>Revision 1</x:v>
      </x:c>
      <x:c r="C150" s="98" t="n">
        <x:v>15</x:v>
      </x:c>
      <x:c r="D150" s="98" t="n">
        <x:v>144</x:v>
      </x:c>
      <x:c r="E150" s="98" t="n">
        <x:v>157</x:v>
      </x:c>
      <x:c r="F150" s="99" t="str">
        <x:v>Circuits → Sequential Logic → Finite State Machines</x:v>
      </x:c>
      <x:c r="G150" s="99" t="str">
        <x:v>Q3c: FSM logic</x:v>
      </x:c>
      <x:c r="H150" s="99" t="str">
        <x:v>Blind re-solve and repair the exact mistake from Pass 1.</x:v>
      </x:c>
      <x:c r="I150" s="98" t="str">
        <x:v>Not Started</x:v>
      </x:c>
      <x:c r="J150" s="98"/>
      <x:c r="K150" s="98" t="str">
        <x:v>None</x:v>
      </x:c>
      <x:c r="L150" s="99"/>
      <x:c r="M150" s="99"/>
      <x:c r="N150" s="99"/>
    </x:row>
    <x:row r="151" ht="34.5" customHeight="1">
      <x:c r="A151" s="34" t="n">
        <x:v>46249</x:v>
      </x:c>
      <x:c r="B151" s="98" t="str">
        <x:v>Revision 1</x:v>
      </x:c>
      <x:c r="C151" s="98" t="n">
        <x:v>15</x:v>
      </x:c>
      <x:c r="D151" s="98" t="n">
        <x:v>145</x:v>
      </x:c>
      <x:c r="E151" s="98" t="n">
        <x:v>171</x:v>
      </x:c>
      <x:c r="F151" s="99" t="str">
        <x:v>Circuits → Sequential Logic → Finite State Machines</x:v>
      </x:c>
      <x:c r="G151" s="99" t="str">
        <x:v>Q6b: FSM next-state logic</x:v>
      </x:c>
      <x:c r="H151" s="99" t="str">
        <x:v>Blind re-solve and repair the exact mistake from Pass 1.</x:v>
      </x:c>
      <x:c r="I151" s="98" t="str">
        <x:v>Not Started</x:v>
      </x:c>
      <x:c r="J151" s="98"/>
      <x:c r="K151" s="98" t="str">
        <x:v>None</x:v>
      </x:c>
      <x:c r="L151" s="99"/>
      <x:c r="M151" s="99"/>
      <x:c r="N151" s="99"/>
    </x:row>
    <x:row r="152" ht="34.5" customHeight="1">
      <x:c r="A152" s="34" t="n">
        <x:v>46249</x:v>
      </x:c>
      <x:c r="B152" s="98" t="str">
        <x:v>Revision 1</x:v>
      </x:c>
      <x:c r="C152" s="98" t="n">
        <x:v>15</x:v>
      </x:c>
      <x:c r="D152" s="98" t="n">
        <x:v>146</x:v>
      </x:c>
      <x:c r="E152" s="98" t="n">
        <x:v>158</x:v>
      </x:c>
      <x:c r="F152" s="99" t="str">
        <x:v>Circuits → Sequential Logic → Finite State Machines</x:v>
      </x:c>
      <x:c r="G152" s="99" t="str">
        <x:v>Q6c: FSM one-hot next-state logic</x:v>
      </x:c>
      <x:c r="H152" s="99" t="str">
        <x:v>Blind re-solve and repair the exact mistake from Pass 1.</x:v>
      </x:c>
      <x:c r="I152" s="98" t="str">
        <x:v>Not Started</x:v>
      </x:c>
      <x:c r="J152" s="98"/>
      <x:c r="K152" s="98" t="str">
        <x:v>None</x:v>
      </x:c>
      <x:c r="L152" s="99"/>
      <x:c r="M152" s="99"/>
      <x:c r="N152" s="99"/>
    </x:row>
    <x:row r="153" ht="34.5" customHeight="1">
      <x:c r="A153" s="34" t="n">
        <x:v>46249</x:v>
      </x:c>
      <x:c r="B153" s="98" t="str">
        <x:v>Revision 1</x:v>
      </x:c>
      <x:c r="C153" s="98" t="n">
        <x:v>15</x:v>
      </x:c>
      <x:c r="D153" s="98" t="n">
        <x:v>147</x:v>
      </x:c>
      <x:c r="E153" s="98" t="n">
        <x:v>172</x:v>
      </x:c>
      <x:c r="F153" s="99" t="str">
        <x:v>Circuits → Sequential Logic → Finite State Machines</x:v>
      </x:c>
      <x:c r="G153" s="99" t="str">
        <x:v>Q6: FSM</x:v>
      </x:c>
      <x:c r="H153" s="99" t="str">
        <x:v>Blind re-solve and repair the exact mistake from Pass 1.</x:v>
      </x:c>
      <x:c r="I153" s="98" t="str">
        <x:v>Not Started</x:v>
      </x:c>
      <x:c r="J153" s="98"/>
      <x:c r="K153" s="98" t="str">
        <x:v>None</x:v>
      </x:c>
      <x:c r="L153" s="99"/>
      <x:c r="M153" s="99"/>
      <x:c r="N153" s="99"/>
    </x:row>
    <x:row r="154" ht="34.5" customHeight="1">
      <x:c r="A154" s="34" t="n">
        <x:v>46249</x:v>
      </x:c>
      <x:c r="B154" s="98" t="str">
        <x:v>Revision 1</x:v>
      </x:c>
      <x:c r="C154" s="98" t="n">
        <x:v>15</x:v>
      </x:c>
      <x:c r="D154" s="98" t="n">
        <x:v>148</x:v>
      </x:c>
      <x:c r="E154" s="98" t="n">
        <x:v>173</x:v>
      </x:c>
      <x:c r="F154" s="99" t="str">
        <x:v>Circuits → Sequential Logic → Finite State Machines</x:v>
      </x:c>
      <x:c r="G154" s="99" t="str">
        <x:v>Q2a: FSM</x:v>
      </x:c>
      <x:c r="H154" s="99" t="str">
        <x:v>Blind re-solve and repair the exact mistake from Pass 1.</x:v>
      </x:c>
      <x:c r="I154" s="98" t="str">
        <x:v>Not Started</x:v>
      </x:c>
      <x:c r="J154" s="98"/>
      <x:c r="K154" s="98" t="str">
        <x:v>None</x:v>
      </x:c>
      <x:c r="L154" s="99"/>
      <x:c r="M154" s="99"/>
      <x:c r="N154" s="99"/>
    </x:row>
    <x:row r="155" ht="34.5" customHeight="1">
      <x:c r="A155" s="34" t="n">
        <x:v>46249</x:v>
      </x:c>
      <x:c r="B155" s="98" t="str">
        <x:v>Revision 1</x:v>
      </x:c>
      <x:c r="C155" s="98" t="n">
        <x:v>15</x:v>
      </x:c>
      <x:c r="D155" s="98" t="n">
        <x:v>149</x:v>
      </x:c>
      <x:c r="E155" s="98" t="n">
        <x:v>174</x:v>
      </x:c>
      <x:c r="F155" s="99" t="str">
        <x:v>Circuits → Sequential Logic → Finite State Machines</x:v>
      </x:c>
      <x:c r="G155" s="99" t="str">
        <x:v>Q2b: One-hot FSM equations</x:v>
      </x:c>
      <x:c r="H155" s="99" t="str">
        <x:v>Blind re-solve and repair the exact mistake from Pass 1.</x:v>
      </x:c>
      <x:c r="I155" s="98" t="str">
        <x:v>Not Started</x:v>
      </x:c>
      <x:c r="J155" s="98"/>
      <x:c r="K155" s="98" t="str">
        <x:v>None</x:v>
      </x:c>
      <x:c r="L155" s="99"/>
      <x:c r="M155" s="99"/>
      <x:c r="N155" s="99"/>
    </x:row>
    <x:row r="156" ht="34.5" customHeight="1">
      <x:c r="A156" s="34" t="n">
        <x:v>46249</x:v>
      </x:c>
      <x:c r="B156" s="98" t="str">
        <x:v>Revision 1</x:v>
      </x:c>
      <x:c r="C156" s="98" t="n">
        <x:v>15</x:v>
      </x:c>
      <x:c r="D156" s="98" t="n">
        <x:v>150</x:v>
      </x:c>
      <x:c r="E156" s="98" t="n">
        <x:v>177</x:v>
      </x:c>
      <x:c r="F156" s="99" t="str">
        <x:v>Circuits → Sequential Logic → Finite State Machines</x:v>
      </x:c>
      <x:c r="G156" s="99" t="str">
        <x:v>Q2a: FSM</x:v>
      </x:c>
      <x:c r="H156" s="99" t="str">
        <x:v>Blind re-solve and repair the exact mistake from Pass 1.</x:v>
      </x:c>
      <x:c r="I156" s="98" t="str">
        <x:v>Not Started</x:v>
      </x:c>
      <x:c r="J156" s="98"/>
      <x:c r="K156" s="98" t="str">
        <x:v>None</x:v>
      </x:c>
      <x:c r="L156" s="99"/>
      <x:c r="M156" s="99"/>
      <x:c r="N156" s="99"/>
    </x:row>
    <x:row r="157" ht="34.5" customHeight="1">
      <x:c r="A157" s="34" t="n">
        <x:v>46250</x:v>
      </x:c>
      <x:c r="B157" s="98" t="str">
        <x:v>Revision 1</x:v>
      </x:c>
      <x:c r="C157" s="98" t="n">
        <x:v>16</x:v>
      </x:c>
      <x:c r="D157" s="98" t="n">
        <x:v>151</x:v>
      </x:c>
      <x:c r="E157" s="98" t="n">
        <x:v>121</x:v>
      </x:c>
      <x:c r="F157" s="99" t="str">
        <x:v>Circuits → Sequential Logic → Finite State Machines</x:v>
      </x:c>
      <x:c r="G157" s="99" t="str">
        <x:v>Q2b: Another FSM</x:v>
      </x:c>
      <x:c r="H157" s="99" t="str">
        <x:v>Blind re-solve and repair the exact mistake from Pass 1.</x:v>
      </x:c>
      <x:c r="I157" s="98" t="str">
        <x:v>Not Started</x:v>
      </x:c>
      <x:c r="J157" s="98"/>
      <x:c r="K157" s="98" t="str">
        <x:v>None</x:v>
      </x:c>
      <x:c r="L157" s="99"/>
      <x:c r="M157" s="99"/>
      <x:c r="N157" s="99"/>
    </x:row>
    <x:row r="158" ht="34.5" customHeight="1">
      <x:c r="A158" s="34" t="n">
        <x:v>46250</x:v>
      </x:c>
      <x:c r="B158" s="98" t="str">
        <x:v>Revision 1</x:v>
      </x:c>
      <x:c r="C158" s="98" t="n">
        <x:v>16</x:v>
      </x:c>
      <x:c r="D158" s="98" t="n">
        <x:v>152</x:v>
      </x:c>
      <x:c r="E158" s="98" t="n">
        <x:v>147</x:v>
      </x:c>
      <x:c r="F158" s="99" t="str">
        <x:v>Circuits → Building Larger Circuits</x:v>
      </x:c>
      <x:c r="G158" s="99" t="str">
        <x:v>Counter with period 1000</x:v>
      </x:c>
      <x:c r="H158" s="99" t="str">
        <x:v>Blind re-solve and repair the exact mistake from Pass 1.</x:v>
      </x:c>
      <x:c r="I158" s="98" t="str">
        <x:v>Not Started</x:v>
      </x:c>
      <x:c r="J158" s="98"/>
      <x:c r="K158" s="98" t="str">
        <x:v>None</x:v>
      </x:c>
      <x:c r="L158" s="99"/>
      <x:c r="M158" s="99"/>
      <x:c r="N158" s="99"/>
    </x:row>
    <x:row r="159" ht="34.5" customHeight="1">
      <x:c r="A159" s="34" t="n">
        <x:v>46250</x:v>
      </x:c>
      <x:c r="B159" s="98" t="str">
        <x:v>Revision 1</x:v>
      </x:c>
      <x:c r="C159" s="98" t="n">
        <x:v>16</x:v>
      </x:c>
      <x:c r="D159" s="98" t="n">
        <x:v>153</x:v>
      </x:c>
      <x:c r="E159" s="98" t="n">
        <x:v>148</x:v>
      </x:c>
      <x:c r="F159" s="99" t="str">
        <x:v>Circuits → Building Larger Circuits</x:v>
      </x:c>
      <x:c r="G159" s="99" t="str">
        <x:v>4-bit shift register and down counter</x:v>
      </x:c>
      <x:c r="H159" s="99" t="str">
        <x:v>Blind re-solve and repair the exact mistake from Pass 1.</x:v>
      </x:c>
      <x:c r="I159" s="98" t="str">
        <x:v>Not Started</x:v>
      </x:c>
      <x:c r="J159" s="98"/>
      <x:c r="K159" s="98" t="str">
        <x:v>None</x:v>
      </x:c>
      <x:c r="L159" s="99"/>
      <x:c r="M159" s="99"/>
      <x:c r="N159" s="99"/>
    </x:row>
    <x:row r="160" ht="34.5" customHeight="1">
      <x:c r="A160" s="34" t="n">
        <x:v>46250</x:v>
      </x:c>
      <x:c r="B160" s="98" t="str">
        <x:v>Revision 1</x:v>
      </x:c>
      <x:c r="C160" s="98" t="n">
        <x:v>16</x:v>
      </x:c>
      <x:c r="D160" s="98" t="n">
        <x:v>154</x:v>
      </x:c>
      <x:c r="E160" s="98" t="n">
        <x:v>149</x:v>
      </x:c>
      <x:c r="F160" s="99" t="str">
        <x:v>Circuits → Building Larger Circuits</x:v>
      </x:c>
      <x:c r="G160" s="99" t="str">
        <x:v>FSM: Sequence 1101 recognizer</x:v>
      </x:c>
      <x:c r="H160" s="99" t="str">
        <x:v>Blind re-solve and repair the exact mistake from Pass 1.</x:v>
      </x:c>
      <x:c r="I160" s="98" t="str">
        <x:v>Not Started</x:v>
      </x:c>
      <x:c r="J160" s="98"/>
      <x:c r="K160" s="98" t="str">
        <x:v>None</x:v>
      </x:c>
      <x:c r="L160" s="99"/>
      <x:c r="M160" s="99"/>
      <x:c r="N160" s="99"/>
    </x:row>
    <x:row r="161" ht="34.5" customHeight="1">
      <x:c r="A161" s="34" t="n">
        <x:v>46250</x:v>
      </x:c>
      <x:c r="B161" s="98" t="str">
        <x:v>Revision 1</x:v>
      </x:c>
      <x:c r="C161" s="98" t="n">
        <x:v>16</x:v>
      </x:c>
      <x:c r="D161" s="98" t="n">
        <x:v>155</x:v>
      </x:c>
      <x:c r="E161" s="98" t="n">
        <x:v>150</x:v>
      </x:c>
      <x:c r="F161" s="99" t="str">
        <x:v>Circuits → Building Larger Circuits</x:v>
      </x:c>
      <x:c r="G161" s="99" t="str">
        <x:v>FSM: Enable shift register</x:v>
      </x:c>
      <x:c r="H161" s="99" t="str">
        <x:v>Blind re-solve and repair the exact mistake from Pass 1.</x:v>
      </x:c>
      <x:c r="I161" s="98" t="str">
        <x:v>Not Started</x:v>
      </x:c>
      <x:c r="J161" s="98"/>
      <x:c r="K161" s="98" t="str">
        <x:v>None</x:v>
      </x:c>
      <x:c r="L161" s="99"/>
      <x:c r="M161" s="99"/>
      <x:c r="N161" s="99"/>
    </x:row>
    <x:row r="162" ht="34.5" customHeight="1">
      <x:c r="A162" s="34" t="n">
        <x:v>46250</x:v>
      </x:c>
      <x:c r="B162" s="98" t="str">
        <x:v>Revision 1</x:v>
      </x:c>
      <x:c r="C162" s="98" t="n">
        <x:v>16</x:v>
      </x:c>
      <x:c r="D162" s="98" t="n">
        <x:v>156</x:v>
      </x:c>
      <x:c r="E162" s="98" t="n">
        <x:v>153</x:v>
      </x:c>
      <x:c r="F162" s="99" t="str">
        <x:v>Circuits → Building Larger Circuits</x:v>
      </x:c>
      <x:c r="G162" s="99" t="str">
        <x:v>FSM: The complete FSM</x:v>
      </x:c>
      <x:c r="H162" s="99" t="str">
        <x:v>Blind re-solve and repair the exact mistake from Pass 1.</x:v>
      </x:c>
      <x:c r="I162" s="98" t="str">
        <x:v>Not Started</x:v>
      </x:c>
      <x:c r="J162" s="98"/>
      <x:c r="K162" s="98" t="str">
        <x:v>None</x:v>
      </x:c>
      <x:c r="L162" s="99"/>
      <x:c r="M162" s="99"/>
      <x:c r="N162" s="99"/>
    </x:row>
    <x:row r="163" ht="34.5" customHeight="1">
      <x:c r="A163" s="34" t="n">
        <x:v>46250</x:v>
      </x:c>
      <x:c r="B163" s="98" t="str">
        <x:v>Revision 1</x:v>
      </x:c>
      <x:c r="C163" s="98" t="n">
        <x:v>16</x:v>
      </x:c>
      <x:c r="D163" s="98" t="n">
        <x:v>157</x:v>
      </x:c>
      <x:c r="E163" s="98" t="n">
        <x:v>154</x:v>
      </x:c>
      <x:c r="F163" s="99" t="str">
        <x:v>Circuits → Building Larger Circuits</x:v>
      </x:c>
      <x:c r="G163" s="99" t="str">
        <x:v>The complete timer</x:v>
      </x:c>
      <x:c r="H163" s="99" t="str">
        <x:v>Blind re-solve and repair the exact mistake from Pass 1.</x:v>
      </x:c>
      <x:c r="I163" s="98" t="str">
        <x:v>Not Started</x:v>
      </x:c>
      <x:c r="J163" s="98"/>
      <x:c r="K163" s="98" t="str">
        <x:v>None</x:v>
      </x:c>
      <x:c r="L163" s="99"/>
      <x:c r="M163" s="99"/>
      <x:c r="N163" s="99"/>
    </x:row>
    <x:row r="164" ht="34.5" customHeight="1">
      <x:c r="A164" s="34" t="n">
        <x:v>46250</x:v>
      </x:c>
      <x:c r="B164" s="98" t="str">
        <x:v>Revision 1</x:v>
      </x:c>
      <x:c r="C164" s="98" t="n">
        <x:v>16</x:v>
      </x:c>
      <x:c r="D164" s="98" t="n">
        <x:v>158</x:v>
      </x:c>
      <x:c r="E164" s="98" t="n">
        <x:v>178</x:v>
      </x:c>
      <x:c r="F164" s="99" t="str">
        <x:v>Circuits → Building Larger Circuits</x:v>
      </x:c>
      <x:c r="G164" s="99" t="str">
        <x:v>FSM: One-hot logic equations</x:v>
      </x:c>
      <x:c r="H164" s="99" t="str">
        <x:v>Blind re-solve and repair the exact mistake from Pass 1.</x:v>
      </x:c>
      <x:c r="I164" s="98" t="str">
        <x:v>Not Started</x:v>
      </x:c>
      <x:c r="J164" s="98"/>
      <x:c r="K164" s="98" t="str">
        <x:v>None</x:v>
      </x:c>
      <x:c r="L164" s="99"/>
      <x:c r="M164" s="99"/>
      <x:c r="N164" s="99"/>
    </x:row>
    <x:row r="165" ht="34.5" customHeight="1">
      <x:c r="A165" s="34" t="n">
        <x:v>46250</x:v>
      </x:c>
      <x:c r="B165" s="98" t="str">
        <x:v>Revision 1</x:v>
      </x:c>
      <x:c r="C165" s="98" t="n">
        <x:v>16</x:v>
      </x:c>
      <x:c r="D165" s="98" t="n">
        <x:v>159</x:v>
      </x:c>
      <x:c r="E165" s="98" t="n">
        <x:v>122</x:v>
      </x:c>
      <x:c r="F165" s="99" t="str">
        <x:v>Verification: Reading Simulations → Finding bugs in code</x:v>
      </x:c>
      <x:c r="G165" s="99" t="str">
        <x:v>Mux</x:v>
      </x:c>
      <x:c r="H165" s="99" t="str">
        <x:v>Blind re-solve and repair the exact mistake from Pass 1.</x:v>
      </x:c>
      <x:c r="I165" s="98" t="str">
        <x:v>Not Started</x:v>
      </x:c>
      <x:c r="J165" s="98"/>
      <x:c r="K165" s="98" t="str">
        <x:v>None</x:v>
      </x:c>
      <x:c r="L165" s="99"/>
      <x:c r="M165" s="99"/>
      <x:c r="N165" s="99"/>
    </x:row>
    <x:row r="166" ht="34.5" customHeight="1">
      <x:c r="A166" s="34" t="n">
        <x:v>46250</x:v>
      </x:c>
      <x:c r="B166" s="98" t="str">
        <x:v>Revision 1</x:v>
      </x:c>
      <x:c r="C166" s="98" t="n">
        <x:v>16</x:v>
      </x:c>
      <x:c r="D166" s="98" t="n">
        <x:v>160</x:v>
      </x:c>
      <x:c r="E166" s="98" t="n">
        <x:v>123</x:v>
      </x:c>
      <x:c r="F166" s="99" t="str">
        <x:v>Verification: Reading Simulations → Finding bugs in code</x:v>
      </x:c>
      <x:c r="G166" s="99" t="str">
        <x:v>NAND</x:v>
      </x:c>
      <x:c r="H166" s="99" t="str">
        <x:v>Blind re-solve and repair the exact mistake from Pass 1.</x:v>
      </x:c>
      <x:c r="I166" s="98" t="str">
        <x:v>Not Started</x:v>
      </x:c>
      <x:c r="J166" s="98"/>
      <x:c r="K166" s="98" t="str">
        <x:v>None</x:v>
      </x:c>
      <x:c r="L166" s="99"/>
      <x:c r="M166" s="99"/>
      <x:c r="N166" s="99"/>
    </x:row>
    <x:row r="167" ht="34.5" customHeight="1">
      <x:c r="A167" s="34" t="n">
        <x:v>46251</x:v>
      </x:c>
      <x:c r="B167" s="98" t="str">
        <x:v>Revision 1</x:v>
      </x:c>
      <x:c r="C167" s="98" t="n">
        <x:v>17</x:v>
      </x:c>
      <x:c r="D167" s="98" t="n">
        <x:v>161</x:v>
      </x:c>
      <x:c r="E167" s="98" t="n">
        <x:v>124</x:v>
      </x:c>
      <x:c r="F167" s="99" t="str">
        <x:v>Verification: Reading Simulations → Finding bugs in code</x:v>
      </x:c>
      <x:c r="G167" s="99" t="str">
        <x:v>Mux</x:v>
      </x:c>
      <x:c r="H167" s="99" t="str">
        <x:v>Blind re-solve and repair the exact mistake from Pass 1.</x:v>
      </x:c>
      <x:c r="I167" s="98" t="str">
        <x:v>Not Started</x:v>
      </x:c>
      <x:c r="J167" s="98"/>
      <x:c r="K167" s="98" t="str">
        <x:v>None</x:v>
      </x:c>
      <x:c r="L167" s="99"/>
      <x:c r="M167" s="99"/>
      <x:c r="N167" s="99"/>
    </x:row>
    <x:row r="168" ht="34.5" customHeight="1">
      <x:c r="A168" s="34" t="n">
        <x:v>46251</x:v>
      </x:c>
      <x:c r="B168" s="98" t="str">
        <x:v>Revision 1</x:v>
      </x:c>
      <x:c r="C168" s="98" t="n">
        <x:v>17</x:v>
      </x:c>
      <x:c r="D168" s="98" t="n">
        <x:v>162</x:v>
      </x:c>
      <x:c r="E168" s="98" t="n">
        <x:v>125</x:v>
      </x:c>
      <x:c r="F168" s="99" t="str">
        <x:v>Verification: Reading Simulations → Finding bugs in code</x:v>
      </x:c>
      <x:c r="G168" s="99" t="str">
        <x:v>Add/sub</x:v>
      </x:c>
      <x:c r="H168" s="99" t="str">
        <x:v>Blind re-solve and repair the exact mistake from Pass 1.</x:v>
      </x:c>
      <x:c r="I168" s="98" t="str">
        <x:v>Not Started</x:v>
      </x:c>
      <x:c r="J168" s="98"/>
      <x:c r="K168" s="98" t="str">
        <x:v>None</x:v>
      </x:c>
      <x:c r="L168" s="99"/>
      <x:c r="M168" s="99"/>
      <x:c r="N168" s="99"/>
    </x:row>
    <x:row r="169" ht="34.5" customHeight="1">
      <x:c r="A169" s="34" t="n">
        <x:v>46251</x:v>
      </x:c>
      <x:c r="B169" s="98" t="str">
        <x:v>Revision 1</x:v>
      </x:c>
      <x:c r="C169" s="98" t="n">
        <x:v>17</x:v>
      </x:c>
      <x:c r="D169" s="98" t="n">
        <x:v>163</x:v>
      </x:c>
      <x:c r="E169" s="98" t="n">
        <x:v>126</x:v>
      </x:c>
      <x:c r="F169" s="99" t="str">
        <x:v>Verification: Reading Simulations → Finding bugs in code</x:v>
      </x:c>
      <x:c r="G169" s="99" t="str">
        <x:v>Case statement</x:v>
      </x:c>
      <x:c r="H169" s="99" t="str">
        <x:v>Blind re-solve and repair the exact mistake from Pass 1.</x:v>
      </x:c>
      <x:c r="I169" s="98" t="str">
        <x:v>Not Started</x:v>
      </x:c>
      <x:c r="J169" s="98"/>
      <x:c r="K169" s="98" t="str">
        <x:v>None</x:v>
      </x:c>
      <x:c r="L169" s="99"/>
      <x:c r="M169" s="99"/>
      <x:c r="N169" s="99"/>
    </x:row>
    <x:row r="170" ht="34.5" customHeight="1">
      <x:c r="A170" s="34" t="n">
        <x:v>46251</x:v>
      </x:c>
      <x:c r="B170" s="98" t="str">
        <x:v>Revision 1</x:v>
      </x:c>
      <x:c r="C170" s="98" t="n">
        <x:v>17</x:v>
      </x:c>
      <x:c r="D170" s="98" t="n">
        <x:v>164</x:v>
      </x:c>
      <x:c r="E170" s="98" t="n">
        <x:v>127</x:v>
      </x:c>
      <x:c r="F170" s="99" t="str">
        <x:v>Verification: Reading Simulations → Build a circuit from a simulation waveform</x:v>
      </x:c>
      <x:c r="G170" s="99" t="str">
        <x:v>Combinational circuit 1</x:v>
      </x:c>
      <x:c r="H170" s="99" t="str">
        <x:v>Blind re-solve and repair the exact mistake from Pass 1.</x:v>
      </x:c>
      <x:c r="I170" s="98" t="str">
        <x:v>Not Started</x:v>
      </x:c>
      <x:c r="J170" s="98"/>
      <x:c r="K170" s="98" t="str">
        <x:v>None</x:v>
      </x:c>
      <x:c r="L170" s="99"/>
      <x:c r="M170" s="99"/>
      <x:c r="N170" s="99"/>
    </x:row>
    <x:row r="171" ht="34.5" customHeight="1">
      <x:c r="A171" s="34" t="n">
        <x:v>46251</x:v>
      </x:c>
      <x:c r="B171" s="98" t="str">
        <x:v>Revision 1</x:v>
      </x:c>
      <x:c r="C171" s="98" t="n">
        <x:v>17</x:v>
      </x:c>
      <x:c r="D171" s="98" t="n">
        <x:v>165</x:v>
      </x:c>
      <x:c r="E171" s="98" t="n">
        <x:v>128</x:v>
      </x:c>
      <x:c r="F171" s="99" t="str">
        <x:v>Verification: Reading Simulations → Build a circuit from a simulation waveform</x:v>
      </x:c>
      <x:c r="G171" s="99" t="str">
        <x:v>Combinational circuit 2</x:v>
      </x:c>
      <x:c r="H171" s="99" t="str">
        <x:v>Blind re-solve and repair the exact mistake from Pass 1.</x:v>
      </x:c>
      <x:c r="I171" s="98" t="str">
        <x:v>Not Started</x:v>
      </x:c>
      <x:c r="J171" s="98"/>
      <x:c r="K171" s="98" t="str">
        <x:v>None</x:v>
      </x:c>
      <x:c r="L171" s="99"/>
      <x:c r="M171" s="99"/>
      <x:c r="N171" s="99"/>
    </x:row>
    <x:row r="172" ht="34.5" customHeight="1">
      <x:c r="A172" s="34" t="n">
        <x:v>46251</x:v>
      </x:c>
      <x:c r="B172" s="98" t="str">
        <x:v>Revision 1</x:v>
      </x:c>
      <x:c r="C172" s="98" t="n">
        <x:v>17</x:v>
      </x:c>
      <x:c r="D172" s="98" t="n">
        <x:v>166</x:v>
      </x:c>
      <x:c r="E172" s="98" t="n">
        <x:v>129</x:v>
      </x:c>
      <x:c r="F172" s="99" t="str">
        <x:v>Verification: Reading Simulations → Build a circuit from a simulation waveform</x:v>
      </x:c>
      <x:c r="G172" s="99" t="str">
        <x:v>Combinational circuit 3</x:v>
      </x:c>
      <x:c r="H172" s="99" t="str">
        <x:v>Blind re-solve and repair the exact mistake from Pass 1.</x:v>
      </x:c>
      <x:c r="I172" s="98" t="str">
        <x:v>Not Started</x:v>
      </x:c>
      <x:c r="J172" s="98"/>
      <x:c r="K172" s="98" t="str">
        <x:v>None</x:v>
      </x:c>
      <x:c r="L172" s="99"/>
      <x:c r="M172" s="99"/>
      <x:c r="N172" s="99"/>
    </x:row>
    <x:row r="173" ht="34.5" customHeight="1">
      <x:c r="A173" s="34" t="n">
        <x:v>46251</x:v>
      </x:c>
      <x:c r="B173" s="98" t="str">
        <x:v>Revision 1</x:v>
      </x:c>
      <x:c r="C173" s="98" t="n">
        <x:v>17</x:v>
      </x:c>
      <x:c r="D173" s="98" t="n">
        <x:v>167</x:v>
      </x:c>
      <x:c r="E173" s="98" t="n">
        <x:v>130</x:v>
      </x:c>
      <x:c r="F173" s="99" t="str">
        <x:v>Verification: Reading Simulations → Build a circuit from a simulation waveform</x:v>
      </x:c>
      <x:c r="G173" s="99" t="str">
        <x:v>Combinational circuit 4</x:v>
      </x:c>
      <x:c r="H173" s="99" t="str">
        <x:v>Blind re-solve and repair the exact mistake from Pass 1.</x:v>
      </x:c>
      <x:c r="I173" s="98" t="str">
        <x:v>Not Started</x:v>
      </x:c>
      <x:c r="J173" s="98"/>
      <x:c r="K173" s="98" t="str">
        <x:v>None</x:v>
      </x:c>
      <x:c r="L173" s="99"/>
      <x:c r="M173" s="99"/>
      <x:c r="N173" s="99"/>
    </x:row>
    <x:row r="174" ht="34.5" customHeight="1">
      <x:c r="A174" s="34" t="n">
        <x:v>46251</x:v>
      </x:c>
      <x:c r="B174" s="98" t="str">
        <x:v>Revision 1</x:v>
      </x:c>
      <x:c r="C174" s="98" t="n">
        <x:v>17</x:v>
      </x:c>
      <x:c r="D174" s="98" t="n">
        <x:v>168</x:v>
      </x:c>
      <x:c r="E174" s="98" t="n">
        <x:v>131</x:v>
      </x:c>
      <x:c r="F174" s="99" t="str">
        <x:v>Verification: Reading Simulations → Build a circuit from a simulation waveform</x:v>
      </x:c>
      <x:c r="G174" s="99" t="str">
        <x:v>Combinational circuit 5</x:v>
      </x:c>
      <x:c r="H174" s="99" t="str">
        <x:v>Blind re-solve and repair the exact mistake from Pass 1.</x:v>
      </x:c>
      <x:c r="I174" s="98" t="str">
        <x:v>Not Started</x:v>
      </x:c>
      <x:c r="J174" s="98"/>
      <x:c r="K174" s="98" t="str">
        <x:v>None</x:v>
      </x:c>
      <x:c r="L174" s="99"/>
      <x:c r="M174" s="99"/>
      <x:c r="N174" s="99"/>
    </x:row>
    <x:row r="175" ht="34.5" customHeight="1">
      <x:c r="A175" s="34" t="n">
        <x:v>46251</x:v>
      </x:c>
      <x:c r="B175" s="98" t="str">
        <x:v>Revision 1</x:v>
      </x:c>
      <x:c r="C175" s="98" t="n">
        <x:v>17</x:v>
      </x:c>
      <x:c r="D175" s="98" t="n">
        <x:v>169</x:v>
      </x:c>
      <x:c r="E175" s="98" t="n">
        <x:v>132</x:v>
      </x:c>
      <x:c r="F175" s="99" t="str">
        <x:v>Verification: Reading Simulations → Build a circuit from a simulation waveform</x:v>
      </x:c>
      <x:c r="G175" s="99" t="str">
        <x:v>Combinational circuit 6</x:v>
      </x:c>
      <x:c r="H175" s="99" t="str">
        <x:v>Blind re-solve and repair the exact mistake from Pass 1.</x:v>
      </x:c>
      <x:c r="I175" s="98" t="str">
        <x:v>Not Started</x:v>
      </x:c>
      <x:c r="J175" s="98"/>
      <x:c r="K175" s="98" t="str">
        <x:v>None</x:v>
      </x:c>
      <x:c r="L175" s="99"/>
      <x:c r="M175" s="99"/>
      <x:c r="N175" s="99"/>
    </x:row>
    <x:row r="176" ht="34.5" customHeight="1">
      <x:c r="A176" s="34" t="n">
        <x:v>46251</x:v>
      </x:c>
      <x:c r="B176" s="98" t="str">
        <x:v>Revision 1</x:v>
      </x:c>
      <x:c r="C176" s="98" t="n">
        <x:v>17</x:v>
      </x:c>
      <x:c r="D176" s="98" t="n">
        <x:v>170</x:v>
      </x:c>
      <x:c r="E176" s="98" t="n">
        <x:v>133</x:v>
      </x:c>
      <x:c r="F176" s="99" t="str">
        <x:v>Verification: Reading Simulations → Build a circuit from a simulation waveform</x:v>
      </x:c>
      <x:c r="G176" s="99" t="str">
        <x:v>Sequential circuit 7</x:v>
      </x:c>
      <x:c r="H176" s="99" t="str">
        <x:v>Blind re-solve and repair the exact mistake from Pass 1.</x:v>
      </x:c>
      <x:c r="I176" s="98" t="str">
        <x:v>Not Started</x:v>
      </x:c>
      <x:c r="J176" s="98"/>
      <x:c r="K176" s="98" t="str">
        <x:v>None</x:v>
      </x:c>
      <x:c r="L176" s="99"/>
      <x:c r="M176" s="99"/>
      <x:c r="N176" s="99"/>
    </x:row>
    <x:row r="177" ht="34.5" customHeight="1">
      <x:c r="A177" s="34" t="n">
        <x:v>46252</x:v>
      </x:c>
      <x:c r="B177" s="98" t="str">
        <x:v>Revision 1</x:v>
      </x:c>
      <x:c r="C177" s="98" t="n">
        <x:v>18</x:v>
      </x:c>
      <x:c r="D177" s="98" t="n">
        <x:v>171</x:v>
      </x:c>
      <x:c r="E177" s="98" t="n">
        <x:v>134</x:v>
      </x:c>
      <x:c r="F177" s="99" t="str">
        <x:v>Verification: Reading Simulations → Build a circuit from a simulation waveform</x:v>
      </x:c>
      <x:c r="G177" s="99" t="str">
        <x:v>Sequential circuit 8</x:v>
      </x:c>
      <x:c r="H177" s="99" t="str">
        <x:v>Blind re-solve and repair the exact mistake from Pass 1.</x:v>
      </x:c>
      <x:c r="I177" s="98" t="str">
        <x:v>Not Started</x:v>
      </x:c>
      <x:c r="J177" s="98"/>
      <x:c r="K177" s="98" t="str">
        <x:v>None</x:v>
      </x:c>
      <x:c r="L177" s="99"/>
      <x:c r="M177" s="99"/>
      <x:c r="N177" s="99"/>
    </x:row>
    <x:row r="178" ht="34.5" customHeight="1">
      <x:c r="A178" s="34" t="n">
        <x:v>46252</x:v>
      </x:c>
      <x:c r="B178" s="98" t="str">
        <x:v>Revision 1</x:v>
      </x:c>
      <x:c r="C178" s="98" t="n">
        <x:v>18</x:v>
      </x:c>
      <x:c r="D178" s="98" t="n">
        <x:v>172</x:v>
      </x:c>
      <x:c r="E178" s="98" t="n">
        <x:v>135</x:v>
      </x:c>
      <x:c r="F178" s="99" t="str">
        <x:v>Verification: Reading Simulations → Build a circuit from a simulation waveform</x:v>
      </x:c>
      <x:c r="G178" s="99" t="str">
        <x:v>Sequential circuit 9</x:v>
      </x:c>
      <x:c r="H178" s="99" t="str">
        <x:v>Blind re-solve and repair the exact mistake from Pass 1.</x:v>
      </x:c>
      <x:c r="I178" s="98" t="str">
        <x:v>Not Started</x:v>
      </x:c>
      <x:c r="J178" s="98"/>
      <x:c r="K178" s="98" t="str">
        <x:v>None</x:v>
      </x:c>
      <x:c r="L178" s="99"/>
      <x:c r="M178" s="99"/>
      <x:c r="N178" s="99"/>
    </x:row>
    <x:row r="179" ht="34.5" customHeight="1">
      <x:c r="A179" s="34" t="n">
        <x:v>46252</x:v>
      </x:c>
      <x:c r="B179" s="98" t="str">
        <x:v>Revision 1</x:v>
      </x:c>
      <x:c r="C179" s="98" t="n">
        <x:v>18</x:v>
      </x:c>
      <x:c r="D179" s="98" t="n">
        <x:v>173</x:v>
      </x:c>
      <x:c r="E179" s="98" t="n">
        <x:v>136</x:v>
      </x:c>
      <x:c r="F179" s="99" t="str">
        <x:v>Verification: Reading Simulations → Build a circuit from a simulation waveform</x:v>
      </x:c>
      <x:c r="G179" s="99" t="str">
        <x:v>Sequential circuit 10</x:v>
      </x:c>
      <x:c r="H179" s="99" t="str">
        <x:v>Blind re-solve and repair the exact mistake from Pass 1.</x:v>
      </x:c>
      <x:c r="I179" s="98" t="str">
        <x:v>Not Started</x:v>
      </x:c>
      <x:c r="J179" s="98"/>
      <x:c r="K179" s="98" t="str">
        <x:v>None</x:v>
      </x:c>
      <x:c r="L179" s="99"/>
      <x:c r="M179" s="99"/>
      <x:c r="N179" s="99"/>
    </x:row>
    <x:row r="180" ht="34.5" customHeight="1">
      <x:c r="A180" s="34" t="n">
        <x:v>46252</x:v>
      </x:c>
      <x:c r="B180" s="98" t="str">
        <x:v>Revision 1</x:v>
      </x:c>
      <x:c r="C180" s="98" t="n">
        <x:v>18</x:v>
      </x:c>
      <x:c r="D180" s="98" t="n">
        <x:v>174</x:v>
      </x:c>
      <x:c r="E180" s="98" t="n">
        <x:v>137</x:v>
      </x:c>
      <x:c r="F180" s="99" t="str">
        <x:v>Verification: Writing Testbenches</x:v>
      </x:c>
      <x:c r="G180" s="99" t="str">
        <x:v>Clock</x:v>
      </x:c>
      <x:c r="H180" s="99" t="str">
        <x:v>Blind re-solve and repair the exact mistake from Pass 1.</x:v>
      </x:c>
      <x:c r="I180" s="98" t="str">
        <x:v>Not Started</x:v>
      </x:c>
      <x:c r="J180" s="98"/>
      <x:c r="K180" s="98" t="str">
        <x:v>None</x:v>
      </x:c>
      <x:c r="L180" s="99"/>
      <x:c r="M180" s="99"/>
      <x:c r="N180" s="99"/>
    </x:row>
    <x:row r="181" ht="34.5" customHeight="1">
      <x:c r="A181" s="34" t="n">
        <x:v>46252</x:v>
      </x:c>
      <x:c r="B181" s="98" t="str">
        <x:v>Revision 1</x:v>
      </x:c>
      <x:c r="C181" s="98" t="n">
        <x:v>18</x:v>
      </x:c>
      <x:c r="D181" s="98" t="n">
        <x:v>175</x:v>
      </x:c>
      <x:c r="E181" s="98" t="n">
        <x:v>138</x:v>
      </x:c>
      <x:c r="F181" s="99" t="str">
        <x:v>Verification: Writing Testbenches</x:v>
      </x:c>
      <x:c r="G181" s="99" t="str">
        <x:v>Testbench1</x:v>
      </x:c>
      <x:c r="H181" s="99" t="str">
        <x:v>Blind re-solve and repair the exact mistake from Pass 1.</x:v>
      </x:c>
      <x:c r="I181" s="98" t="str">
        <x:v>Not Started</x:v>
      </x:c>
      <x:c r="J181" s="98"/>
      <x:c r="K181" s="98" t="str">
        <x:v>None</x:v>
      </x:c>
      <x:c r="L181" s="99"/>
      <x:c r="M181" s="99"/>
      <x:c r="N181" s="99"/>
    </x:row>
    <x:row r="182" ht="34.5" customHeight="1">
      <x:c r="A182" s="34" t="n">
        <x:v>46252</x:v>
      </x:c>
      <x:c r="B182" s="98" t="str">
        <x:v>Revision 1</x:v>
      </x:c>
      <x:c r="C182" s="98" t="n">
        <x:v>18</x:v>
      </x:c>
      <x:c r="D182" s="98" t="n">
        <x:v>176</x:v>
      </x:c>
      <x:c r="E182" s="98" t="n">
        <x:v>139</x:v>
      </x:c>
      <x:c r="F182" s="99" t="str">
        <x:v>Verification: Writing Testbenches</x:v>
      </x:c>
      <x:c r="G182" s="99" t="str">
        <x:v>AND gate</x:v>
      </x:c>
      <x:c r="H182" s="99" t="str">
        <x:v>Blind re-solve and repair the exact mistake from Pass 1.</x:v>
      </x:c>
      <x:c r="I182" s="98" t="str">
        <x:v>Not Started</x:v>
      </x:c>
      <x:c r="J182" s="98"/>
      <x:c r="K182" s="98" t="str">
        <x:v>None</x:v>
      </x:c>
      <x:c r="L182" s="99"/>
      <x:c r="M182" s="99"/>
      <x:c r="N182" s="99"/>
    </x:row>
    <x:row r="183" ht="34.5" customHeight="1">
      <x:c r="A183" s="34" t="n">
        <x:v>46252</x:v>
      </x:c>
      <x:c r="B183" s="98" t="str">
        <x:v>Revision 1</x:v>
      </x:c>
      <x:c r="C183" s="98" t="n">
        <x:v>18</x:v>
      </x:c>
      <x:c r="D183" s="98" t="n">
        <x:v>177</x:v>
      </x:c>
      <x:c r="E183" s="98" t="n">
        <x:v>140</x:v>
      </x:c>
      <x:c r="F183" s="99" t="str">
        <x:v>Verification: Writing Testbenches</x:v>
      </x:c>
      <x:c r="G183" s="99" t="str">
        <x:v>Testbench2</x:v>
      </x:c>
      <x:c r="H183" s="99" t="str">
        <x:v>Blind re-solve and repair the exact mistake from Pass 1.</x:v>
      </x:c>
      <x:c r="I183" s="98" t="str">
        <x:v>Not Started</x:v>
      </x:c>
      <x:c r="J183" s="98"/>
      <x:c r="K183" s="98" t="str">
        <x:v>None</x:v>
      </x:c>
      <x:c r="L183" s="99"/>
      <x:c r="M183" s="99"/>
      <x:c r="N183" s="99"/>
    </x:row>
    <x:row r="184" ht="34.5" customHeight="1">
      <x:c r="A184" s="34" t="n">
        <x:v>46252</x:v>
      </x:c>
      <x:c r="B184" s="98" t="str">
        <x:v>Revision 1</x:v>
      </x:c>
      <x:c r="C184" s="98" t="n">
        <x:v>18</x:v>
      </x:c>
      <x:c r="D184" s="98" t="n">
        <x:v>178</x:v>
      </x:c>
      <x:c r="E184" s="98" t="n">
        <x:v>141</x:v>
      </x:c>
      <x:c r="F184" s="99" t="str">
        <x:v>Verification: Writing Testbenches</x:v>
      </x:c>
      <x:c r="G184" s="99" t="str">
        <x:v>T flip-flop</x:v>
      </x:c>
      <x:c r="H184" s="99" t="str">
        <x:v>Blind re-solve and repair the exact mistake from Pass 1.</x:v>
      </x:c>
      <x:c r="I184" s="98" t="str">
        <x:v>Not Started</x:v>
      </x:c>
      <x:c r="J184" s="98"/>
      <x:c r="K184" s="98" t="str">
        <x:v>None</x:v>
      </x:c>
      <x:c r="L184" s="99"/>
      <x:c r="M184" s="99"/>
      <x:c r="N184" s="99"/>
    </x:row>
    <x:row r="185" ht="34.5" customHeight="1">
      <x:c r="A185" s="34" t="n">
        <x:v>46253</x:v>
      </x:c>
      <x:c r="B185" s="98" t="str">
        <x:v>Revision 2</x:v>
      </x:c>
      <x:c r="C185" s="98" t="n">
        <x:v>1</x:v>
      </x:c>
      <x:c r="D185" s="98" t="n">
        <x:v>1</x:v>
      </x:c>
      <x:c r="E185" s="98" t="n">
        <x:v>151</x:v>
      </x:c>
      <x:c r="F185" s="99" t="str">
        <x:v>Getting Started</x:v>
      </x:c>
      <x:c r="G185" s="99" t="str">
        <x:v>Getting Started</x:v>
      </x:c>
      <x:c r="H185" s="99" t="str">
        <x:v>Timed re-solve; explain the hardware before writing code.</x:v>
      </x:c>
      <x:c r="I185" s="98" t="str">
        <x:v>Not Started</x:v>
      </x:c>
      <x:c r="J185" s="98"/>
      <x:c r="K185" s="98" t="str">
        <x:v>None</x:v>
      </x:c>
      <x:c r="L185" s="99"/>
      <x:c r="M185" s="99"/>
      <x:c r="N185" s="99"/>
    </x:row>
    <x:row r="186" ht="34.5" customHeight="1">
      <x:c r="A186" s="34" t="n">
        <x:v>46253</x:v>
      </x:c>
      <x:c r="B186" s="98" t="str">
        <x:v>Revision 2</x:v>
      </x:c>
      <x:c r="C186" s="98" t="n">
        <x:v>1</x:v>
      </x:c>
      <x:c r="D186" s="98" t="n">
        <x:v>2</x:v>
      </x:c>
      <x:c r="E186" s="98" t="n">
        <x:v>152</x:v>
      </x:c>
      <x:c r="F186" s="99" t="str">
        <x:v>Getting Started</x:v>
      </x:c>
      <x:c r="G186" s="99" t="str">
        <x:v>Output Zero</x:v>
      </x:c>
      <x:c r="H186" s="99" t="str">
        <x:v>Timed re-solve; explain the hardware before writing code.</x:v>
      </x:c>
      <x:c r="I186" s="98" t="str">
        <x:v>Not Started</x:v>
      </x:c>
      <x:c r="J186" s="98"/>
      <x:c r="K186" s="98" t="str">
        <x:v>None</x:v>
      </x:c>
      <x:c r="L186" s="99"/>
      <x:c r="M186" s="99"/>
      <x:c r="N186" s="99"/>
    </x:row>
    <x:row r="187" ht="34.5" customHeight="1">
      <x:c r="A187" s="34" t="n">
        <x:v>46253</x:v>
      </x:c>
      <x:c r="B187" s="98" t="str">
        <x:v>Revision 2</x:v>
      </x:c>
      <x:c r="C187" s="98" t="n">
        <x:v>1</x:v>
      </x:c>
      <x:c r="D187" s="98" t="n">
        <x:v>3</x:v>
      </x:c>
      <x:c r="E187" s="98" t="n">
        <x:v>1</x:v>
      </x:c>
      <x:c r="F187" s="99" t="str">
        <x:v>Verilog Language → Basics</x:v>
      </x:c>
      <x:c r="G187" s="99" t="str">
        <x:v>Simple wire</x:v>
      </x:c>
      <x:c r="H187" s="99" t="str">
        <x:v>Timed re-solve; explain the hardware before writing code.</x:v>
      </x:c>
      <x:c r="I187" s="98" t="str">
        <x:v>Not Started</x:v>
      </x:c>
      <x:c r="J187" s="98"/>
      <x:c r="K187" s="98" t="str">
        <x:v>None</x:v>
      </x:c>
      <x:c r="L187" s="99"/>
      <x:c r="M187" s="99"/>
      <x:c r="N187" s="99"/>
    </x:row>
    <x:row r="188" ht="34.5" customHeight="1">
      <x:c r="A188" s="34" t="n">
        <x:v>46253</x:v>
      </x:c>
      <x:c r="B188" s="98" t="str">
        <x:v>Revision 2</x:v>
      </x:c>
      <x:c r="C188" s="98" t="n">
        <x:v>1</x:v>
      </x:c>
      <x:c r="D188" s="98" t="n">
        <x:v>4</x:v>
      </x:c>
      <x:c r="E188" s="98" t="n">
        <x:v>2</x:v>
      </x:c>
      <x:c r="F188" s="99" t="str">
        <x:v>Verilog Language → Basics</x:v>
      </x:c>
      <x:c r="G188" s="99" t="str">
        <x:v>Four wires</x:v>
      </x:c>
      <x:c r="H188" s="99" t="str">
        <x:v>Timed re-solve; explain the hardware before writing code.</x:v>
      </x:c>
      <x:c r="I188" s="98" t="str">
        <x:v>Not Started</x:v>
      </x:c>
      <x:c r="J188" s="98"/>
      <x:c r="K188" s="98" t="str">
        <x:v>None</x:v>
      </x:c>
      <x:c r="L188" s="99"/>
      <x:c r="M188" s="99"/>
      <x:c r="N188" s="99"/>
    </x:row>
    <x:row r="189" ht="34.5" customHeight="1">
      <x:c r="A189" s="34" t="n">
        <x:v>46253</x:v>
      </x:c>
      <x:c r="B189" s="98" t="str">
        <x:v>Revision 2</x:v>
      </x:c>
      <x:c r="C189" s="98" t="n">
        <x:v>1</x:v>
      </x:c>
      <x:c r="D189" s="98" t="n">
        <x:v>5</x:v>
      </x:c>
      <x:c r="E189" s="98" t="n">
        <x:v>3</x:v>
      </x:c>
      <x:c r="F189" s="99" t="str">
        <x:v>Verilog Language → Basics</x:v>
      </x:c>
      <x:c r="G189" s="99" t="str">
        <x:v>Inverter</x:v>
      </x:c>
      <x:c r="H189" s="99" t="str">
        <x:v>Timed re-solve; explain the hardware before writing code.</x:v>
      </x:c>
      <x:c r="I189" s="98" t="str">
        <x:v>Not Started</x:v>
      </x:c>
      <x:c r="J189" s="98"/>
      <x:c r="K189" s="98" t="str">
        <x:v>None</x:v>
      </x:c>
      <x:c r="L189" s="99"/>
      <x:c r="M189" s="99"/>
      <x:c r="N189" s="99"/>
    </x:row>
    <x:row r="190" ht="34.5" customHeight="1">
      <x:c r="A190" s="34" t="n">
        <x:v>46253</x:v>
      </x:c>
      <x:c r="B190" s="98" t="str">
        <x:v>Revision 2</x:v>
      </x:c>
      <x:c r="C190" s="98" t="n">
        <x:v>1</x:v>
      </x:c>
      <x:c r="D190" s="98" t="n">
        <x:v>6</x:v>
      </x:c>
      <x:c r="E190" s="98" t="n">
        <x:v>4</x:v>
      </x:c>
      <x:c r="F190" s="99" t="str">
        <x:v>Verilog Language → Basics</x:v>
      </x:c>
      <x:c r="G190" s="99" t="str">
        <x:v>AND gate</x:v>
      </x:c>
      <x:c r="H190" s="99" t="str">
        <x:v>Timed re-solve; explain the hardware before writing code.</x:v>
      </x:c>
      <x:c r="I190" s="98" t="str">
        <x:v>Not Started</x:v>
      </x:c>
      <x:c r="J190" s="98"/>
      <x:c r="K190" s="98" t="str">
        <x:v>None</x:v>
      </x:c>
      <x:c r="L190" s="99"/>
      <x:c r="M190" s="99"/>
      <x:c r="N190" s="99"/>
    </x:row>
    <x:row r="191" ht="34.5" customHeight="1">
      <x:c r="A191" s="34" t="n">
        <x:v>46253</x:v>
      </x:c>
      <x:c r="B191" s="98" t="str">
        <x:v>Revision 2</x:v>
      </x:c>
      <x:c r="C191" s="98" t="n">
        <x:v>1</x:v>
      </x:c>
      <x:c r="D191" s="98" t="n">
        <x:v>7</x:v>
      </x:c>
      <x:c r="E191" s="98" t="n">
        <x:v>5</x:v>
      </x:c>
      <x:c r="F191" s="99" t="str">
        <x:v>Verilog Language → Basics</x:v>
      </x:c>
      <x:c r="G191" s="99" t="str">
        <x:v>NOR gate</x:v>
      </x:c>
      <x:c r="H191" s="99" t="str">
        <x:v>Timed re-solve; explain the hardware before writing code.</x:v>
      </x:c>
      <x:c r="I191" s="98" t="str">
        <x:v>Not Started</x:v>
      </x:c>
      <x:c r="J191" s="98"/>
      <x:c r="K191" s="98" t="str">
        <x:v>None</x:v>
      </x:c>
      <x:c r="L191" s="99"/>
      <x:c r="M191" s="99"/>
      <x:c r="N191" s="99"/>
    </x:row>
    <x:row r="192" ht="34.5" customHeight="1">
      <x:c r="A192" s="34" t="n">
        <x:v>46253</x:v>
      </x:c>
      <x:c r="B192" s="98" t="str">
        <x:v>Revision 2</x:v>
      </x:c>
      <x:c r="C192" s="98" t="n">
        <x:v>1</x:v>
      </x:c>
      <x:c r="D192" s="98" t="n">
        <x:v>8</x:v>
      </x:c>
      <x:c r="E192" s="98" t="n">
        <x:v>6</x:v>
      </x:c>
      <x:c r="F192" s="99" t="str">
        <x:v>Verilog Language → Basics</x:v>
      </x:c>
      <x:c r="G192" s="99" t="str">
        <x:v>XNOR gate</x:v>
      </x:c>
      <x:c r="H192" s="99" t="str">
        <x:v>Timed re-solve; explain the hardware before writing code.</x:v>
      </x:c>
      <x:c r="I192" s="98" t="str">
        <x:v>Not Started</x:v>
      </x:c>
      <x:c r="J192" s="98"/>
      <x:c r="K192" s="98" t="str">
        <x:v>None</x:v>
      </x:c>
      <x:c r="L192" s="99"/>
      <x:c r="M192" s="99"/>
      <x:c r="N192" s="99"/>
    </x:row>
    <x:row r="193" ht="34.5" customHeight="1">
      <x:c r="A193" s="34" t="n">
        <x:v>46253</x:v>
      </x:c>
      <x:c r="B193" s="98" t="str">
        <x:v>Revision 2</x:v>
      </x:c>
      <x:c r="C193" s="98" t="n">
        <x:v>1</x:v>
      </x:c>
      <x:c r="D193" s="98" t="n">
        <x:v>9</x:v>
      </x:c>
      <x:c r="E193" s="98" t="n">
        <x:v>7</x:v>
      </x:c>
      <x:c r="F193" s="99" t="str">
        <x:v>Verilog Language → Basics</x:v>
      </x:c>
      <x:c r="G193" s="99" t="str">
        <x:v>Declaring wires</x:v>
      </x:c>
      <x:c r="H193" s="99" t="str">
        <x:v>Timed re-solve; explain the hardware before writing code.</x:v>
      </x:c>
      <x:c r="I193" s="98" t="str">
        <x:v>Not Started</x:v>
      </x:c>
      <x:c r="J193" s="98"/>
      <x:c r="K193" s="98" t="str">
        <x:v>None</x:v>
      </x:c>
      <x:c r="L193" s="99"/>
      <x:c r="M193" s="99"/>
      <x:c r="N193" s="99"/>
    </x:row>
    <x:row r="194" ht="34.5" customHeight="1">
      <x:c r="A194" s="34" t="n">
        <x:v>46253</x:v>
      </x:c>
      <x:c r="B194" s="98" t="str">
        <x:v>Revision 2</x:v>
      </x:c>
      <x:c r="C194" s="98" t="n">
        <x:v>1</x:v>
      </x:c>
      <x:c r="D194" s="98" t="n">
        <x:v>10</x:v>
      </x:c>
      <x:c r="E194" s="98" t="n">
        <x:v>8</x:v>
      </x:c>
      <x:c r="F194" s="99" t="str">
        <x:v>Verilog Language → Basics</x:v>
      </x:c>
      <x:c r="G194" s="99" t="str">
        <x:v>7458 chip</x:v>
      </x:c>
      <x:c r="H194" s="99" t="str">
        <x:v>Timed re-solve; explain the hardware before writing code.</x:v>
      </x:c>
      <x:c r="I194" s="98" t="str">
        <x:v>Not Started</x:v>
      </x:c>
      <x:c r="J194" s="98"/>
      <x:c r="K194" s="98" t="str">
        <x:v>None</x:v>
      </x:c>
      <x:c r="L194" s="99"/>
      <x:c r="M194" s="99"/>
      <x:c r="N194" s="99"/>
    </x:row>
    <x:row r="195" ht="34.5" customHeight="1">
      <x:c r="A195" s="34" t="n">
        <x:v>46254</x:v>
      </x:c>
      <x:c r="B195" s="98" t="str">
        <x:v>Revision 2</x:v>
      </x:c>
      <x:c r="C195" s="98" t="n">
        <x:v>2</x:v>
      </x:c>
      <x:c r="D195" s="98" t="n">
        <x:v>11</x:v>
      </x:c>
      <x:c r="E195" s="98" t="n">
        <x:v>9</x:v>
      </x:c>
      <x:c r="F195" s="99" t="str">
        <x:v>Verilog Language → Vectors</x:v>
      </x:c>
      <x:c r="G195" s="99" t="str">
        <x:v>Vectors</x:v>
      </x:c>
      <x:c r="H195" s="99" t="str">
        <x:v>Timed re-solve; explain the hardware before writing code.</x:v>
      </x:c>
      <x:c r="I195" s="98" t="str">
        <x:v>Not Started</x:v>
      </x:c>
      <x:c r="J195" s="98"/>
      <x:c r="K195" s="98" t="str">
        <x:v>None</x:v>
      </x:c>
      <x:c r="L195" s="99"/>
      <x:c r="M195" s="99"/>
      <x:c r="N195" s="99"/>
    </x:row>
    <x:row r="196" ht="34.5" customHeight="1">
      <x:c r="A196" s="34" t="n">
        <x:v>46254</x:v>
      </x:c>
      <x:c r="B196" s="98" t="str">
        <x:v>Revision 2</x:v>
      </x:c>
      <x:c r="C196" s="98" t="n">
        <x:v>2</x:v>
      </x:c>
      <x:c r="D196" s="98" t="n">
        <x:v>12</x:v>
      </x:c>
      <x:c r="E196" s="98" t="n">
        <x:v>10</x:v>
      </x:c>
      <x:c r="F196" s="99" t="str">
        <x:v>Verilog Language → Vectors</x:v>
      </x:c>
      <x:c r="G196" s="99" t="str">
        <x:v>Vectors in more detail</x:v>
      </x:c>
      <x:c r="H196" s="99" t="str">
        <x:v>Timed re-solve; explain the hardware before writing code.</x:v>
      </x:c>
      <x:c r="I196" s="98" t="str">
        <x:v>Not Started</x:v>
      </x:c>
      <x:c r="J196" s="98"/>
      <x:c r="K196" s="98" t="str">
        <x:v>None</x:v>
      </x:c>
      <x:c r="L196" s="99"/>
      <x:c r="M196" s="99"/>
      <x:c r="N196" s="99"/>
    </x:row>
    <x:row r="197" ht="34.5" customHeight="1">
      <x:c r="A197" s="34" t="n">
        <x:v>46254</x:v>
      </x:c>
      <x:c r="B197" s="98" t="str">
        <x:v>Revision 2</x:v>
      </x:c>
      <x:c r="C197" s="98" t="n">
        <x:v>2</x:v>
      </x:c>
      <x:c r="D197" s="98" t="n">
        <x:v>13</x:v>
      </x:c>
      <x:c r="E197" s="98" t="n">
        <x:v>11</x:v>
      </x:c>
      <x:c r="F197" s="99" t="str">
        <x:v>Verilog Language → Vectors</x:v>
      </x:c>
      <x:c r="G197" s="99" t="str">
        <x:v>Vector part select</x:v>
      </x:c>
      <x:c r="H197" s="99" t="str">
        <x:v>Timed re-solve; explain the hardware before writing code.</x:v>
      </x:c>
      <x:c r="I197" s="98" t="str">
        <x:v>Not Started</x:v>
      </x:c>
      <x:c r="J197" s="98"/>
      <x:c r="K197" s="98" t="str">
        <x:v>None</x:v>
      </x:c>
      <x:c r="L197" s="99"/>
      <x:c r="M197" s="99"/>
      <x:c r="N197" s="99"/>
    </x:row>
    <x:row r="198" ht="34.5" customHeight="1">
      <x:c r="A198" s="34" t="n">
        <x:v>46254</x:v>
      </x:c>
      <x:c r="B198" s="98" t="str">
        <x:v>Revision 2</x:v>
      </x:c>
      <x:c r="C198" s="98" t="n">
        <x:v>2</x:v>
      </x:c>
      <x:c r="D198" s="98" t="n">
        <x:v>14</x:v>
      </x:c>
      <x:c r="E198" s="98" t="n">
        <x:v>12</x:v>
      </x:c>
      <x:c r="F198" s="99" t="str">
        <x:v>Verilog Language → Vectors</x:v>
      </x:c>
      <x:c r="G198" s="99" t="str">
        <x:v>Bitwise operators</x:v>
      </x:c>
      <x:c r="H198" s="99" t="str">
        <x:v>Timed re-solve; explain the hardware before writing code.</x:v>
      </x:c>
      <x:c r="I198" s="98" t="str">
        <x:v>Not Started</x:v>
      </x:c>
      <x:c r="J198" s="98"/>
      <x:c r="K198" s="98" t="str">
        <x:v>None</x:v>
      </x:c>
      <x:c r="L198" s="99"/>
      <x:c r="M198" s="99"/>
      <x:c r="N198" s="99"/>
    </x:row>
    <x:row r="199" ht="34.5" customHeight="1">
      <x:c r="A199" s="34" t="n">
        <x:v>46254</x:v>
      </x:c>
      <x:c r="B199" s="98" t="str">
        <x:v>Revision 2</x:v>
      </x:c>
      <x:c r="C199" s="98" t="n">
        <x:v>2</x:v>
      </x:c>
      <x:c r="D199" s="98" t="n">
        <x:v>15</x:v>
      </x:c>
      <x:c r="E199" s="98" t="n">
        <x:v>13</x:v>
      </x:c>
      <x:c r="F199" s="99" t="str">
        <x:v>Verilog Language → Vectors</x:v>
      </x:c>
      <x:c r="G199" s="99" t="str">
        <x:v>Four-input gates</x:v>
      </x:c>
      <x:c r="H199" s="99" t="str">
        <x:v>Timed re-solve; explain the hardware before writing code.</x:v>
      </x:c>
      <x:c r="I199" s="98" t="str">
        <x:v>Not Started</x:v>
      </x:c>
      <x:c r="J199" s="98"/>
      <x:c r="K199" s="98" t="str">
        <x:v>None</x:v>
      </x:c>
      <x:c r="L199" s="99"/>
      <x:c r="M199" s="99"/>
      <x:c r="N199" s="99"/>
    </x:row>
    <x:row r="200" ht="34.5" customHeight="1">
      <x:c r="A200" s="34" t="n">
        <x:v>46254</x:v>
      </x:c>
      <x:c r="B200" s="98" t="str">
        <x:v>Revision 2</x:v>
      </x:c>
      <x:c r="C200" s="98" t="n">
        <x:v>2</x:v>
      </x:c>
      <x:c r="D200" s="98" t="n">
        <x:v>16</x:v>
      </x:c>
      <x:c r="E200" s="98" t="n">
        <x:v>14</x:v>
      </x:c>
      <x:c r="F200" s="99" t="str">
        <x:v>Verilog Language → Vectors</x:v>
      </x:c>
      <x:c r="G200" s="99" t="str">
        <x:v>Vector concatenation operator</x:v>
      </x:c>
      <x:c r="H200" s="99" t="str">
        <x:v>Timed re-solve; explain the hardware before writing code.</x:v>
      </x:c>
      <x:c r="I200" s="98" t="str">
        <x:v>Not Started</x:v>
      </x:c>
      <x:c r="J200" s="98"/>
      <x:c r="K200" s="98" t="str">
        <x:v>None</x:v>
      </x:c>
      <x:c r="L200" s="99"/>
      <x:c r="M200" s="99"/>
      <x:c r="N200" s="99"/>
    </x:row>
    <x:row r="201" ht="34.5" customHeight="1">
      <x:c r="A201" s="34" t="n">
        <x:v>46254</x:v>
      </x:c>
      <x:c r="B201" s="98" t="str">
        <x:v>Revision 2</x:v>
      </x:c>
      <x:c r="C201" s="98" t="n">
        <x:v>2</x:v>
      </x:c>
      <x:c r="D201" s="98" t="n">
        <x:v>17</x:v>
      </x:c>
      <x:c r="E201" s="98" t="n">
        <x:v>15</x:v>
      </x:c>
      <x:c r="F201" s="99" t="str">
        <x:v>Verilog Language → Vectors</x:v>
      </x:c>
      <x:c r="G201" s="99" t="str">
        <x:v>Vector reversal 1</x:v>
      </x:c>
      <x:c r="H201" s="99" t="str">
        <x:v>Timed re-solve; explain the hardware before writing code.</x:v>
      </x:c>
      <x:c r="I201" s="98" t="str">
        <x:v>Not Started</x:v>
      </x:c>
      <x:c r="J201" s="98"/>
      <x:c r="K201" s="98" t="str">
        <x:v>None</x:v>
      </x:c>
      <x:c r="L201" s="99"/>
      <x:c r="M201" s="99"/>
      <x:c r="N201" s="99"/>
    </x:row>
    <x:row r="202" ht="34.5" customHeight="1">
      <x:c r="A202" s="34" t="n">
        <x:v>46254</x:v>
      </x:c>
      <x:c r="B202" s="98" t="str">
        <x:v>Revision 2</x:v>
      </x:c>
      <x:c r="C202" s="98" t="n">
        <x:v>2</x:v>
      </x:c>
      <x:c r="D202" s="98" t="n">
        <x:v>18</x:v>
      </x:c>
      <x:c r="E202" s="98" t="n">
        <x:v>16</x:v>
      </x:c>
      <x:c r="F202" s="99" t="str">
        <x:v>Verilog Language → Vectors</x:v>
      </x:c>
      <x:c r="G202" s="99" t="str">
        <x:v>Replication operator</x:v>
      </x:c>
      <x:c r="H202" s="99" t="str">
        <x:v>Timed re-solve; explain the hardware before writing code.</x:v>
      </x:c>
      <x:c r="I202" s="98" t="str">
        <x:v>Not Started</x:v>
      </x:c>
      <x:c r="J202" s="98"/>
      <x:c r="K202" s="98" t="str">
        <x:v>None</x:v>
      </x:c>
      <x:c r="L202" s="99"/>
      <x:c r="M202" s="99"/>
      <x:c r="N202" s="99"/>
    </x:row>
    <x:row r="203" ht="34.5" customHeight="1">
      <x:c r="A203" s="34" t="n">
        <x:v>46254</x:v>
      </x:c>
      <x:c r="B203" s="98" t="str">
        <x:v>Revision 2</x:v>
      </x:c>
      <x:c r="C203" s="98" t="n">
        <x:v>2</x:v>
      </x:c>
      <x:c r="D203" s="98" t="n">
        <x:v>19</x:v>
      </x:c>
      <x:c r="E203" s="98" t="n">
        <x:v>17</x:v>
      </x:c>
      <x:c r="F203" s="99" t="str">
        <x:v>Verilog Language → Vectors</x:v>
      </x:c>
      <x:c r="G203" s="99" t="str">
        <x:v>More replication</x:v>
      </x:c>
      <x:c r="H203" s="99" t="str">
        <x:v>Timed re-solve; explain the hardware before writing code.</x:v>
      </x:c>
      <x:c r="I203" s="98" t="str">
        <x:v>Not Started</x:v>
      </x:c>
      <x:c r="J203" s="98"/>
      <x:c r="K203" s="98" t="str">
        <x:v>None</x:v>
      </x:c>
      <x:c r="L203" s="99"/>
      <x:c r="M203" s="99"/>
      <x:c r="N203" s="99"/>
    </x:row>
    <x:row r="204" ht="34.5" customHeight="1">
      <x:c r="A204" s="34" t="n">
        <x:v>46254</x:v>
      </x:c>
      <x:c r="B204" s="98" t="str">
        <x:v>Revision 2</x:v>
      </x:c>
      <x:c r="C204" s="98" t="n">
        <x:v>2</x:v>
      </x:c>
      <x:c r="D204" s="98" t="n">
        <x:v>20</x:v>
      </x:c>
      <x:c r="E204" s="98" t="n">
        <x:v>18</x:v>
      </x:c>
      <x:c r="F204" s="99" t="str">
        <x:v>Verilog Language → Modules: Hierarchy</x:v>
      </x:c>
      <x:c r="G204" s="99" t="str">
        <x:v>Modules</x:v>
      </x:c>
      <x:c r="H204" s="99" t="str">
        <x:v>Timed re-solve; explain the hardware before writing code.</x:v>
      </x:c>
      <x:c r="I204" s="98" t="str">
        <x:v>Not Started</x:v>
      </x:c>
      <x:c r="J204" s="98"/>
      <x:c r="K204" s="98" t="str">
        <x:v>None</x:v>
      </x:c>
      <x:c r="L204" s="99"/>
      <x:c r="M204" s="99"/>
      <x:c r="N204" s="99"/>
    </x:row>
    <x:row r="205" ht="34.5" customHeight="1">
      <x:c r="A205" s="34" t="n">
        <x:v>46255</x:v>
      </x:c>
      <x:c r="B205" s="98" t="str">
        <x:v>Revision 2</x:v>
      </x:c>
      <x:c r="C205" s="98" t="n">
        <x:v>3</x:v>
      </x:c>
      <x:c r="D205" s="98" t="n">
        <x:v>21</x:v>
      </x:c>
      <x:c r="E205" s="98" t="n">
        <x:v>19</x:v>
      </x:c>
      <x:c r="F205" s="99" t="str">
        <x:v>Verilog Language → Modules: Hierarchy</x:v>
      </x:c>
      <x:c r="G205" s="99" t="str">
        <x:v>Connecting ports by position</x:v>
      </x:c>
      <x:c r="H205" s="99" t="str">
        <x:v>Timed re-solve; explain the hardware before writing code.</x:v>
      </x:c>
      <x:c r="I205" s="98" t="str">
        <x:v>Not Started</x:v>
      </x:c>
      <x:c r="J205" s="98"/>
      <x:c r="K205" s="98" t="str">
        <x:v>None</x:v>
      </x:c>
      <x:c r="L205" s="99"/>
      <x:c r="M205" s="99"/>
      <x:c r="N205" s="99"/>
    </x:row>
    <x:row r="206" ht="34.5" customHeight="1">
      <x:c r="A206" s="34" t="n">
        <x:v>46255</x:v>
      </x:c>
      <x:c r="B206" s="98" t="str">
        <x:v>Revision 2</x:v>
      </x:c>
      <x:c r="C206" s="98" t="n">
        <x:v>3</x:v>
      </x:c>
      <x:c r="D206" s="98" t="n">
        <x:v>22</x:v>
      </x:c>
      <x:c r="E206" s="98" t="n">
        <x:v>20</x:v>
      </x:c>
      <x:c r="F206" s="99" t="str">
        <x:v>Verilog Language → Modules: Hierarchy</x:v>
      </x:c>
      <x:c r="G206" s="99" t="str">
        <x:v>Connecting ports by name</x:v>
      </x:c>
      <x:c r="H206" s="99" t="str">
        <x:v>Timed re-solve; explain the hardware before writing code.</x:v>
      </x:c>
      <x:c r="I206" s="98" t="str">
        <x:v>Not Started</x:v>
      </x:c>
      <x:c r="J206" s="98"/>
      <x:c r="K206" s="98" t="str">
        <x:v>None</x:v>
      </x:c>
      <x:c r="L206" s="99"/>
      <x:c r="M206" s="99"/>
      <x:c r="N206" s="99"/>
    </x:row>
    <x:row r="207" ht="34.5" customHeight="1">
      <x:c r="A207" s="34" t="n">
        <x:v>46255</x:v>
      </x:c>
      <x:c r="B207" s="98" t="str">
        <x:v>Revision 2</x:v>
      </x:c>
      <x:c r="C207" s="98" t="n">
        <x:v>3</x:v>
      </x:c>
      <x:c r="D207" s="98" t="n">
        <x:v>23</x:v>
      </x:c>
      <x:c r="E207" s="98" t="n">
        <x:v>21</x:v>
      </x:c>
      <x:c r="F207" s="99" t="str">
        <x:v>Verilog Language → Modules: Hierarchy</x:v>
      </x:c>
      <x:c r="G207" s="99" t="str">
        <x:v>Three modules</x:v>
      </x:c>
      <x:c r="H207" s="99" t="str">
        <x:v>Timed re-solve; explain the hardware before writing code.</x:v>
      </x:c>
      <x:c r="I207" s="98" t="str">
        <x:v>Not Started</x:v>
      </x:c>
      <x:c r="J207" s="98"/>
      <x:c r="K207" s="98" t="str">
        <x:v>None</x:v>
      </x:c>
      <x:c r="L207" s="99"/>
      <x:c r="M207" s="99"/>
      <x:c r="N207" s="99"/>
    </x:row>
    <x:row r="208" ht="34.5" customHeight="1">
      <x:c r="A208" s="34" t="n">
        <x:v>46255</x:v>
      </x:c>
      <x:c r="B208" s="98" t="str">
        <x:v>Revision 2</x:v>
      </x:c>
      <x:c r="C208" s="98" t="n">
        <x:v>3</x:v>
      </x:c>
      <x:c r="D208" s="98" t="n">
        <x:v>24</x:v>
      </x:c>
      <x:c r="E208" s="98" t="n">
        <x:v>22</x:v>
      </x:c>
      <x:c r="F208" s="99" t="str">
        <x:v>Verilog Language → Modules: Hierarchy</x:v>
      </x:c>
      <x:c r="G208" s="99" t="str">
        <x:v>Modules and vectors</x:v>
      </x:c>
      <x:c r="H208" s="99" t="str">
        <x:v>Timed re-solve; explain the hardware before writing code.</x:v>
      </x:c>
      <x:c r="I208" s="98" t="str">
        <x:v>Not Started</x:v>
      </x:c>
      <x:c r="J208" s="98"/>
      <x:c r="K208" s="98" t="str">
        <x:v>None</x:v>
      </x:c>
      <x:c r="L208" s="99"/>
      <x:c r="M208" s="99"/>
      <x:c r="N208" s="99"/>
    </x:row>
    <x:row r="209" ht="34.5" customHeight="1">
      <x:c r="A209" s="34" t="n">
        <x:v>46255</x:v>
      </x:c>
      <x:c r="B209" s="98" t="str">
        <x:v>Revision 2</x:v>
      </x:c>
      <x:c r="C209" s="98" t="n">
        <x:v>3</x:v>
      </x:c>
      <x:c r="D209" s="98" t="n">
        <x:v>25</x:v>
      </x:c>
      <x:c r="E209" s="98" t="n">
        <x:v>23</x:v>
      </x:c>
      <x:c r="F209" s="99" t="str">
        <x:v>Verilog Language → Modules: Hierarchy</x:v>
      </x:c>
      <x:c r="G209" s="99" t="str">
        <x:v>Adder 1</x:v>
      </x:c>
      <x:c r="H209" s="99" t="str">
        <x:v>Timed re-solve; explain the hardware before writing code.</x:v>
      </x:c>
      <x:c r="I209" s="98" t="str">
        <x:v>Not Started</x:v>
      </x:c>
      <x:c r="J209" s="98"/>
      <x:c r="K209" s="98" t="str">
        <x:v>None</x:v>
      </x:c>
      <x:c r="L209" s="99"/>
      <x:c r="M209" s="99"/>
      <x:c r="N209" s="99"/>
    </x:row>
    <x:row r="210" ht="34.5" customHeight="1">
      <x:c r="A210" s="34" t="n">
        <x:v>46255</x:v>
      </x:c>
      <x:c r="B210" s="98" t="str">
        <x:v>Revision 2</x:v>
      </x:c>
      <x:c r="C210" s="98" t="n">
        <x:v>3</x:v>
      </x:c>
      <x:c r="D210" s="98" t="n">
        <x:v>26</x:v>
      </x:c>
      <x:c r="E210" s="98" t="n">
        <x:v>24</x:v>
      </x:c>
      <x:c r="F210" s="99" t="str">
        <x:v>Verilog Language → Modules: Hierarchy</x:v>
      </x:c>
      <x:c r="G210" s="99" t="str">
        <x:v>Adder 2</x:v>
      </x:c>
      <x:c r="H210" s="99" t="str">
        <x:v>Timed re-solve; explain the hardware before writing code.</x:v>
      </x:c>
      <x:c r="I210" s="98" t="str">
        <x:v>Not Started</x:v>
      </x:c>
      <x:c r="J210" s="98"/>
      <x:c r="K210" s="98" t="str">
        <x:v>None</x:v>
      </x:c>
      <x:c r="L210" s="99"/>
      <x:c r="M210" s="99"/>
      <x:c r="N210" s="99"/>
    </x:row>
    <x:row r="211" ht="34.5" customHeight="1">
      <x:c r="A211" s="34" t="n">
        <x:v>46255</x:v>
      </x:c>
      <x:c r="B211" s="98" t="str">
        <x:v>Revision 2</x:v>
      </x:c>
      <x:c r="C211" s="98" t="n">
        <x:v>3</x:v>
      </x:c>
      <x:c r="D211" s="98" t="n">
        <x:v>27</x:v>
      </x:c>
      <x:c r="E211" s="98" t="n">
        <x:v>25</x:v>
      </x:c>
      <x:c r="F211" s="99" t="str">
        <x:v>Verilog Language → Modules: Hierarchy</x:v>
      </x:c>
      <x:c r="G211" s="99" t="str">
        <x:v>Carry-select adder</x:v>
      </x:c>
      <x:c r="H211" s="99" t="str">
        <x:v>Timed re-solve; explain the hardware before writing code.</x:v>
      </x:c>
      <x:c r="I211" s="98" t="str">
        <x:v>Not Started</x:v>
      </x:c>
      <x:c r="J211" s="98"/>
      <x:c r="K211" s="98" t="str">
        <x:v>None</x:v>
      </x:c>
      <x:c r="L211" s="99"/>
      <x:c r="M211" s="99"/>
      <x:c r="N211" s="99"/>
    </x:row>
    <x:row r="212" ht="34.5" customHeight="1">
      <x:c r="A212" s="34" t="n">
        <x:v>46255</x:v>
      </x:c>
      <x:c r="B212" s="98" t="str">
        <x:v>Revision 2</x:v>
      </x:c>
      <x:c r="C212" s="98" t="n">
        <x:v>3</x:v>
      </x:c>
      <x:c r="D212" s="98" t="n">
        <x:v>28</x:v>
      </x:c>
      <x:c r="E212" s="98" t="n">
        <x:v>26</x:v>
      </x:c>
      <x:c r="F212" s="99" t="str">
        <x:v>Verilog Language → Modules: Hierarchy</x:v>
      </x:c>
      <x:c r="G212" s="99" t="str">
        <x:v>Adder-subtractor</x:v>
      </x:c>
      <x:c r="H212" s="99" t="str">
        <x:v>Timed re-solve; explain the hardware before writing code.</x:v>
      </x:c>
      <x:c r="I212" s="98" t="str">
        <x:v>Not Started</x:v>
      </x:c>
      <x:c r="J212" s="98"/>
      <x:c r="K212" s="98" t="str">
        <x:v>None</x:v>
      </x:c>
      <x:c r="L212" s="99"/>
      <x:c r="M212" s="99"/>
      <x:c r="N212" s="99"/>
    </x:row>
    <x:row r="213" ht="34.5" customHeight="1">
      <x:c r="A213" s="34" t="n">
        <x:v>46255</x:v>
      </x:c>
      <x:c r="B213" s="98" t="str">
        <x:v>Revision 2</x:v>
      </x:c>
      <x:c r="C213" s="98" t="n">
        <x:v>3</x:v>
      </x:c>
      <x:c r="D213" s="98" t="n">
        <x:v>29</x:v>
      </x:c>
      <x:c r="E213" s="98" t="n">
        <x:v>27</x:v>
      </x:c>
      <x:c r="F213" s="99" t="str">
        <x:v>Verilog Language → Procedures</x:v>
      </x:c>
      <x:c r="G213" s="99" t="str">
        <x:v>Always blocks (combinational)</x:v>
      </x:c>
      <x:c r="H213" s="99" t="str">
        <x:v>Timed re-solve; explain the hardware before writing code.</x:v>
      </x:c>
      <x:c r="I213" s="98" t="str">
        <x:v>Not Started</x:v>
      </x:c>
      <x:c r="J213" s="98"/>
      <x:c r="K213" s="98" t="str">
        <x:v>None</x:v>
      </x:c>
      <x:c r="L213" s="99"/>
      <x:c r="M213" s="99"/>
      <x:c r="N213" s="99"/>
    </x:row>
    <x:row r="214" ht="34.5" customHeight="1">
      <x:c r="A214" s="34" t="n">
        <x:v>46255</x:v>
      </x:c>
      <x:c r="B214" s="98" t="str">
        <x:v>Revision 2</x:v>
      </x:c>
      <x:c r="C214" s="98" t="n">
        <x:v>3</x:v>
      </x:c>
      <x:c r="D214" s="98" t="n">
        <x:v>30</x:v>
      </x:c>
      <x:c r="E214" s="98" t="n">
        <x:v>28</x:v>
      </x:c>
      <x:c r="F214" s="99" t="str">
        <x:v>Verilog Language → Procedures</x:v>
      </x:c>
      <x:c r="G214" s="99" t="str">
        <x:v>Always blocks (clocked)</x:v>
      </x:c>
      <x:c r="H214" s="99" t="str">
        <x:v>Timed re-solve; explain the hardware before writing code.</x:v>
      </x:c>
      <x:c r="I214" s="98" t="str">
        <x:v>Not Started</x:v>
      </x:c>
      <x:c r="J214" s="98"/>
      <x:c r="K214" s="98" t="str">
        <x:v>None</x:v>
      </x:c>
      <x:c r="L214" s="99"/>
      <x:c r="M214" s="99"/>
      <x:c r="N214" s="99"/>
    </x:row>
    <x:row r="215" ht="34.5" customHeight="1">
      <x:c r="A215" s="34" t="n">
        <x:v>46256</x:v>
      </x:c>
      <x:c r="B215" s="98" t="str">
        <x:v>Revision 2</x:v>
      </x:c>
      <x:c r="C215" s="98" t="n">
        <x:v>4</x:v>
      </x:c>
      <x:c r="D215" s="98" t="n">
        <x:v>31</x:v>
      </x:c>
      <x:c r="E215" s="98" t="n">
        <x:v>29</x:v>
      </x:c>
      <x:c r="F215" s="99" t="str">
        <x:v>Verilog Language → Procedures</x:v>
      </x:c>
      <x:c r="G215" s="99" t="str">
        <x:v>If statement</x:v>
      </x:c>
      <x:c r="H215" s="99" t="str">
        <x:v>Timed re-solve; explain the hardware before writing code.</x:v>
      </x:c>
      <x:c r="I215" s="98" t="str">
        <x:v>Not Started</x:v>
      </x:c>
      <x:c r="J215" s="98"/>
      <x:c r="K215" s="98" t="str">
        <x:v>None</x:v>
      </x:c>
      <x:c r="L215" s="99"/>
      <x:c r="M215" s="99"/>
      <x:c r="N215" s="99"/>
    </x:row>
    <x:row r="216" ht="34.5" customHeight="1">
      <x:c r="A216" s="34" t="n">
        <x:v>46256</x:v>
      </x:c>
      <x:c r="B216" s="98" t="str">
        <x:v>Revision 2</x:v>
      </x:c>
      <x:c r="C216" s="98" t="n">
        <x:v>4</x:v>
      </x:c>
      <x:c r="D216" s="98" t="n">
        <x:v>32</x:v>
      </x:c>
      <x:c r="E216" s="98" t="n">
        <x:v>30</x:v>
      </x:c>
      <x:c r="F216" s="99" t="str">
        <x:v>Verilog Language → Procedures</x:v>
      </x:c>
      <x:c r="G216" s="99" t="str">
        <x:v>If statement latches</x:v>
      </x:c>
      <x:c r="H216" s="99" t="str">
        <x:v>Timed re-solve; explain the hardware before writing code.</x:v>
      </x:c>
      <x:c r="I216" s="98" t="str">
        <x:v>Not Started</x:v>
      </x:c>
      <x:c r="J216" s="98"/>
      <x:c r="K216" s="98" t="str">
        <x:v>None</x:v>
      </x:c>
      <x:c r="L216" s="99"/>
      <x:c r="M216" s="99"/>
      <x:c r="N216" s="99"/>
    </x:row>
    <x:row r="217" ht="34.5" customHeight="1">
      <x:c r="A217" s="34" t="n">
        <x:v>46256</x:v>
      </x:c>
      <x:c r="B217" s="98" t="str">
        <x:v>Revision 2</x:v>
      </x:c>
      <x:c r="C217" s="98" t="n">
        <x:v>4</x:v>
      </x:c>
      <x:c r="D217" s="98" t="n">
        <x:v>33</x:v>
      </x:c>
      <x:c r="E217" s="98" t="n">
        <x:v>31</x:v>
      </x:c>
      <x:c r="F217" s="99" t="str">
        <x:v>Verilog Language → Procedures</x:v>
      </x:c>
      <x:c r="G217" s="99" t="str">
        <x:v>Case statement</x:v>
      </x:c>
      <x:c r="H217" s="99" t="str">
        <x:v>Timed re-solve; explain the hardware before writing code.</x:v>
      </x:c>
      <x:c r="I217" s="98" t="str">
        <x:v>Not Started</x:v>
      </x:c>
      <x:c r="J217" s="98"/>
      <x:c r="K217" s="98" t="str">
        <x:v>None</x:v>
      </x:c>
      <x:c r="L217" s="99"/>
      <x:c r="M217" s="99"/>
      <x:c r="N217" s="99"/>
    </x:row>
    <x:row r="218" ht="34.5" customHeight="1">
      <x:c r="A218" s="34" t="n">
        <x:v>46256</x:v>
      </x:c>
      <x:c r="B218" s="98" t="str">
        <x:v>Revision 2</x:v>
      </x:c>
      <x:c r="C218" s="98" t="n">
        <x:v>4</x:v>
      </x:c>
      <x:c r="D218" s="98" t="n">
        <x:v>34</x:v>
      </x:c>
      <x:c r="E218" s="98" t="n">
        <x:v>32</x:v>
      </x:c>
      <x:c r="F218" s="99" t="str">
        <x:v>Verilog Language → Procedures</x:v>
      </x:c>
      <x:c r="G218" s="99" t="str">
        <x:v>Priority encoder</x:v>
      </x:c>
      <x:c r="H218" s="99" t="str">
        <x:v>Timed re-solve; explain the hardware before writing code.</x:v>
      </x:c>
      <x:c r="I218" s="98" t="str">
        <x:v>Not Started</x:v>
      </x:c>
      <x:c r="J218" s="98"/>
      <x:c r="K218" s="98" t="str">
        <x:v>None</x:v>
      </x:c>
      <x:c r="L218" s="99"/>
      <x:c r="M218" s="99"/>
      <x:c r="N218" s="99"/>
    </x:row>
    <x:row r="219" ht="34.5" customHeight="1">
      <x:c r="A219" s="34" t="n">
        <x:v>46256</x:v>
      </x:c>
      <x:c r="B219" s="98" t="str">
        <x:v>Revision 2</x:v>
      </x:c>
      <x:c r="C219" s="98" t="n">
        <x:v>4</x:v>
      </x:c>
      <x:c r="D219" s="98" t="n">
        <x:v>35</x:v>
      </x:c>
      <x:c r="E219" s="98" t="n">
        <x:v>33</x:v>
      </x:c>
      <x:c r="F219" s="99" t="str">
        <x:v>Verilog Language → Procedures</x:v>
      </x:c>
      <x:c r="G219" s="99" t="str">
        <x:v>Priority encoder with casez</x:v>
      </x:c>
      <x:c r="H219" s="99" t="str">
        <x:v>Timed re-solve; explain the hardware before writing code.</x:v>
      </x:c>
      <x:c r="I219" s="98" t="str">
        <x:v>Not Started</x:v>
      </x:c>
      <x:c r="J219" s="98"/>
      <x:c r="K219" s="98" t="str">
        <x:v>None</x:v>
      </x:c>
      <x:c r="L219" s="99"/>
      <x:c r="M219" s="99"/>
      <x:c r="N219" s="99"/>
    </x:row>
    <x:row r="220" ht="34.5" customHeight="1">
      <x:c r="A220" s="34" t="n">
        <x:v>46256</x:v>
      </x:c>
      <x:c r="B220" s="98" t="str">
        <x:v>Revision 2</x:v>
      </x:c>
      <x:c r="C220" s="98" t="n">
        <x:v>4</x:v>
      </x:c>
      <x:c r="D220" s="98" t="n">
        <x:v>36</x:v>
      </x:c>
      <x:c r="E220" s="98" t="n">
        <x:v>34</x:v>
      </x:c>
      <x:c r="F220" s="99" t="str">
        <x:v>Verilog Language → Procedures</x:v>
      </x:c>
      <x:c r="G220" s="99" t="str">
        <x:v>Avoiding latches</x:v>
      </x:c>
      <x:c r="H220" s="99" t="str">
        <x:v>Timed re-solve; explain the hardware before writing code.</x:v>
      </x:c>
      <x:c r="I220" s="98" t="str">
        <x:v>Not Started</x:v>
      </x:c>
      <x:c r="J220" s="98"/>
      <x:c r="K220" s="98" t="str">
        <x:v>None</x:v>
      </x:c>
      <x:c r="L220" s="99"/>
      <x:c r="M220" s="99"/>
      <x:c r="N220" s="99"/>
    </x:row>
    <x:row r="221" ht="34.5" customHeight="1">
      <x:c r="A221" s="34" t="n">
        <x:v>46256</x:v>
      </x:c>
      <x:c r="B221" s="98" t="str">
        <x:v>Revision 2</x:v>
      </x:c>
      <x:c r="C221" s="98" t="n">
        <x:v>4</x:v>
      </x:c>
      <x:c r="D221" s="98" t="n">
        <x:v>37</x:v>
      </x:c>
      <x:c r="E221" s="98" t="n">
        <x:v>35</x:v>
      </x:c>
      <x:c r="F221" s="99" t="str">
        <x:v>Verilog Language → More Verilog Features</x:v>
      </x:c>
      <x:c r="G221" s="99" t="str">
        <x:v>Conditional ternary operator</x:v>
      </x:c>
      <x:c r="H221" s="99" t="str">
        <x:v>Timed re-solve; explain the hardware before writing code.</x:v>
      </x:c>
      <x:c r="I221" s="98" t="str">
        <x:v>Not Started</x:v>
      </x:c>
      <x:c r="J221" s="98"/>
      <x:c r="K221" s="98" t="str">
        <x:v>None</x:v>
      </x:c>
      <x:c r="L221" s="99"/>
      <x:c r="M221" s="99"/>
      <x:c r="N221" s="99"/>
    </x:row>
    <x:row r="222" ht="34.5" customHeight="1">
      <x:c r="A222" s="34" t="n">
        <x:v>46256</x:v>
      </x:c>
      <x:c r="B222" s="98" t="str">
        <x:v>Revision 2</x:v>
      </x:c>
      <x:c r="C222" s="98" t="n">
        <x:v>4</x:v>
      </x:c>
      <x:c r="D222" s="98" t="n">
        <x:v>38</x:v>
      </x:c>
      <x:c r="E222" s="98" t="n">
        <x:v>36</x:v>
      </x:c>
      <x:c r="F222" s="99" t="str">
        <x:v>Verilog Language → More Verilog Features</x:v>
      </x:c>
      <x:c r="G222" s="99" t="str">
        <x:v>Reduction operators</x:v>
      </x:c>
      <x:c r="H222" s="99" t="str">
        <x:v>Timed re-solve; explain the hardware before writing code.</x:v>
      </x:c>
      <x:c r="I222" s="98" t="str">
        <x:v>Not Started</x:v>
      </x:c>
      <x:c r="J222" s="98"/>
      <x:c r="K222" s="98" t="str">
        <x:v>None</x:v>
      </x:c>
      <x:c r="L222" s="99"/>
      <x:c r="M222" s="99"/>
      <x:c r="N222" s="99"/>
    </x:row>
    <x:row r="223" ht="34.5" customHeight="1">
      <x:c r="A223" s="34" t="n">
        <x:v>46256</x:v>
      </x:c>
      <x:c r="B223" s="98" t="str">
        <x:v>Revision 2</x:v>
      </x:c>
      <x:c r="C223" s="98" t="n">
        <x:v>4</x:v>
      </x:c>
      <x:c r="D223" s="98" t="n">
        <x:v>39</x:v>
      </x:c>
      <x:c r="E223" s="98" t="n">
        <x:v>37</x:v>
      </x:c>
      <x:c r="F223" s="99" t="str">
        <x:v>Verilog Language → More Verilog Features</x:v>
      </x:c>
      <x:c r="G223" s="99" t="str">
        <x:v>Reduction: Even wider gates</x:v>
      </x:c>
      <x:c r="H223" s="99" t="str">
        <x:v>Timed re-solve; explain the hardware before writing code.</x:v>
      </x:c>
      <x:c r="I223" s="98" t="str">
        <x:v>Not Started</x:v>
      </x:c>
      <x:c r="J223" s="98"/>
      <x:c r="K223" s="98" t="str">
        <x:v>None</x:v>
      </x:c>
      <x:c r="L223" s="99"/>
      <x:c r="M223" s="99"/>
      <x:c r="N223" s="99"/>
    </x:row>
    <x:row r="224" ht="34.5" customHeight="1">
      <x:c r="A224" s="34" t="n">
        <x:v>46256</x:v>
      </x:c>
      <x:c r="B224" s="98" t="str">
        <x:v>Revision 2</x:v>
      </x:c>
      <x:c r="C224" s="98" t="n">
        <x:v>4</x:v>
      </x:c>
      <x:c r="D224" s="98" t="n">
        <x:v>40</x:v>
      </x:c>
      <x:c r="E224" s="98" t="n">
        <x:v>38</x:v>
      </x:c>
      <x:c r="F224" s="99" t="str">
        <x:v>Verilog Language → More Verilog Features</x:v>
      </x:c>
      <x:c r="G224" s="99" t="str">
        <x:v>Combinational for-loop: Vector reversal 2</x:v>
      </x:c>
      <x:c r="H224" s="99" t="str">
        <x:v>Timed re-solve; explain the hardware before writing code.</x:v>
      </x:c>
      <x:c r="I224" s="98" t="str">
        <x:v>Not Started</x:v>
      </x:c>
      <x:c r="J224" s="98"/>
      <x:c r="K224" s="98" t="str">
        <x:v>None</x:v>
      </x:c>
      <x:c r="L224" s="99"/>
      <x:c r="M224" s="99"/>
      <x:c r="N224" s="99"/>
    </x:row>
    <x:row r="225" ht="34.5" customHeight="1">
      <x:c r="A225" s="34" t="n">
        <x:v>46257</x:v>
      </x:c>
      <x:c r="B225" s="98" t="str">
        <x:v>Revision 2</x:v>
      </x:c>
      <x:c r="C225" s="98" t="n">
        <x:v>5</x:v>
      </x:c>
      <x:c r="D225" s="98" t="n">
        <x:v>41</x:v>
      </x:c>
      <x:c r="E225" s="98" t="n">
        <x:v>39</x:v>
      </x:c>
      <x:c r="F225" s="99" t="str">
        <x:v>Verilog Language → More Verilog Features</x:v>
      </x:c>
      <x:c r="G225" s="99" t="str">
        <x:v>Combinational for-loop: 255-bit population count</x:v>
      </x:c>
      <x:c r="H225" s="99" t="str">
        <x:v>Timed re-solve; explain the hardware before writing code.</x:v>
      </x:c>
      <x:c r="I225" s="98" t="str">
        <x:v>Not Started</x:v>
      </x:c>
      <x:c r="J225" s="98"/>
      <x:c r="K225" s="98" t="str">
        <x:v>None</x:v>
      </x:c>
      <x:c r="L225" s="99"/>
      <x:c r="M225" s="99"/>
      <x:c r="N225" s="99"/>
    </x:row>
    <x:row r="226" ht="34.5" customHeight="1">
      <x:c r="A226" s="34" t="n">
        <x:v>46257</x:v>
      </x:c>
      <x:c r="B226" s="98" t="str">
        <x:v>Revision 2</x:v>
      </x:c>
      <x:c r="C226" s="98" t="n">
        <x:v>5</x:v>
      </x:c>
      <x:c r="D226" s="98" t="n">
        <x:v>42</x:v>
      </x:c>
      <x:c r="E226" s="98" t="n">
        <x:v>40</x:v>
      </x:c>
      <x:c r="F226" s="99" t="str">
        <x:v>Verilog Language → More Verilog Features</x:v>
      </x:c>
      <x:c r="G226" s="99" t="str">
        <x:v>Generate for-loop: 100-bit binary adder 2</x:v>
      </x:c>
      <x:c r="H226" s="99" t="str">
        <x:v>Timed re-solve; explain the hardware before writing code.</x:v>
      </x:c>
      <x:c r="I226" s="98" t="str">
        <x:v>Not Started</x:v>
      </x:c>
      <x:c r="J226" s="98"/>
      <x:c r="K226" s="98" t="str">
        <x:v>None</x:v>
      </x:c>
      <x:c r="L226" s="99"/>
      <x:c r="M226" s="99"/>
      <x:c r="N226" s="99"/>
    </x:row>
    <x:row r="227" ht="34.5" customHeight="1">
      <x:c r="A227" s="34" t="n">
        <x:v>46257</x:v>
      </x:c>
      <x:c r="B227" s="98" t="str">
        <x:v>Revision 2</x:v>
      </x:c>
      <x:c r="C227" s="98" t="n">
        <x:v>5</x:v>
      </x:c>
      <x:c r="D227" s="98" t="n">
        <x:v>43</x:v>
      </x:c>
      <x:c r="E227" s="98" t="n">
        <x:v>41</x:v>
      </x:c>
      <x:c r="F227" s="99" t="str">
        <x:v>Verilog Language → More Verilog Features</x:v>
      </x:c>
      <x:c r="G227" s="99" t="str">
        <x:v>Generate for-loop: 100-digit BCD adder</x:v>
      </x:c>
      <x:c r="H227" s="99" t="str">
        <x:v>Timed re-solve; explain the hardware before writing code.</x:v>
      </x:c>
      <x:c r="I227" s="98" t="str">
        <x:v>Not Started</x:v>
      </x:c>
      <x:c r="J227" s="98"/>
      <x:c r="K227" s="98" t="str">
        <x:v>None</x:v>
      </x:c>
      <x:c r="L227" s="99"/>
      <x:c r="M227" s="99"/>
      <x:c r="N227" s="99"/>
    </x:row>
    <x:row r="228" ht="34.5" customHeight="1">
      <x:c r="A228" s="34" t="n">
        <x:v>46257</x:v>
      </x:c>
      <x:c r="B228" s="98" t="str">
        <x:v>Revision 2</x:v>
      </x:c>
      <x:c r="C228" s="98" t="n">
        <x:v>5</x:v>
      </x:c>
      <x:c r="D228" s="98" t="n">
        <x:v>44</x:v>
      </x:c>
      <x:c r="E228" s="98" t="n">
        <x:v>42</x:v>
      </x:c>
      <x:c r="F228" s="99" t="str">
        <x:v>Circuits → Combinational Logic → Basic Gates</x:v>
      </x:c>
      <x:c r="G228" s="99" t="str">
        <x:v>Wire</x:v>
      </x:c>
      <x:c r="H228" s="99" t="str">
        <x:v>Timed re-solve; explain the hardware before writing code.</x:v>
      </x:c>
      <x:c r="I228" s="98" t="str">
        <x:v>Not Started</x:v>
      </x:c>
      <x:c r="J228" s="98"/>
      <x:c r="K228" s="98" t="str">
        <x:v>None</x:v>
      </x:c>
      <x:c r="L228" s="99"/>
      <x:c r="M228" s="99"/>
      <x:c r="N228" s="99"/>
    </x:row>
    <x:row r="229" ht="34.5" customHeight="1">
      <x:c r="A229" s="34" t="n">
        <x:v>46257</x:v>
      </x:c>
      <x:c r="B229" s="98" t="str">
        <x:v>Revision 2</x:v>
      </x:c>
      <x:c r="C229" s="98" t="n">
        <x:v>5</x:v>
      </x:c>
      <x:c r="D229" s="98" t="n">
        <x:v>45</x:v>
      </x:c>
      <x:c r="E229" s="98" t="n">
        <x:v>43</x:v>
      </x:c>
      <x:c r="F229" s="99" t="str">
        <x:v>Circuits → Combinational Logic → Basic Gates</x:v>
      </x:c>
      <x:c r="G229" s="99" t="str">
        <x:v>GND</x:v>
      </x:c>
      <x:c r="H229" s="99" t="str">
        <x:v>Timed re-solve; explain the hardware before writing code.</x:v>
      </x:c>
      <x:c r="I229" s="98" t="str">
        <x:v>Not Started</x:v>
      </x:c>
      <x:c r="J229" s="98"/>
      <x:c r="K229" s="98" t="str">
        <x:v>None</x:v>
      </x:c>
      <x:c r="L229" s="99"/>
      <x:c r="M229" s="99"/>
      <x:c r="N229" s="99"/>
    </x:row>
    <x:row r="230" ht="34.5" customHeight="1">
      <x:c r="A230" s="34" t="n">
        <x:v>46257</x:v>
      </x:c>
      <x:c r="B230" s="98" t="str">
        <x:v>Revision 2</x:v>
      </x:c>
      <x:c r="C230" s="98" t="n">
        <x:v>5</x:v>
      </x:c>
      <x:c r="D230" s="98" t="n">
        <x:v>46</x:v>
      </x:c>
      <x:c r="E230" s="98" t="n">
        <x:v>44</x:v>
      </x:c>
      <x:c r="F230" s="99" t="str">
        <x:v>Circuits → Combinational Logic → Basic Gates</x:v>
      </x:c>
      <x:c r="G230" s="99" t="str">
        <x:v>NOR</x:v>
      </x:c>
      <x:c r="H230" s="99" t="str">
        <x:v>Timed re-solve; explain the hardware before writing code.</x:v>
      </x:c>
      <x:c r="I230" s="98" t="str">
        <x:v>Not Started</x:v>
      </x:c>
      <x:c r="J230" s="98"/>
      <x:c r="K230" s="98" t="str">
        <x:v>None</x:v>
      </x:c>
      <x:c r="L230" s="99"/>
      <x:c r="M230" s="99"/>
      <x:c r="N230" s="99"/>
    </x:row>
    <x:row r="231" ht="34.5" customHeight="1">
      <x:c r="A231" s="34" t="n">
        <x:v>46257</x:v>
      </x:c>
      <x:c r="B231" s="98" t="str">
        <x:v>Revision 2</x:v>
      </x:c>
      <x:c r="C231" s="98" t="n">
        <x:v>5</x:v>
      </x:c>
      <x:c r="D231" s="98" t="n">
        <x:v>47</x:v>
      </x:c>
      <x:c r="E231" s="98" t="n">
        <x:v>45</x:v>
      </x:c>
      <x:c r="F231" s="99" t="str">
        <x:v>Circuits → Combinational Logic → Basic Gates</x:v>
      </x:c>
      <x:c r="G231" s="99" t="str">
        <x:v>Another gate</x:v>
      </x:c>
      <x:c r="H231" s="99" t="str">
        <x:v>Timed re-solve; explain the hardware before writing code.</x:v>
      </x:c>
      <x:c r="I231" s="98" t="str">
        <x:v>Not Started</x:v>
      </x:c>
      <x:c r="J231" s="98"/>
      <x:c r="K231" s="98" t="str">
        <x:v>None</x:v>
      </x:c>
      <x:c r="L231" s="99"/>
      <x:c r="M231" s="99"/>
      <x:c r="N231" s="99"/>
    </x:row>
    <x:row r="232" ht="34.5" customHeight="1">
      <x:c r="A232" s="34" t="n">
        <x:v>46257</x:v>
      </x:c>
      <x:c r="B232" s="98" t="str">
        <x:v>Revision 2</x:v>
      </x:c>
      <x:c r="C232" s="98" t="n">
        <x:v>5</x:v>
      </x:c>
      <x:c r="D232" s="98" t="n">
        <x:v>48</x:v>
      </x:c>
      <x:c r="E232" s="98" t="n">
        <x:v>46</x:v>
      </x:c>
      <x:c r="F232" s="99" t="str">
        <x:v>Circuits → Combinational Logic → Basic Gates</x:v>
      </x:c>
      <x:c r="G232" s="99" t="str">
        <x:v>Two gates</x:v>
      </x:c>
      <x:c r="H232" s="99" t="str">
        <x:v>Timed re-solve; explain the hardware before writing code.</x:v>
      </x:c>
      <x:c r="I232" s="98" t="str">
        <x:v>Not Started</x:v>
      </x:c>
      <x:c r="J232" s="98"/>
      <x:c r="K232" s="98" t="str">
        <x:v>None</x:v>
      </x:c>
      <x:c r="L232" s="99"/>
      <x:c r="M232" s="99"/>
      <x:c r="N232" s="99"/>
    </x:row>
    <x:row r="233" ht="34.5" customHeight="1">
      <x:c r="A233" s="34" t="n">
        <x:v>46257</x:v>
      </x:c>
      <x:c r="B233" s="98" t="str">
        <x:v>Revision 2</x:v>
      </x:c>
      <x:c r="C233" s="98" t="n">
        <x:v>5</x:v>
      </x:c>
      <x:c r="D233" s="98" t="n">
        <x:v>49</x:v>
      </x:c>
      <x:c r="E233" s="98" t="n">
        <x:v>47</x:v>
      </x:c>
      <x:c r="F233" s="99" t="str">
        <x:v>Circuits → Combinational Logic → Basic Gates</x:v>
      </x:c>
      <x:c r="G233" s="99" t="str">
        <x:v>More logic gates</x:v>
      </x:c>
      <x:c r="H233" s="99" t="str">
        <x:v>Timed re-solve; explain the hardware before writing code.</x:v>
      </x:c>
      <x:c r="I233" s="98" t="str">
        <x:v>Not Started</x:v>
      </x:c>
      <x:c r="J233" s="98"/>
      <x:c r="K233" s="98" t="str">
        <x:v>None</x:v>
      </x:c>
      <x:c r="L233" s="99"/>
      <x:c r="M233" s="99"/>
      <x:c r="N233" s="99"/>
    </x:row>
    <x:row r="234" ht="34.5" customHeight="1">
      <x:c r="A234" s="34" t="n">
        <x:v>46257</x:v>
      </x:c>
      <x:c r="B234" s="98" t="str">
        <x:v>Revision 2</x:v>
      </x:c>
      <x:c r="C234" s="98" t="n">
        <x:v>5</x:v>
      </x:c>
      <x:c r="D234" s="98" t="n">
        <x:v>50</x:v>
      </x:c>
      <x:c r="E234" s="98" t="n">
        <x:v>48</x:v>
      </x:c>
      <x:c r="F234" s="99" t="str">
        <x:v>Circuits → Combinational Logic → Basic Gates</x:v>
      </x:c>
      <x:c r="G234" s="99" t="str">
        <x:v>7420 chip</x:v>
      </x:c>
      <x:c r="H234" s="99" t="str">
        <x:v>Timed re-solve; explain the hardware before writing code.</x:v>
      </x:c>
      <x:c r="I234" s="98" t="str">
        <x:v>Not Started</x:v>
      </x:c>
      <x:c r="J234" s="98"/>
      <x:c r="K234" s="98" t="str">
        <x:v>None</x:v>
      </x:c>
      <x:c r="L234" s="99"/>
      <x:c r="M234" s="99"/>
      <x:c r="N234" s="99"/>
    </x:row>
    <x:row r="235" ht="34.5" customHeight="1">
      <x:c r="A235" s="34" t="n">
        <x:v>46258</x:v>
      </x:c>
      <x:c r="B235" s="98" t="str">
        <x:v>Revision 2</x:v>
      </x:c>
      <x:c r="C235" s="98" t="n">
        <x:v>6</x:v>
      </x:c>
      <x:c r="D235" s="98" t="n">
        <x:v>51</x:v>
      </x:c>
      <x:c r="E235" s="98" t="n">
        <x:v>49</x:v>
      </x:c>
      <x:c r="F235" s="99" t="str">
        <x:v>Circuits → Combinational Logic → Basic Gates</x:v>
      </x:c>
      <x:c r="G235" s="99" t="str">
        <x:v>Truth tables</x:v>
      </x:c>
      <x:c r="H235" s="99" t="str">
        <x:v>Timed re-solve; explain the hardware before writing code.</x:v>
      </x:c>
      <x:c r="I235" s="98" t="str">
        <x:v>Not Started</x:v>
      </x:c>
      <x:c r="J235" s="98"/>
      <x:c r="K235" s="98" t="str">
        <x:v>None</x:v>
      </x:c>
      <x:c r="L235" s="99"/>
      <x:c r="M235" s="99"/>
      <x:c r="N235" s="99"/>
    </x:row>
    <x:row r="236" ht="34.5" customHeight="1">
      <x:c r="A236" s="34" t="n">
        <x:v>46258</x:v>
      </x:c>
      <x:c r="B236" s="98" t="str">
        <x:v>Revision 2</x:v>
      </x:c>
      <x:c r="C236" s="98" t="n">
        <x:v>6</x:v>
      </x:c>
      <x:c r="D236" s="98" t="n">
        <x:v>52</x:v>
      </x:c>
      <x:c r="E236" s="98" t="n">
        <x:v>50</x:v>
      </x:c>
      <x:c r="F236" s="99" t="str">
        <x:v>Circuits → Combinational Logic → Basic Gates</x:v>
      </x:c>
      <x:c r="G236" s="99" t="str">
        <x:v>Two-bit equality</x:v>
      </x:c>
      <x:c r="H236" s="99" t="str">
        <x:v>Timed re-solve; explain the hardware before writing code.</x:v>
      </x:c>
      <x:c r="I236" s="98" t="str">
        <x:v>Not Started</x:v>
      </x:c>
      <x:c r="J236" s="98"/>
      <x:c r="K236" s="98" t="str">
        <x:v>None</x:v>
      </x:c>
      <x:c r="L236" s="99"/>
      <x:c r="M236" s="99"/>
      <x:c r="N236" s="99"/>
    </x:row>
    <x:row r="237" ht="34.5" customHeight="1">
      <x:c r="A237" s="34" t="n">
        <x:v>46258</x:v>
      </x:c>
      <x:c r="B237" s="98" t="str">
        <x:v>Revision 2</x:v>
      </x:c>
      <x:c r="C237" s="98" t="n">
        <x:v>6</x:v>
      </x:c>
      <x:c r="D237" s="98" t="n">
        <x:v>53</x:v>
      </x:c>
      <x:c r="E237" s="98" t="n">
        <x:v>51</x:v>
      </x:c>
      <x:c r="F237" s="99" t="str">
        <x:v>Circuits → Combinational Logic → Basic Gates</x:v>
      </x:c>
      <x:c r="G237" s="99" t="str">
        <x:v>Simple circuit A</x:v>
      </x:c>
      <x:c r="H237" s="99" t="str">
        <x:v>Timed re-solve; explain the hardware before writing code.</x:v>
      </x:c>
      <x:c r="I237" s="98" t="str">
        <x:v>Not Started</x:v>
      </x:c>
      <x:c r="J237" s="98"/>
      <x:c r="K237" s="98" t="str">
        <x:v>None</x:v>
      </x:c>
      <x:c r="L237" s="99"/>
      <x:c r="M237" s="99"/>
      <x:c r="N237" s="99"/>
    </x:row>
    <x:row r="238" ht="34.5" customHeight="1">
      <x:c r="A238" s="34" t="n">
        <x:v>46258</x:v>
      </x:c>
      <x:c r="B238" s="98" t="str">
        <x:v>Revision 2</x:v>
      </x:c>
      <x:c r="C238" s="98" t="n">
        <x:v>6</x:v>
      </x:c>
      <x:c r="D238" s="98" t="n">
        <x:v>54</x:v>
      </x:c>
      <x:c r="E238" s="98" t="n">
        <x:v>52</x:v>
      </x:c>
      <x:c r="F238" s="99" t="str">
        <x:v>Circuits → Combinational Logic → Basic Gates</x:v>
      </x:c>
      <x:c r="G238" s="99" t="str">
        <x:v>Simple circuit B</x:v>
      </x:c>
      <x:c r="H238" s="99" t="str">
        <x:v>Timed re-solve; explain the hardware before writing code.</x:v>
      </x:c>
      <x:c r="I238" s="98" t="str">
        <x:v>Not Started</x:v>
      </x:c>
      <x:c r="J238" s="98"/>
      <x:c r="K238" s="98" t="str">
        <x:v>None</x:v>
      </x:c>
      <x:c r="L238" s="99"/>
      <x:c r="M238" s="99"/>
      <x:c r="N238" s="99"/>
    </x:row>
    <x:row r="239" ht="34.5" customHeight="1">
      <x:c r="A239" s="34" t="n">
        <x:v>46258</x:v>
      </x:c>
      <x:c r="B239" s="98" t="str">
        <x:v>Revision 2</x:v>
      </x:c>
      <x:c r="C239" s="98" t="n">
        <x:v>6</x:v>
      </x:c>
      <x:c r="D239" s="98" t="n">
        <x:v>55</x:v>
      </x:c>
      <x:c r="E239" s="98" t="n">
        <x:v>53</x:v>
      </x:c>
      <x:c r="F239" s="99" t="str">
        <x:v>Circuits → Combinational Logic → Basic Gates</x:v>
      </x:c>
      <x:c r="G239" s="99" t="str">
        <x:v>Combine circuits A and B</x:v>
      </x:c>
      <x:c r="H239" s="99" t="str">
        <x:v>Timed re-solve; explain the hardware before writing code.</x:v>
      </x:c>
      <x:c r="I239" s="98" t="str">
        <x:v>Not Started</x:v>
      </x:c>
      <x:c r="J239" s="98"/>
      <x:c r="K239" s="98" t="str">
        <x:v>None</x:v>
      </x:c>
      <x:c r="L239" s="99"/>
      <x:c r="M239" s="99"/>
      <x:c r="N239" s="99"/>
    </x:row>
    <x:row r="240" ht="34.5" customHeight="1">
      <x:c r="A240" s="34" t="n">
        <x:v>46258</x:v>
      </x:c>
      <x:c r="B240" s="98" t="str">
        <x:v>Revision 2</x:v>
      </x:c>
      <x:c r="C240" s="98" t="n">
        <x:v>6</x:v>
      </x:c>
      <x:c r="D240" s="98" t="n">
        <x:v>56</x:v>
      </x:c>
      <x:c r="E240" s="98" t="n">
        <x:v>54</x:v>
      </x:c>
      <x:c r="F240" s="99" t="str">
        <x:v>Circuits → Combinational Logic → Basic Gates</x:v>
      </x:c>
      <x:c r="G240" s="99" t="str">
        <x:v>Ring or vibrate?</x:v>
      </x:c>
      <x:c r="H240" s="99" t="str">
        <x:v>Timed re-solve; explain the hardware before writing code.</x:v>
      </x:c>
      <x:c r="I240" s="98" t="str">
        <x:v>Not Started</x:v>
      </x:c>
      <x:c r="J240" s="98"/>
      <x:c r="K240" s="98" t="str">
        <x:v>None</x:v>
      </x:c>
      <x:c r="L240" s="99"/>
      <x:c r="M240" s="99"/>
      <x:c r="N240" s="99"/>
    </x:row>
    <x:row r="241" ht="34.5" customHeight="1">
      <x:c r="A241" s="34" t="n">
        <x:v>46258</x:v>
      </x:c>
      <x:c r="B241" s="98" t="str">
        <x:v>Revision 2</x:v>
      </x:c>
      <x:c r="C241" s="98" t="n">
        <x:v>6</x:v>
      </x:c>
      <x:c r="D241" s="98" t="n">
        <x:v>57</x:v>
      </x:c>
      <x:c r="E241" s="98" t="n">
        <x:v>55</x:v>
      </x:c>
      <x:c r="F241" s="99" t="str">
        <x:v>Circuits → Combinational Logic → Basic Gates</x:v>
      </x:c>
      <x:c r="G241" s="99" t="str">
        <x:v>Thermostat</x:v>
      </x:c>
      <x:c r="H241" s="99" t="str">
        <x:v>Timed re-solve; explain the hardware before writing code.</x:v>
      </x:c>
      <x:c r="I241" s="98" t="str">
        <x:v>Not Started</x:v>
      </x:c>
      <x:c r="J241" s="98"/>
      <x:c r="K241" s="98" t="str">
        <x:v>None</x:v>
      </x:c>
      <x:c r="L241" s="99"/>
      <x:c r="M241" s="99"/>
      <x:c r="N241" s="99"/>
    </x:row>
    <x:row r="242" ht="34.5" customHeight="1">
      <x:c r="A242" s="34" t="n">
        <x:v>46258</x:v>
      </x:c>
      <x:c r="B242" s="98" t="str">
        <x:v>Revision 2</x:v>
      </x:c>
      <x:c r="C242" s="98" t="n">
        <x:v>6</x:v>
      </x:c>
      <x:c r="D242" s="98" t="n">
        <x:v>58</x:v>
      </x:c>
      <x:c r="E242" s="98" t="n">
        <x:v>56</x:v>
      </x:c>
      <x:c r="F242" s="99" t="str">
        <x:v>Circuits → Combinational Logic → Basic Gates</x:v>
      </x:c>
      <x:c r="G242" s="99" t="str">
        <x:v>3-bit population count</x:v>
      </x:c>
      <x:c r="H242" s="99" t="str">
        <x:v>Timed re-solve; explain the hardware before writing code.</x:v>
      </x:c>
      <x:c r="I242" s="98" t="str">
        <x:v>Not Started</x:v>
      </x:c>
      <x:c r="J242" s="98"/>
      <x:c r="K242" s="98" t="str">
        <x:v>None</x:v>
      </x:c>
      <x:c r="L242" s="99"/>
      <x:c r="M242" s="99"/>
      <x:c r="N242" s="99"/>
    </x:row>
    <x:row r="243" ht="34.5" customHeight="1">
      <x:c r="A243" s="34" t="n">
        <x:v>46258</x:v>
      </x:c>
      <x:c r="B243" s="98" t="str">
        <x:v>Revision 2</x:v>
      </x:c>
      <x:c r="C243" s="98" t="n">
        <x:v>6</x:v>
      </x:c>
      <x:c r="D243" s="98" t="n">
        <x:v>59</x:v>
      </x:c>
      <x:c r="E243" s="98" t="n">
        <x:v>57</x:v>
      </x:c>
      <x:c r="F243" s="99" t="str">
        <x:v>Circuits → Combinational Logic → Basic Gates</x:v>
      </x:c>
      <x:c r="G243" s="99" t="str">
        <x:v>Gates and vectors</x:v>
      </x:c>
      <x:c r="H243" s="99" t="str">
        <x:v>Timed re-solve; explain the hardware before writing code.</x:v>
      </x:c>
      <x:c r="I243" s="98" t="str">
        <x:v>Not Started</x:v>
      </x:c>
      <x:c r="J243" s="98"/>
      <x:c r="K243" s="98" t="str">
        <x:v>None</x:v>
      </x:c>
      <x:c r="L243" s="99"/>
      <x:c r="M243" s="99"/>
      <x:c r="N243" s="99"/>
    </x:row>
    <x:row r="244" ht="34.5" customHeight="1">
      <x:c r="A244" s="34" t="n">
        <x:v>46258</x:v>
      </x:c>
      <x:c r="B244" s="98" t="str">
        <x:v>Revision 2</x:v>
      </x:c>
      <x:c r="C244" s="98" t="n">
        <x:v>6</x:v>
      </x:c>
      <x:c r="D244" s="98" t="n">
        <x:v>60</x:v>
      </x:c>
      <x:c r="E244" s="98" t="n">
        <x:v>58</x:v>
      </x:c>
      <x:c r="F244" s="99" t="str">
        <x:v>Circuits → Combinational Logic → Basic Gates</x:v>
      </x:c>
      <x:c r="G244" s="99" t="str">
        <x:v>Even longer vectors</x:v>
      </x:c>
      <x:c r="H244" s="99" t="str">
        <x:v>Timed re-solve; explain the hardware before writing code.</x:v>
      </x:c>
      <x:c r="I244" s="98" t="str">
        <x:v>Not Started</x:v>
      </x:c>
      <x:c r="J244" s="98"/>
      <x:c r="K244" s="98" t="str">
        <x:v>None</x:v>
      </x:c>
      <x:c r="L244" s="99"/>
      <x:c r="M244" s="99"/>
      <x:c r="N244" s="99"/>
    </x:row>
    <x:row r="245" ht="34.5" customHeight="1">
      <x:c r="A245" s="34" t="n">
        <x:v>46259</x:v>
      </x:c>
      <x:c r="B245" s="98" t="str">
        <x:v>Revision 2</x:v>
      </x:c>
      <x:c r="C245" s="98" t="n">
        <x:v>7</x:v>
      </x:c>
      <x:c r="D245" s="98" t="n">
        <x:v>61</x:v>
      </x:c>
      <x:c r="E245" s="98" t="n">
        <x:v>59</x:v>
      </x:c>
      <x:c r="F245" s="99" t="str">
        <x:v>Circuits → Combinational Logic → Multiplexers</x:v>
      </x:c>
      <x:c r="G245" s="99" t="str">
        <x:v>2-to-1 multiplexer</x:v>
      </x:c>
      <x:c r="H245" s="99" t="str">
        <x:v>Timed re-solve; explain the hardware before writing code.</x:v>
      </x:c>
      <x:c r="I245" s="98" t="str">
        <x:v>Not Started</x:v>
      </x:c>
      <x:c r="J245" s="98"/>
      <x:c r="K245" s="98" t="str">
        <x:v>None</x:v>
      </x:c>
      <x:c r="L245" s="99"/>
      <x:c r="M245" s="99"/>
      <x:c r="N245" s="99"/>
    </x:row>
    <x:row r="246" ht="34.5" customHeight="1">
      <x:c r="A246" s="34" t="n">
        <x:v>46259</x:v>
      </x:c>
      <x:c r="B246" s="98" t="str">
        <x:v>Revision 2</x:v>
      </x:c>
      <x:c r="C246" s="98" t="n">
        <x:v>7</x:v>
      </x:c>
      <x:c r="D246" s="98" t="n">
        <x:v>62</x:v>
      </x:c>
      <x:c r="E246" s="98" t="n">
        <x:v>60</x:v>
      </x:c>
      <x:c r="F246" s="99" t="str">
        <x:v>Circuits → Combinational Logic → Multiplexers</x:v>
      </x:c>
      <x:c r="G246" s="99" t="str">
        <x:v>2-to-1 bus multiplexer</x:v>
      </x:c>
      <x:c r="H246" s="99" t="str">
        <x:v>Timed re-solve; explain the hardware before writing code.</x:v>
      </x:c>
      <x:c r="I246" s="98" t="str">
        <x:v>Not Started</x:v>
      </x:c>
      <x:c r="J246" s="98"/>
      <x:c r="K246" s="98" t="str">
        <x:v>None</x:v>
      </x:c>
      <x:c r="L246" s="99"/>
      <x:c r="M246" s="99"/>
      <x:c r="N246" s="99"/>
    </x:row>
    <x:row r="247" ht="34.5" customHeight="1">
      <x:c r="A247" s="34" t="n">
        <x:v>46259</x:v>
      </x:c>
      <x:c r="B247" s="98" t="str">
        <x:v>Revision 2</x:v>
      </x:c>
      <x:c r="C247" s="98" t="n">
        <x:v>7</x:v>
      </x:c>
      <x:c r="D247" s="98" t="n">
        <x:v>63</x:v>
      </x:c>
      <x:c r="E247" s="98" t="n">
        <x:v>61</x:v>
      </x:c>
      <x:c r="F247" s="99" t="str">
        <x:v>Circuits → Combinational Logic → Multiplexers</x:v>
      </x:c>
      <x:c r="G247" s="99" t="str">
        <x:v>9-to-1 multiplexer</x:v>
      </x:c>
      <x:c r="H247" s="99" t="str">
        <x:v>Timed re-solve; explain the hardware before writing code.</x:v>
      </x:c>
      <x:c r="I247" s="98" t="str">
        <x:v>Not Started</x:v>
      </x:c>
      <x:c r="J247" s="98"/>
      <x:c r="K247" s="98" t="str">
        <x:v>None</x:v>
      </x:c>
      <x:c r="L247" s="99"/>
      <x:c r="M247" s="99"/>
      <x:c r="N247" s="99"/>
    </x:row>
    <x:row r="248" ht="34.5" customHeight="1">
      <x:c r="A248" s="34" t="n">
        <x:v>46259</x:v>
      </x:c>
      <x:c r="B248" s="98" t="str">
        <x:v>Revision 2</x:v>
      </x:c>
      <x:c r="C248" s="98" t="n">
        <x:v>7</x:v>
      </x:c>
      <x:c r="D248" s="98" t="n">
        <x:v>64</x:v>
      </x:c>
      <x:c r="E248" s="98" t="n">
        <x:v>62</x:v>
      </x:c>
      <x:c r="F248" s="99" t="str">
        <x:v>Circuits → Combinational Logic → Multiplexers</x:v>
      </x:c>
      <x:c r="G248" s="99" t="str">
        <x:v>256-to-1 multiplexer</x:v>
      </x:c>
      <x:c r="H248" s="99" t="str">
        <x:v>Timed re-solve; explain the hardware before writing code.</x:v>
      </x:c>
      <x:c r="I248" s="98" t="str">
        <x:v>Not Started</x:v>
      </x:c>
      <x:c r="J248" s="98"/>
      <x:c r="K248" s="98" t="str">
        <x:v>None</x:v>
      </x:c>
      <x:c r="L248" s="99"/>
      <x:c r="M248" s="99"/>
      <x:c r="N248" s="99"/>
    </x:row>
    <x:row r="249" ht="34.5" customHeight="1">
      <x:c r="A249" s="34" t="n">
        <x:v>46259</x:v>
      </x:c>
      <x:c r="B249" s="98" t="str">
        <x:v>Revision 2</x:v>
      </x:c>
      <x:c r="C249" s="98" t="n">
        <x:v>7</x:v>
      </x:c>
      <x:c r="D249" s="98" t="n">
        <x:v>65</x:v>
      </x:c>
      <x:c r="E249" s="98" t="n">
        <x:v>63</x:v>
      </x:c>
      <x:c r="F249" s="99" t="str">
        <x:v>Circuits → Combinational Logic → Multiplexers</x:v>
      </x:c>
      <x:c r="G249" s="99" t="str">
        <x:v>256-to-1 4-bit multiplexer</x:v>
      </x:c>
      <x:c r="H249" s="99" t="str">
        <x:v>Timed re-solve; explain the hardware before writing code.</x:v>
      </x:c>
      <x:c r="I249" s="98" t="str">
        <x:v>Not Started</x:v>
      </x:c>
      <x:c r="J249" s="98"/>
      <x:c r="K249" s="98" t="str">
        <x:v>None</x:v>
      </x:c>
      <x:c r="L249" s="99"/>
      <x:c r="M249" s="99"/>
      <x:c r="N249" s="99"/>
    </x:row>
    <x:row r="250" ht="34.5" customHeight="1">
      <x:c r="A250" s="34" t="n">
        <x:v>46259</x:v>
      </x:c>
      <x:c r="B250" s="98" t="str">
        <x:v>Revision 2</x:v>
      </x:c>
      <x:c r="C250" s="98" t="n">
        <x:v>7</x:v>
      </x:c>
      <x:c r="D250" s="98" t="n">
        <x:v>66</x:v>
      </x:c>
      <x:c r="E250" s="98" t="n">
        <x:v>64</x:v>
      </x:c>
      <x:c r="F250" s="99" t="str">
        <x:v>Circuits → Combinational Logic → Arithmetic Circuits</x:v>
      </x:c>
      <x:c r="G250" s="99" t="str">
        <x:v>Half adder</x:v>
      </x:c>
      <x:c r="H250" s="99" t="str">
        <x:v>Timed re-solve; explain the hardware before writing code.</x:v>
      </x:c>
      <x:c r="I250" s="98" t="str">
        <x:v>Not Started</x:v>
      </x:c>
      <x:c r="J250" s="98"/>
      <x:c r="K250" s="98" t="str">
        <x:v>None</x:v>
      </x:c>
      <x:c r="L250" s="99"/>
      <x:c r="M250" s="99"/>
      <x:c r="N250" s="99"/>
    </x:row>
    <x:row r="251" ht="34.5" customHeight="1">
      <x:c r="A251" s="34" t="n">
        <x:v>46259</x:v>
      </x:c>
      <x:c r="B251" s="98" t="str">
        <x:v>Revision 2</x:v>
      </x:c>
      <x:c r="C251" s="98" t="n">
        <x:v>7</x:v>
      </x:c>
      <x:c r="D251" s="98" t="n">
        <x:v>67</x:v>
      </x:c>
      <x:c r="E251" s="98" t="n">
        <x:v>65</x:v>
      </x:c>
      <x:c r="F251" s="99" t="str">
        <x:v>Circuits → Combinational Logic → Arithmetic Circuits</x:v>
      </x:c>
      <x:c r="G251" s="99" t="str">
        <x:v>Full adder</x:v>
      </x:c>
      <x:c r="H251" s="99" t="str">
        <x:v>Timed re-solve; explain the hardware before writing code.</x:v>
      </x:c>
      <x:c r="I251" s="98" t="str">
        <x:v>Not Started</x:v>
      </x:c>
      <x:c r="J251" s="98"/>
      <x:c r="K251" s="98" t="str">
        <x:v>None</x:v>
      </x:c>
      <x:c r="L251" s="99"/>
      <x:c r="M251" s="99"/>
      <x:c r="N251" s="99"/>
    </x:row>
    <x:row r="252" ht="34.5" customHeight="1">
      <x:c r="A252" s="34" t="n">
        <x:v>46259</x:v>
      </x:c>
      <x:c r="B252" s="98" t="str">
        <x:v>Revision 2</x:v>
      </x:c>
      <x:c r="C252" s="98" t="n">
        <x:v>7</x:v>
      </x:c>
      <x:c r="D252" s="98" t="n">
        <x:v>68</x:v>
      </x:c>
      <x:c r="E252" s="98" t="n">
        <x:v>66</x:v>
      </x:c>
      <x:c r="F252" s="99" t="str">
        <x:v>Circuits → Combinational Logic → Arithmetic Circuits</x:v>
      </x:c>
      <x:c r="G252" s="99" t="str">
        <x:v>3-bit binary adder</x:v>
      </x:c>
      <x:c r="H252" s="99" t="str">
        <x:v>Timed re-solve; explain the hardware before writing code.</x:v>
      </x:c>
      <x:c r="I252" s="98" t="str">
        <x:v>Not Started</x:v>
      </x:c>
      <x:c r="J252" s="98"/>
      <x:c r="K252" s="98" t="str">
        <x:v>None</x:v>
      </x:c>
      <x:c r="L252" s="99"/>
      <x:c r="M252" s="99"/>
      <x:c r="N252" s="99"/>
    </x:row>
    <x:row r="253" ht="34.5" customHeight="1">
      <x:c r="A253" s="34" t="n">
        <x:v>46259</x:v>
      </x:c>
      <x:c r="B253" s="98" t="str">
        <x:v>Revision 2</x:v>
      </x:c>
      <x:c r="C253" s="98" t="n">
        <x:v>7</x:v>
      </x:c>
      <x:c r="D253" s="98" t="n">
        <x:v>69</x:v>
      </x:c>
      <x:c r="E253" s="98" t="n">
        <x:v>67</x:v>
      </x:c>
      <x:c r="F253" s="99" t="str">
        <x:v>Circuits → Combinational Logic → Arithmetic Circuits</x:v>
      </x:c>
      <x:c r="G253" s="99" t="str">
        <x:v>Adder</x:v>
      </x:c>
      <x:c r="H253" s="99" t="str">
        <x:v>Timed re-solve; explain the hardware before writing code.</x:v>
      </x:c>
      <x:c r="I253" s="98" t="str">
        <x:v>Not Started</x:v>
      </x:c>
      <x:c r="J253" s="98"/>
      <x:c r="K253" s="98" t="str">
        <x:v>None</x:v>
      </x:c>
      <x:c r="L253" s="99"/>
      <x:c r="M253" s="99"/>
      <x:c r="N253" s="99"/>
    </x:row>
    <x:row r="254" ht="34.5" customHeight="1">
      <x:c r="A254" s="34" t="n">
        <x:v>46259</x:v>
      </x:c>
      <x:c r="B254" s="98" t="str">
        <x:v>Revision 2</x:v>
      </x:c>
      <x:c r="C254" s="98" t="n">
        <x:v>7</x:v>
      </x:c>
      <x:c r="D254" s="98" t="n">
        <x:v>70</x:v>
      </x:c>
      <x:c r="E254" s="98" t="n">
        <x:v>68</x:v>
      </x:c>
      <x:c r="F254" s="99" t="str">
        <x:v>Circuits → Combinational Logic → Arithmetic Circuits</x:v>
      </x:c>
      <x:c r="G254" s="99" t="str">
        <x:v>Signed addition overflow</x:v>
      </x:c>
      <x:c r="H254" s="99" t="str">
        <x:v>Timed re-solve; explain the hardware before writing code.</x:v>
      </x:c>
      <x:c r="I254" s="98" t="str">
        <x:v>Not Started</x:v>
      </x:c>
      <x:c r="J254" s="98"/>
      <x:c r="K254" s="98" t="str">
        <x:v>None</x:v>
      </x:c>
      <x:c r="L254" s="99"/>
      <x:c r="M254" s="99"/>
      <x:c r="N254" s="99"/>
    </x:row>
    <x:row r="255" ht="34.5" customHeight="1">
      <x:c r="A255" s="34" t="n">
        <x:v>46260</x:v>
      </x:c>
      <x:c r="B255" s="98" t="str">
        <x:v>Revision 2</x:v>
      </x:c>
      <x:c r="C255" s="98" t="n">
        <x:v>8</x:v>
      </x:c>
      <x:c r="D255" s="98" t="n">
        <x:v>71</x:v>
      </x:c>
      <x:c r="E255" s="98" t="n">
        <x:v>69</x:v>
      </x:c>
      <x:c r="F255" s="99" t="str">
        <x:v>Circuits → Combinational Logic → Arithmetic Circuits</x:v>
      </x:c>
      <x:c r="G255" s="99" t="str">
        <x:v>100-bit binary adder</x:v>
      </x:c>
      <x:c r="H255" s="99" t="str">
        <x:v>Timed re-solve; explain the hardware before writing code.</x:v>
      </x:c>
      <x:c r="I255" s="98" t="str">
        <x:v>Not Started</x:v>
      </x:c>
      <x:c r="J255" s="98"/>
      <x:c r="K255" s="98" t="str">
        <x:v>None</x:v>
      </x:c>
      <x:c r="L255" s="99"/>
      <x:c r="M255" s="99"/>
      <x:c r="N255" s="99"/>
    </x:row>
    <x:row r="256" ht="34.5" customHeight="1">
      <x:c r="A256" s="34" t="n">
        <x:v>46260</x:v>
      </x:c>
      <x:c r="B256" s="98" t="str">
        <x:v>Revision 2</x:v>
      </x:c>
      <x:c r="C256" s="98" t="n">
        <x:v>8</x:v>
      </x:c>
      <x:c r="D256" s="98" t="n">
        <x:v>72</x:v>
      </x:c>
      <x:c r="E256" s="98" t="n">
        <x:v>70</x:v>
      </x:c>
      <x:c r="F256" s="99" t="str">
        <x:v>Circuits → Combinational Logic → Arithmetic Circuits</x:v>
      </x:c>
      <x:c r="G256" s="99" t="str">
        <x:v>4-digit BCD adder</x:v>
      </x:c>
      <x:c r="H256" s="99" t="str">
        <x:v>Timed re-solve; explain the hardware before writing code.</x:v>
      </x:c>
      <x:c r="I256" s="98" t="str">
        <x:v>Not Started</x:v>
      </x:c>
      <x:c r="J256" s="98"/>
      <x:c r="K256" s="98" t="str">
        <x:v>None</x:v>
      </x:c>
      <x:c r="L256" s="99"/>
      <x:c r="M256" s="99"/>
      <x:c r="N256" s="99"/>
    </x:row>
    <x:row r="257" ht="34.5" customHeight="1">
      <x:c r="A257" s="34" t="n">
        <x:v>46260</x:v>
      </x:c>
      <x:c r="B257" s="98" t="str">
        <x:v>Revision 2</x:v>
      </x:c>
      <x:c r="C257" s="98" t="n">
        <x:v>8</x:v>
      </x:c>
      <x:c r="D257" s="98" t="n">
        <x:v>73</x:v>
      </x:c>
      <x:c r="E257" s="98" t="n">
        <x:v>71</x:v>
      </x:c>
      <x:c r="F257" s="99" t="str">
        <x:v>Circuits → Combinational Logic → Karnaugh Map to Circuit</x:v>
      </x:c>
      <x:c r="G257" s="99" t="str">
        <x:v>3-variable</x:v>
      </x:c>
      <x:c r="H257" s="99" t="str">
        <x:v>Timed re-solve; explain the hardware before writing code.</x:v>
      </x:c>
      <x:c r="I257" s="98" t="str">
        <x:v>Not Started</x:v>
      </x:c>
      <x:c r="J257" s="98"/>
      <x:c r="K257" s="98" t="str">
        <x:v>None</x:v>
      </x:c>
      <x:c r="L257" s="99"/>
      <x:c r="M257" s="99"/>
      <x:c r="N257" s="99"/>
    </x:row>
    <x:row r="258" ht="34.5" customHeight="1">
      <x:c r="A258" s="34" t="n">
        <x:v>46260</x:v>
      </x:c>
      <x:c r="B258" s="98" t="str">
        <x:v>Revision 2</x:v>
      </x:c>
      <x:c r="C258" s="98" t="n">
        <x:v>8</x:v>
      </x:c>
      <x:c r="D258" s="98" t="n">
        <x:v>74</x:v>
      </x:c>
      <x:c r="E258" s="98" t="n">
        <x:v>72</x:v>
      </x:c>
      <x:c r="F258" s="99" t="str">
        <x:v>Circuits → Combinational Logic → Karnaugh Map to Circuit</x:v>
      </x:c>
      <x:c r="G258" s="99" t="str">
        <x:v>4-variable</x:v>
      </x:c>
      <x:c r="H258" s="99" t="str">
        <x:v>Timed re-solve; explain the hardware before writing code.</x:v>
      </x:c>
      <x:c r="I258" s="98" t="str">
        <x:v>Not Started</x:v>
      </x:c>
      <x:c r="J258" s="98"/>
      <x:c r="K258" s="98" t="str">
        <x:v>None</x:v>
      </x:c>
      <x:c r="L258" s="99"/>
      <x:c r="M258" s="99"/>
      <x:c r="N258" s="99"/>
    </x:row>
    <x:row r="259" ht="34.5" customHeight="1">
      <x:c r="A259" s="34" t="n">
        <x:v>46260</x:v>
      </x:c>
      <x:c r="B259" s="98" t="str">
        <x:v>Revision 2</x:v>
      </x:c>
      <x:c r="C259" s="98" t="n">
        <x:v>8</x:v>
      </x:c>
      <x:c r="D259" s="98" t="n">
        <x:v>75</x:v>
      </x:c>
      <x:c r="E259" s="98" t="n">
        <x:v>73</x:v>
      </x:c>
      <x:c r="F259" s="99" t="str">
        <x:v>Circuits → Combinational Logic → Karnaugh Map to Circuit</x:v>
      </x:c>
      <x:c r="G259" s="99" t="str">
        <x:v>4-variable</x:v>
      </x:c>
      <x:c r="H259" s="99" t="str">
        <x:v>Timed re-solve; explain the hardware before writing code.</x:v>
      </x:c>
      <x:c r="I259" s="98" t="str">
        <x:v>Not Started</x:v>
      </x:c>
      <x:c r="J259" s="98"/>
      <x:c r="K259" s="98" t="str">
        <x:v>None</x:v>
      </x:c>
      <x:c r="L259" s="99"/>
      <x:c r="M259" s="99"/>
      <x:c r="N259" s="99"/>
    </x:row>
    <x:row r="260" ht="34.5" customHeight="1">
      <x:c r="A260" s="34" t="n">
        <x:v>46260</x:v>
      </x:c>
      <x:c r="B260" s="98" t="str">
        <x:v>Revision 2</x:v>
      </x:c>
      <x:c r="C260" s="98" t="n">
        <x:v>8</x:v>
      </x:c>
      <x:c r="D260" s="98" t="n">
        <x:v>76</x:v>
      </x:c>
      <x:c r="E260" s="98" t="n">
        <x:v>74</x:v>
      </x:c>
      <x:c r="F260" s="99" t="str">
        <x:v>Circuits → Combinational Logic → Karnaugh Map to Circuit</x:v>
      </x:c>
      <x:c r="G260" s="99" t="str">
        <x:v>4-variable</x:v>
      </x:c>
      <x:c r="H260" s="99" t="str">
        <x:v>Timed re-solve; explain the hardware before writing code.</x:v>
      </x:c>
      <x:c r="I260" s="98" t="str">
        <x:v>Not Started</x:v>
      </x:c>
      <x:c r="J260" s="98"/>
      <x:c r="K260" s="98" t="str">
        <x:v>None</x:v>
      </x:c>
      <x:c r="L260" s="99"/>
      <x:c r="M260" s="99"/>
      <x:c r="N260" s="99"/>
    </x:row>
    <x:row r="261" ht="34.5" customHeight="1">
      <x:c r="A261" s="34" t="n">
        <x:v>46260</x:v>
      </x:c>
      <x:c r="B261" s="98" t="str">
        <x:v>Revision 2</x:v>
      </x:c>
      <x:c r="C261" s="98" t="n">
        <x:v>8</x:v>
      </x:c>
      <x:c r="D261" s="98" t="n">
        <x:v>77</x:v>
      </x:c>
      <x:c r="E261" s="98" t="n">
        <x:v>75</x:v>
      </x:c>
      <x:c r="F261" s="99" t="str">
        <x:v>Circuits → Combinational Logic → Karnaugh Map to Circuit</x:v>
      </x:c>
      <x:c r="G261" s="99" t="str">
        <x:v>Minimum SOP and POS</x:v>
      </x:c>
      <x:c r="H261" s="99" t="str">
        <x:v>Timed re-solve; explain the hardware before writing code.</x:v>
      </x:c>
      <x:c r="I261" s="98" t="str">
        <x:v>Not Started</x:v>
      </x:c>
      <x:c r="J261" s="98"/>
      <x:c r="K261" s="98" t="str">
        <x:v>None</x:v>
      </x:c>
      <x:c r="L261" s="99"/>
      <x:c r="M261" s="99"/>
      <x:c r="N261" s="99"/>
    </x:row>
    <x:row r="262" ht="34.5" customHeight="1">
      <x:c r="A262" s="34" t="n">
        <x:v>46260</x:v>
      </x:c>
      <x:c r="B262" s="98" t="str">
        <x:v>Revision 2</x:v>
      </x:c>
      <x:c r="C262" s="98" t="n">
        <x:v>8</x:v>
      </x:c>
      <x:c r="D262" s="98" t="n">
        <x:v>78</x:v>
      </x:c>
      <x:c r="E262" s="98" t="n">
        <x:v>76</x:v>
      </x:c>
      <x:c r="F262" s="99" t="str">
        <x:v>Circuits → Combinational Logic → Karnaugh Map to Circuit</x:v>
      </x:c>
      <x:c r="G262" s="99" t="str">
        <x:v>Karnaugh map</x:v>
      </x:c>
      <x:c r="H262" s="99" t="str">
        <x:v>Timed re-solve; explain the hardware before writing code.</x:v>
      </x:c>
      <x:c r="I262" s="98" t="str">
        <x:v>Not Started</x:v>
      </x:c>
      <x:c r="J262" s="98"/>
      <x:c r="K262" s="98" t="str">
        <x:v>None</x:v>
      </x:c>
      <x:c r="L262" s="99"/>
      <x:c r="M262" s="99"/>
      <x:c r="N262" s="99"/>
    </x:row>
    <x:row r="263" ht="34.5" customHeight="1">
      <x:c r="A263" s="34" t="n">
        <x:v>46260</x:v>
      </x:c>
      <x:c r="B263" s="98" t="str">
        <x:v>Revision 2</x:v>
      </x:c>
      <x:c r="C263" s="98" t="n">
        <x:v>8</x:v>
      </x:c>
      <x:c r="D263" s="98" t="n">
        <x:v>79</x:v>
      </x:c>
      <x:c r="E263" s="98" t="n">
        <x:v>77</x:v>
      </x:c>
      <x:c r="F263" s="99" t="str">
        <x:v>Circuits → Combinational Logic → Karnaugh Map to Circuit</x:v>
      </x:c>
      <x:c r="G263" s="99" t="str">
        <x:v>Karnaugh map</x:v>
      </x:c>
      <x:c r="H263" s="99" t="str">
        <x:v>Timed re-solve; explain the hardware before writing code.</x:v>
      </x:c>
      <x:c r="I263" s="98" t="str">
        <x:v>Not Started</x:v>
      </x:c>
      <x:c r="J263" s="98"/>
      <x:c r="K263" s="98" t="str">
        <x:v>None</x:v>
      </x:c>
      <x:c r="L263" s="99"/>
      <x:c r="M263" s="99"/>
      <x:c r="N263" s="99"/>
    </x:row>
    <x:row r="264" ht="34.5" customHeight="1">
      <x:c r="A264" s="34" t="n">
        <x:v>46260</x:v>
      </x:c>
      <x:c r="B264" s="98" t="str">
        <x:v>Revision 2</x:v>
      </x:c>
      <x:c r="C264" s="98" t="n">
        <x:v>8</x:v>
      </x:c>
      <x:c r="D264" s="98" t="n">
        <x:v>80</x:v>
      </x:c>
      <x:c r="E264" s="98" t="n">
        <x:v>78</x:v>
      </x:c>
      <x:c r="F264" s="99" t="str">
        <x:v>Circuits → Combinational Logic → Karnaugh Map to Circuit</x:v>
      </x:c>
      <x:c r="G264" s="99" t="str">
        <x:v>K-map implemented with a multiplexer</x:v>
      </x:c>
      <x:c r="H264" s="99" t="str">
        <x:v>Timed re-solve; explain the hardware before writing code.</x:v>
      </x:c>
      <x:c r="I264" s="98" t="str">
        <x:v>Not Started</x:v>
      </x:c>
      <x:c r="J264" s="98"/>
      <x:c r="K264" s="98" t="str">
        <x:v>None</x:v>
      </x:c>
      <x:c r="L264" s="99"/>
      <x:c r="M264" s="99"/>
      <x:c r="N264" s="99"/>
    </x:row>
    <x:row r="265" ht="34.5" customHeight="1">
      <x:c r="A265" s="34" t="n">
        <x:v>46261</x:v>
      </x:c>
      <x:c r="B265" s="98" t="str">
        <x:v>Revision 2</x:v>
      </x:c>
      <x:c r="C265" s="98" t="n">
        <x:v>9</x:v>
      </x:c>
      <x:c r="D265" s="98" t="n">
        <x:v>81</x:v>
      </x:c>
      <x:c r="E265" s="98" t="n">
        <x:v>79</x:v>
      </x:c>
      <x:c r="F265" s="99" t="str">
        <x:v>Circuits → Sequential Logic → Latches and Flip-Flops</x:v>
      </x:c>
      <x:c r="G265" s="99" t="str">
        <x:v>D flip-flop</x:v>
      </x:c>
      <x:c r="H265" s="99" t="str">
        <x:v>Timed re-solve; explain the hardware before writing code.</x:v>
      </x:c>
      <x:c r="I265" s="98" t="str">
        <x:v>Not Started</x:v>
      </x:c>
      <x:c r="J265" s="98"/>
      <x:c r="K265" s="98" t="str">
        <x:v>None</x:v>
      </x:c>
      <x:c r="L265" s="99"/>
      <x:c r="M265" s="99"/>
      <x:c r="N265" s="99"/>
    </x:row>
    <x:row r="266" ht="34.5" customHeight="1">
      <x:c r="A266" s="34" t="n">
        <x:v>46261</x:v>
      </x:c>
      <x:c r="B266" s="98" t="str">
        <x:v>Revision 2</x:v>
      </x:c>
      <x:c r="C266" s="98" t="n">
        <x:v>9</x:v>
      </x:c>
      <x:c r="D266" s="98" t="n">
        <x:v>82</x:v>
      </x:c>
      <x:c r="E266" s="98" t="n">
        <x:v>80</x:v>
      </x:c>
      <x:c r="F266" s="99" t="str">
        <x:v>Circuits → Sequential Logic → Latches and Flip-Flops</x:v>
      </x:c>
      <x:c r="G266" s="99" t="str">
        <x:v>D flip-flops</x:v>
      </x:c>
      <x:c r="H266" s="99" t="str">
        <x:v>Timed re-solve; explain the hardware before writing code.</x:v>
      </x:c>
      <x:c r="I266" s="98" t="str">
        <x:v>Not Started</x:v>
      </x:c>
      <x:c r="J266" s="98"/>
      <x:c r="K266" s="98" t="str">
        <x:v>None</x:v>
      </x:c>
      <x:c r="L266" s="99"/>
      <x:c r="M266" s="99"/>
      <x:c r="N266" s="99"/>
    </x:row>
    <x:row r="267" ht="34.5" customHeight="1">
      <x:c r="A267" s="34" t="n">
        <x:v>46261</x:v>
      </x:c>
      <x:c r="B267" s="98" t="str">
        <x:v>Revision 2</x:v>
      </x:c>
      <x:c r="C267" s="98" t="n">
        <x:v>9</x:v>
      </x:c>
      <x:c r="D267" s="98" t="n">
        <x:v>83</x:v>
      </x:c>
      <x:c r="E267" s="98" t="n">
        <x:v>81</x:v>
      </x:c>
      <x:c r="F267" s="99" t="str">
        <x:v>Circuits → Sequential Logic → Latches and Flip-Flops</x:v>
      </x:c>
      <x:c r="G267" s="99" t="str">
        <x:v>DFF with reset</x:v>
      </x:c>
      <x:c r="H267" s="99" t="str">
        <x:v>Timed re-solve; explain the hardware before writing code.</x:v>
      </x:c>
      <x:c r="I267" s="98" t="str">
        <x:v>Not Started</x:v>
      </x:c>
      <x:c r="J267" s="98"/>
      <x:c r="K267" s="98" t="str">
        <x:v>None</x:v>
      </x:c>
      <x:c r="L267" s="99"/>
      <x:c r="M267" s="99"/>
      <x:c r="N267" s="99"/>
    </x:row>
    <x:row r="268" ht="34.5" customHeight="1">
      <x:c r="A268" s="34" t="n">
        <x:v>46261</x:v>
      </x:c>
      <x:c r="B268" s="98" t="str">
        <x:v>Revision 2</x:v>
      </x:c>
      <x:c r="C268" s="98" t="n">
        <x:v>9</x:v>
      </x:c>
      <x:c r="D268" s="98" t="n">
        <x:v>84</x:v>
      </x:c>
      <x:c r="E268" s="98" t="n">
        <x:v>82</x:v>
      </x:c>
      <x:c r="F268" s="99" t="str">
        <x:v>Circuits → Sequential Logic → Latches and Flip-Flops</x:v>
      </x:c>
      <x:c r="G268" s="99" t="str">
        <x:v>DFF with reset value</x:v>
      </x:c>
      <x:c r="H268" s="99" t="str">
        <x:v>Timed re-solve; explain the hardware before writing code.</x:v>
      </x:c>
      <x:c r="I268" s="98" t="str">
        <x:v>Not Started</x:v>
      </x:c>
      <x:c r="J268" s="98"/>
      <x:c r="K268" s="98" t="str">
        <x:v>None</x:v>
      </x:c>
      <x:c r="L268" s="99"/>
      <x:c r="M268" s="99"/>
      <x:c r="N268" s="99"/>
    </x:row>
    <x:row r="269" ht="34.5" customHeight="1">
      <x:c r="A269" s="34" t="n">
        <x:v>46261</x:v>
      </x:c>
      <x:c r="B269" s="98" t="str">
        <x:v>Revision 2</x:v>
      </x:c>
      <x:c r="C269" s="98" t="n">
        <x:v>9</x:v>
      </x:c>
      <x:c r="D269" s="98" t="n">
        <x:v>85</x:v>
      </x:c>
      <x:c r="E269" s="98" t="n">
        <x:v>83</x:v>
      </x:c>
      <x:c r="F269" s="99" t="str">
        <x:v>Circuits → Sequential Logic → Latches and Flip-Flops</x:v>
      </x:c>
      <x:c r="G269" s="99" t="str">
        <x:v>DFF with asynchronous reset</x:v>
      </x:c>
      <x:c r="H269" s="99" t="str">
        <x:v>Timed re-solve; explain the hardware before writing code.</x:v>
      </x:c>
      <x:c r="I269" s="98" t="str">
        <x:v>Not Started</x:v>
      </x:c>
      <x:c r="J269" s="98"/>
      <x:c r="K269" s="98" t="str">
        <x:v>None</x:v>
      </x:c>
      <x:c r="L269" s="99"/>
      <x:c r="M269" s="99"/>
      <x:c r="N269" s="99"/>
    </x:row>
    <x:row r="270" ht="34.5" customHeight="1">
      <x:c r="A270" s="34" t="n">
        <x:v>46261</x:v>
      </x:c>
      <x:c r="B270" s="98" t="str">
        <x:v>Revision 2</x:v>
      </x:c>
      <x:c r="C270" s="98" t="n">
        <x:v>9</x:v>
      </x:c>
      <x:c r="D270" s="98" t="n">
        <x:v>86</x:v>
      </x:c>
      <x:c r="E270" s="98" t="n">
        <x:v>84</x:v>
      </x:c>
      <x:c r="F270" s="99" t="str">
        <x:v>Circuits → Sequential Logic → Latches and Flip-Flops</x:v>
      </x:c>
      <x:c r="G270" s="99" t="str">
        <x:v>DFF with byte enable</x:v>
      </x:c>
      <x:c r="H270" s="99" t="str">
        <x:v>Timed re-solve; explain the hardware before writing code.</x:v>
      </x:c>
      <x:c r="I270" s="98" t="str">
        <x:v>Not Started</x:v>
      </x:c>
      <x:c r="J270" s="98"/>
      <x:c r="K270" s="98" t="str">
        <x:v>None</x:v>
      </x:c>
      <x:c r="L270" s="99"/>
      <x:c r="M270" s="99"/>
      <x:c r="N270" s="99"/>
    </x:row>
    <x:row r="271" ht="34.5" customHeight="1">
      <x:c r="A271" s="34" t="n">
        <x:v>46261</x:v>
      </x:c>
      <x:c r="B271" s="98" t="str">
        <x:v>Revision 2</x:v>
      </x:c>
      <x:c r="C271" s="98" t="n">
        <x:v>9</x:v>
      </x:c>
      <x:c r="D271" s="98" t="n">
        <x:v>87</x:v>
      </x:c>
      <x:c r="E271" s="98" t="n">
        <x:v>85</x:v>
      </x:c>
      <x:c r="F271" s="99" t="str">
        <x:v>Circuits → Sequential Logic → Latches and Flip-Flops</x:v>
      </x:c>
      <x:c r="G271" s="99" t="str">
        <x:v>D Latch</x:v>
      </x:c>
      <x:c r="H271" s="99" t="str">
        <x:v>Timed re-solve; explain the hardware before writing code.</x:v>
      </x:c>
      <x:c r="I271" s="98" t="str">
        <x:v>Not Started</x:v>
      </x:c>
      <x:c r="J271" s="98"/>
      <x:c r="K271" s="98" t="str">
        <x:v>None</x:v>
      </x:c>
      <x:c r="L271" s="99"/>
      <x:c r="M271" s="99"/>
      <x:c r="N271" s="99"/>
    </x:row>
    <x:row r="272" ht="34.5" customHeight="1">
      <x:c r="A272" s="34" t="n">
        <x:v>46261</x:v>
      </x:c>
      <x:c r="B272" s="98" t="str">
        <x:v>Revision 2</x:v>
      </x:c>
      <x:c r="C272" s="98" t="n">
        <x:v>9</x:v>
      </x:c>
      <x:c r="D272" s="98" t="n">
        <x:v>88</x:v>
      </x:c>
      <x:c r="E272" s="98" t="n">
        <x:v>86</x:v>
      </x:c>
      <x:c r="F272" s="99" t="str">
        <x:v>Circuits → Sequential Logic → Latches and Flip-Flops</x:v>
      </x:c>
      <x:c r="G272" s="99" t="str">
        <x:v>DFF</x:v>
      </x:c>
      <x:c r="H272" s="99" t="str">
        <x:v>Timed re-solve; explain the hardware before writing code.</x:v>
      </x:c>
      <x:c r="I272" s="98" t="str">
        <x:v>Not Started</x:v>
      </x:c>
      <x:c r="J272" s="98"/>
      <x:c r="K272" s="98" t="str">
        <x:v>None</x:v>
      </x:c>
      <x:c r="L272" s="99"/>
      <x:c r="M272" s="99"/>
      <x:c r="N272" s="99"/>
    </x:row>
    <x:row r="273" ht="34.5" customHeight="1">
      <x:c r="A273" s="34" t="n">
        <x:v>46261</x:v>
      </x:c>
      <x:c r="B273" s="98" t="str">
        <x:v>Revision 2</x:v>
      </x:c>
      <x:c r="C273" s="98" t="n">
        <x:v>9</x:v>
      </x:c>
      <x:c r="D273" s="98" t="n">
        <x:v>89</x:v>
      </x:c>
      <x:c r="E273" s="98" t="n">
        <x:v>87</x:v>
      </x:c>
      <x:c r="F273" s="99" t="str">
        <x:v>Circuits → Sequential Logic → Latches and Flip-Flops</x:v>
      </x:c>
      <x:c r="G273" s="99" t="str">
        <x:v>DFF</x:v>
      </x:c>
      <x:c r="H273" s="99" t="str">
        <x:v>Timed re-solve; explain the hardware before writing code.</x:v>
      </x:c>
      <x:c r="I273" s="98" t="str">
        <x:v>Not Started</x:v>
      </x:c>
      <x:c r="J273" s="98"/>
      <x:c r="K273" s="98" t="str">
        <x:v>None</x:v>
      </x:c>
      <x:c r="L273" s="99"/>
      <x:c r="M273" s="99"/>
      <x:c r="N273" s="99"/>
    </x:row>
    <x:row r="274" ht="34.5" customHeight="1">
      <x:c r="A274" s="34" t="n">
        <x:v>46261</x:v>
      </x:c>
      <x:c r="B274" s="98" t="str">
        <x:v>Revision 2</x:v>
      </x:c>
      <x:c r="C274" s="98" t="n">
        <x:v>9</x:v>
      </x:c>
      <x:c r="D274" s="98" t="n">
        <x:v>90</x:v>
      </x:c>
      <x:c r="E274" s="98" t="n">
        <x:v>88</x:v>
      </x:c>
      <x:c r="F274" s="99" t="str">
        <x:v>Circuits → Sequential Logic → Latches and Flip-Flops</x:v>
      </x:c>
      <x:c r="G274" s="99" t="str">
        <x:v>DFF+gate</x:v>
      </x:c>
      <x:c r="H274" s="99" t="str">
        <x:v>Timed re-solve; explain the hardware before writing code.</x:v>
      </x:c>
      <x:c r="I274" s="98" t="str">
        <x:v>Not Started</x:v>
      </x:c>
      <x:c r="J274" s="98"/>
      <x:c r="K274" s="98" t="str">
        <x:v>None</x:v>
      </x:c>
      <x:c r="L274" s="99"/>
      <x:c r="M274" s="99"/>
      <x:c r="N274" s="99"/>
    </x:row>
    <x:row r="275" ht="34.5" customHeight="1">
      <x:c r="A275" s="34" t="n">
        <x:v>46262</x:v>
      </x:c>
      <x:c r="B275" s="98" t="str">
        <x:v>Revision 2</x:v>
      </x:c>
      <x:c r="C275" s="98" t="n">
        <x:v>10</x:v>
      </x:c>
      <x:c r="D275" s="98" t="n">
        <x:v>91</x:v>
      </x:c>
      <x:c r="E275" s="98" t="n">
        <x:v>89</x:v>
      </x:c>
      <x:c r="F275" s="99" t="str">
        <x:v>Circuits → Sequential Logic → Latches and Flip-Flops</x:v>
      </x:c>
      <x:c r="G275" s="99" t="str">
        <x:v>Mux and DFF</x:v>
      </x:c>
      <x:c r="H275" s="99" t="str">
        <x:v>Timed re-solve; explain the hardware before writing code.</x:v>
      </x:c>
      <x:c r="I275" s="98" t="str">
        <x:v>Not Started</x:v>
      </x:c>
      <x:c r="J275" s="98"/>
      <x:c r="K275" s="98" t="str">
        <x:v>None</x:v>
      </x:c>
      <x:c r="L275" s="99"/>
      <x:c r="M275" s="99"/>
      <x:c r="N275" s="99"/>
    </x:row>
    <x:row r="276" ht="34.5" customHeight="1">
      <x:c r="A276" s="34" t="n">
        <x:v>46262</x:v>
      </x:c>
      <x:c r="B276" s="98" t="str">
        <x:v>Revision 2</x:v>
      </x:c>
      <x:c r="C276" s="98" t="n">
        <x:v>10</x:v>
      </x:c>
      <x:c r="D276" s="98" t="n">
        <x:v>92</x:v>
      </x:c>
      <x:c r="E276" s="98" t="n">
        <x:v>90</x:v>
      </x:c>
      <x:c r="F276" s="99" t="str">
        <x:v>Circuits → Sequential Logic → Latches and Flip-Flops</x:v>
      </x:c>
      <x:c r="G276" s="99" t="str">
        <x:v>Mux and DFF</x:v>
      </x:c>
      <x:c r="H276" s="99" t="str">
        <x:v>Timed re-solve; explain the hardware before writing code.</x:v>
      </x:c>
      <x:c r="I276" s="98" t="str">
        <x:v>Not Started</x:v>
      </x:c>
      <x:c r="J276" s="98"/>
      <x:c r="K276" s="98" t="str">
        <x:v>None</x:v>
      </x:c>
      <x:c r="L276" s="99"/>
      <x:c r="M276" s="99"/>
      <x:c r="N276" s="99"/>
    </x:row>
    <x:row r="277" ht="34.5" customHeight="1">
      <x:c r="A277" s="34" t="n">
        <x:v>46262</x:v>
      </x:c>
      <x:c r="B277" s="98" t="str">
        <x:v>Revision 2</x:v>
      </x:c>
      <x:c r="C277" s="98" t="n">
        <x:v>10</x:v>
      </x:c>
      <x:c r="D277" s="98" t="n">
        <x:v>93</x:v>
      </x:c>
      <x:c r="E277" s="98" t="n">
        <x:v>91</x:v>
      </x:c>
      <x:c r="F277" s="99" t="str">
        <x:v>Circuits → Sequential Logic → Latches and Flip-Flops</x:v>
      </x:c>
      <x:c r="G277" s="99" t="str">
        <x:v>DFFs and gates</x:v>
      </x:c>
      <x:c r="H277" s="99" t="str">
        <x:v>Timed re-solve; explain the hardware before writing code.</x:v>
      </x:c>
      <x:c r="I277" s="98" t="str">
        <x:v>Not Started</x:v>
      </x:c>
      <x:c r="J277" s="98"/>
      <x:c r="K277" s="98" t="str">
        <x:v>None</x:v>
      </x:c>
      <x:c r="L277" s="99"/>
      <x:c r="M277" s="99"/>
      <x:c r="N277" s="99"/>
    </x:row>
    <x:row r="278" ht="34.5" customHeight="1">
      <x:c r="A278" s="34" t="n">
        <x:v>46262</x:v>
      </x:c>
      <x:c r="B278" s="98" t="str">
        <x:v>Revision 2</x:v>
      </x:c>
      <x:c r="C278" s="98" t="n">
        <x:v>10</x:v>
      </x:c>
      <x:c r="D278" s="98" t="n">
        <x:v>94</x:v>
      </x:c>
      <x:c r="E278" s="98" t="n">
        <x:v>92</x:v>
      </x:c>
      <x:c r="F278" s="99" t="str">
        <x:v>Circuits → Sequential Logic → Latches and Flip-Flops</x:v>
      </x:c>
      <x:c r="G278" s="99" t="str">
        <x:v>Create circuit from truth table</x:v>
      </x:c>
      <x:c r="H278" s="99" t="str">
        <x:v>Timed re-solve; explain the hardware before writing code.</x:v>
      </x:c>
      <x:c r="I278" s="98" t="str">
        <x:v>Not Started</x:v>
      </x:c>
      <x:c r="J278" s="98"/>
      <x:c r="K278" s="98" t="str">
        <x:v>None</x:v>
      </x:c>
      <x:c r="L278" s="99"/>
      <x:c r="M278" s="99"/>
      <x:c r="N278" s="99"/>
    </x:row>
    <x:row r="279" ht="34.5" customHeight="1">
      <x:c r="A279" s="34" t="n">
        <x:v>46262</x:v>
      </x:c>
      <x:c r="B279" s="98" t="str">
        <x:v>Revision 2</x:v>
      </x:c>
      <x:c r="C279" s="98" t="n">
        <x:v>10</x:v>
      </x:c>
      <x:c r="D279" s="98" t="n">
        <x:v>95</x:v>
      </x:c>
      <x:c r="E279" s="98" t="n">
        <x:v>93</x:v>
      </x:c>
      <x:c r="F279" s="99" t="str">
        <x:v>Circuits → Sequential Logic → Latches and Flip-Flops</x:v>
      </x:c>
      <x:c r="G279" s="99" t="str">
        <x:v>Detect an edge</x:v>
      </x:c>
      <x:c r="H279" s="99" t="str">
        <x:v>Timed re-solve; explain the hardware before writing code.</x:v>
      </x:c>
      <x:c r="I279" s="98" t="str">
        <x:v>Not Started</x:v>
      </x:c>
      <x:c r="J279" s="98"/>
      <x:c r="K279" s="98" t="str">
        <x:v>None</x:v>
      </x:c>
      <x:c r="L279" s="99"/>
      <x:c r="M279" s="99"/>
      <x:c r="N279" s="99"/>
    </x:row>
    <x:row r="280" ht="34.5" customHeight="1">
      <x:c r="A280" s="34" t="n">
        <x:v>46262</x:v>
      </x:c>
      <x:c r="B280" s="98" t="str">
        <x:v>Revision 2</x:v>
      </x:c>
      <x:c r="C280" s="98" t="n">
        <x:v>10</x:v>
      </x:c>
      <x:c r="D280" s="98" t="n">
        <x:v>96</x:v>
      </x:c>
      <x:c r="E280" s="98" t="n">
        <x:v>94</x:v>
      </x:c>
      <x:c r="F280" s="99" t="str">
        <x:v>Circuits → Sequential Logic → Latches and Flip-Flops</x:v>
      </x:c>
      <x:c r="G280" s="99" t="str">
        <x:v>Detect both edges</x:v>
      </x:c>
      <x:c r="H280" s="99" t="str">
        <x:v>Timed re-solve; explain the hardware before writing code.</x:v>
      </x:c>
      <x:c r="I280" s="98" t="str">
        <x:v>Not Started</x:v>
      </x:c>
      <x:c r="J280" s="98"/>
      <x:c r="K280" s="98" t="str">
        <x:v>None</x:v>
      </x:c>
      <x:c r="L280" s="99"/>
      <x:c r="M280" s="99"/>
      <x:c r="N280" s="99"/>
    </x:row>
    <x:row r="281" ht="34.5" customHeight="1">
      <x:c r="A281" s="34" t="n">
        <x:v>46262</x:v>
      </x:c>
      <x:c r="B281" s="98" t="str">
        <x:v>Revision 2</x:v>
      </x:c>
      <x:c r="C281" s="98" t="n">
        <x:v>10</x:v>
      </x:c>
      <x:c r="D281" s="98" t="n">
        <x:v>97</x:v>
      </x:c>
      <x:c r="E281" s="98" t="n">
        <x:v>95</x:v>
      </x:c>
      <x:c r="F281" s="99" t="str">
        <x:v>Circuits → Sequential Logic → Latches and Flip-Flops</x:v>
      </x:c>
      <x:c r="G281" s="99" t="str">
        <x:v>Edge capture register</x:v>
      </x:c>
      <x:c r="H281" s="99" t="str">
        <x:v>Timed re-solve; explain the hardware before writing code.</x:v>
      </x:c>
      <x:c r="I281" s="98" t="str">
        <x:v>Not Started</x:v>
      </x:c>
      <x:c r="J281" s="98"/>
      <x:c r="K281" s="98" t="str">
        <x:v>None</x:v>
      </x:c>
      <x:c r="L281" s="99"/>
      <x:c r="M281" s="99"/>
      <x:c r="N281" s="99"/>
    </x:row>
    <x:row r="282" ht="34.5" customHeight="1">
      <x:c r="A282" s="34" t="n">
        <x:v>46262</x:v>
      </x:c>
      <x:c r="B282" s="98" t="str">
        <x:v>Revision 2</x:v>
      </x:c>
      <x:c r="C282" s="98" t="n">
        <x:v>10</x:v>
      </x:c>
      <x:c r="D282" s="98" t="n">
        <x:v>98</x:v>
      </x:c>
      <x:c r="E282" s="98" t="n">
        <x:v>96</x:v>
      </x:c>
      <x:c r="F282" s="99" t="str">
        <x:v>Circuits → Sequential Logic → Latches and Flip-Flops</x:v>
      </x:c>
      <x:c r="G282" s="99" t="str">
        <x:v>Dual-edge triggered flip-flop</x:v>
      </x:c>
      <x:c r="H282" s="99" t="str">
        <x:v>Timed re-solve; explain the hardware before writing code.</x:v>
      </x:c>
      <x:c r="I282" s="98" t="str">
        <x:v>Not Started</x:v>
      </x:c>
      <x:c r="J282" s="98"/>
      <x:c r="K282" s="98" t="str">
        <x:v>None</x:v>
      </x:c>
      <x:c r="L282" s="99"/>
      <x:c r="M282" s="99"/>
      <x:c r="N282" s="99"/>
    </x:row>
    <x:row r="283" ht="34.5" customHeight="1">
      <x:c r="A283" s="34" t="n">
        <x:v>46262</x:v>
      </x:c>
      <x:c r="B283" s="98" t="str">
        <x:v>Revision 2</x:v>
      </x:c>
      <x:c r="C283" s="98" t="n">
        <x:v>10</x:v>
      </x:c>
      <x:c r="D283" s="98" t="n">
        <x:v>99</x:v>
      </x:c>
      <x:c r="E283" s="98" t="n">
        <x:v>97</x:v>
      </x:c>
      <x:c r="F283" s="99" t="str">
        <x:v>Circuits → Sequential Logic → Counters</x:v>
      </x:c>
      <x:c r="G283" s="99" t="str">
        <x:v>Four-bit binary counter</x:v>
      </x:c>
      <x:c r="H283" s="99" t="str">
        <x:v>Timed re-solve; explain the hardware before writing code.</x:v>
      </x:c>
      <x:c r="I283" s="98" t="str">
        <x:v>Not Started</x:v>
      </x:c>
      <x:c r="J283" s="98"/>
      <x:c r="K283" s="98" t="str">
        <x:v>None</x:v>
      </x:c>
      <x:c r="L283" s="99"/>
      <x:c r="M283" s="99"/>
      <x:c r="N283" s="99"/>
    </x:row>
    <x:row r="284" ht="34.5" customHeight="1">
      <x:c r="A284" s="34" t="n">
        <x:v>46262</x:v>
      </x:c>
      <x:c r="B284" s="98" t="str">
        <x:v>Revision 2</x:v>
      </x:c>
      <x:c r="C284" s="98" t="n">
        <x:v>10</x:v>
      </x:c>
      <x:c r="D284" s="98" t="n">
        <x:v>100</x:v>
      </x:c>
      <x:c r="E284" s="98" t="n">
        <x:v>98</x:v>
      </x:c>
      <x:c r="F284" s="99" t="str">
        <x:v>Circuits → Sequential Logic → Counters</x:v>
      </x:c>
      <x:c r="G284" s="99" t="str">
        <x:v>Decade counter</x:v>
      </x:c>
      <x:c r="H284" s="99" t="str">
        <x:v>Timed re-solve; explain the hardware before writing code.</x:v>
      </x:c>
      <x:c r="I284" s="98" t="str">
        <x:v>Not Started</x:v>
      </x:c>
      <x:c r="J284" s="98"/>
      <x:c r="K284" s="98" t="str">
        <x:v>None</x:v>
      </x:c>
      <x:c r="L284" s="99"/>
      <x:c r="M284" s="99"/>
      <x:c r="N284" s="99"/>
    </x:row>
    <x:row r="285" ht="34.5" customHeight="1">
      <x:c r="A285" s="34" t="n">
        <x:v>46263</x:v>
      </x:c>
      <x:c r="B285" s="98" t="str">
        <x:v>Revision 2</x:v>
      </x:c>
      <x:c r="C285" s="98" t="n">
        <x:v>11</x:v>
      </x:c>
      <x:c r="D285" s="98" t="n">
        <x:v>101</x:v>
      </x:c>
      <x:c r="E285" s="98" t="n">
        <x:v>99</x:v>
      </x:c>
      <x:c r="F285" s="99" t="str">
        <x:v>Circuits → Sequential Logic → Counters</x:v>
      </x:c>
      <x:c r="G285" s="99" t="str">
        <x:v>Decade counter again</x:v>
      </x:c>
      <x:c r="H285" s="99" t="str">
        <x:v>Timed re-solve; explain the hardware before writing code.</x:v>
      </x:c>
      <x:c r="I285" s="98" t="str">
        <x:v>Not Started</x:v>
      </x:c>
      <x:c r="J285" s="98"/>
      <x:c r="K285" s="98" t="str">
        <x:v>None</x:v>
      </x:c>
      <x:c r="L285" s="99"/>
      <x:c r="M285" s="99"/>
      <x:c r="N285" s="99"/>
    </x:row>
    <x:row r="286" ht="34.5" customHeight="1">
      <x:c r="A286" s="34" t="n">
        <x:v>46263</x:v>
      </x:c>
      <x:c r="B286" s="98" t="str">
        <x:v>Revision 2</x:v>
      </x:c>
      <x:c r="C286" s="98" t="n">
        <x:v>11</x:v>
      </x:c>
      <x:c r="D286" s="98" t="n">
        <x:v>102</x:v>
      </x:c>
      <x:c r="E286" s="98" t="n">
        <x:v>100</x:v>
      </x:c>
      <x:c r="F286" s="99" t="str">
        <x:v>Circuits → Sequential Logic → Counters</x:v>
      </x:c>
      <x:c r="G286" s="99" t="str">
        <x:v>Slow decade counter</x:v>
      </x:c>
      <x:c r="H286" s="99" t="str">
        <x:v>Timed re-solve; explain the hardware before writing code.</x:v>
      </x:c>
      <x:c r="I286" s="98" t="str">
        <x:v>Not Started</x:v>
      </x:c>
      <x:c r="J286" s="98"/>
      <x:c r="K286" s="98" t="str">
        <x:v>None</x:v>
      </x:c>
      <x:c r="L286" s="99"/>
      <x:c r="M286" s="99"/>
      <x:c r="N286" s="99"/>
    </x:row>
    <x:row r="287" ht="34.5" customHeight="1">
      <x:c r="A287" s="34" t="n">
        <x:v>46263</x:v>
      </x:c>
      <x:c r="B287" s="98" t="str">
        <x:v>Revision 2</x:v>
      </x:c>
      <x:c r="C287" s="98" t="n">
        <x:v>11</x:v>
      </x:c>
      <x:c r="D287" s="98" t="n">
        <x:v>103</x:v>
      </x:c>
      <x:c r="E287" s="98" t="n">
        <x:v>143</x:v>
      </x:c>
      <x:c r="F287" s="99" t="str">
        <x:v>Circuits → Sequential Logic → Counters</x:v>
      </x:c>
      <x:c r="G287" s="99" t="str">
        <x:v>Counter 1-12</x:v>
      </x:c>
      <x:c r="H287" s="99" t="str">
        <x:v>Timed re-solve; explain the hardware before writing code.</x:v>
      </x:c>
      <x:c r="I287" s="98" t="str">
        <x:v>Not Started</x:v>
      </x:c>
      <x:c r="J287" s="98"/>
      <x:c r="K287" s="98" t="str">
        <x:v>None</x:v>
      </x:c>
      <x:c r="L287" s="99"/>
      <x:c r="M287" s="99"/>
      <x:c r="N287" s="99"/>
    </x:row>
    <x:row r="288" ht="34.5" customHeight="1">
      <x:c r="A288" s="34" t="n">
        <x:v>46263</x:v>
      </x:c>
      <x:c r="B288" s="98" t="str">
        <x:v>Revision 2</x:v>
      </x:c>
      <x:c r="C288" s="98" t="n">
        <x:v>11</x:v>
      </x:c>
      <x:c r="D288" s="98" t="n">
        <x:v>104</x:v>
      </x:c>
      <x:c r="E288" s="98" t="n">
        <x:v>144</x:v>
      </x:c>
      <x:c r="F288" s="99" t="str">
        <x:v>Circuits → Sequential Logic → Counters</x:v>
      </x:c>
      <x:c r="G288" s="99" t="str">
        <x:v>Counter 1000</x:v>
      </x:c>
      <x:c r="H288" s="99" t="str">
        <x:v>Timed re-solve; explain the hardware before writing code.</x:v>
      </x:c>
      <x:c r="I288" s="98" t="str">
        <x:v>Not Started</x:v>
      </x:c>
      <x:c r="J288" s="98"/>
      <x:c r="K288" s="98" t="str">
        <x:v>None</x:v>
      </x:c>
      <x:c r="L288" s="99"/>
      <x:c r="M288" s="99"/>
      <x:c r="N288" s="99"/>
    </x:row>
    <x:row r="289" ht="34.5" customHeight="1">
      <x:c r="A289" s="34" t="n">
        <x:v>46263</x:v>
      </x:c>
      <x:c r="B289" s="98" t="str">
        <x:v>Revision 2</x:v>
      </x:c>
      <x:c r="C289" s="98" t="n">
        <x:v>11</x:v>
      </x:c>
      <x:c r="D289" s="98" t="n">
        <x:v>105</x:v>
      </x:c>
      <x:c r="E289" s="98" t="n">
        <x:v>145</x:v>
      </x:c>
      <x:c r="F289" s="99" t="str">
        <x:v>Circuits → Sequential Logic → Counters</x:v>
      </x:c>
      <x:c r="G289" s="99" t="str">
        <x:v>4-digit decimal counter</x:v>
      </x:c>
      <x:c r="H289" s="99" t="str">
        <x:v>Timed re-solve; explain the hardware before writing code.</x:v>
      </x:c>
      <x:c r="I289" s="98" t="str">
        <x:v>Not Started</x:v>
      </x:c>
      <x:c r="J289" s="98"/>
      <x:c r="K289" s="98" t="str">
        <x:v>None</x:v>
      </x:c>
      <x:c r="L289" s="99"/>
      <x:c r="M289" s="99"/>
      <x:c r="N289" s="99"/>
    </x:row>
    <x:row r="290" ht="34.5" customHeight="1">
      <x:c r="A290" s="34" t="n">
        <x:v>46263</x:v>
      </x:c>
      <x:c r="B290" s="98" t="str">
        <x:v>Revision 2</x:v>
      </x:c>
      <x:c r="C290" s="98" t="n">
        <x:v>11</x:v>
      </x:c>
      <x:c r="D290" s="98" t="n">
        <x:v>106</x:v>
      </x:c>
      <x:c r="E290" s="98" t="n">
        <x:v>146</x:v>
      </x:c>
      <x:c r="F290" s="99" t="str">
        <x:v>Circuits → Sequential Logic → Counters</x:v>
      </x:c>
      <x:c r="G290" s="99" t="str">
        <x:v>12-hour clock</x:v>
      </x:c>
      <x:c r="H290" s="99" t="str">
        <x:v>Timed re-solve; explain the hardware before writing code.</x:v>
      </x:c>
      <x:c r="I290" s="98" t="str">
        <x:v>Not Started</x:v>
      </x:c>
      <x:c r="J290" s="98"/>
      <x:c r="K290" s="98" t="str">
        <x:v>None</x:v>
      </x:c>
      <x:c r="L290" s="99"/>
      <x:c r="M290" s="99"/>
      <x:c r="N290" s="99"/>
    </x:row>
    <x:row r="291" ht="34.5" customHeight="1">
      <x:c r="A291" s="34" t="n">
        <x:v>46263</x:v>
      </x:c>
      <x:c r="B291" s="98" t="str">
        <x:v>Revision 2</x:v>
      </x:c>
      <x:c r="C291" s="98" t="n">
        <x:v>11</x:v>
      </x:c>
      <x:c r="D291" s="98" t="n">
        <x:v>107</x:v>
      </x:c>
      <x:c r="E291" s="98" t="n">
        <x:v>101</x:v>
      </x:c>
      <x:c r="F291" s="99" t="str">
        <x:v>Circuits → Sequential Logic → Shift Registers</x:v>
      </x:c>
      <x:c r="G291" s="99" t="str">
        <x:v>4-bit shift register</x:v>
      </x:c>
      <x:c r="H291" s="99" t="str">
        <x:v>Timed re-solve; explain the hardware before writing code.</x:v>
      </x:c>
      <x:c r="I291" s="98" t="str">
        <x:v>Not Started</x:v>
      </x:c>
      <x:c r="J291" s="98"/>
      <x:c r="K291" s="98" t="str">
        <x:v>None</x:v>
      </x:c>
      <x:c r="L291" s="99"/>
      <x:c r="M291" s="99"/>
      <x:c r="N291" s="99"/>
    </x:row>
    <x:row r="292" ht="34.5" customHeight="1">
      <x:c r="A292" s="34" t="n">
        <x:v>46263</x:v>
      </x:c>
      <x:c r="B292" s="98" t="str">
        <x:v>Revision 2</x:v>
      </x:c>
      <x:c r="C292" s="98" t="n">
        <x:v>11</x:v>
      </x:c>
      <x:c r="D292" s="98" t="n">
        <x:v>108</x:v>
      </x:c>
      <x:c r="E292" s="98" t="n">
        <x:v>102</x:v>
      </x:c>
      <x:c r="F292" s="99" t="str">
        <x:v>Circuits → Sequential Logic → Shift Registers</x:v>
      </x:c>
      <x:c r="G292" s="99" t="str">
        <x:v>Left/right rotator</x:v>
      </x:c>
      <x:c r="H292" s="99" t="str">
        <x:v>Timed re-solve; explain the hardware before writing code.</x:v>
      </x:c>
      <x:c r="I292" s="98" t="str">
        <x:v>Not Started</x:v>
      </x:c>
      <x:c r="J292" s="98"/>
      <x:c r="K292" s="98" t="str">
        <x:v>None</x:v>
      </x:c>
      <x:c r="L292" s="99"/>
      <x:c r="M292" s="99"/>
      <x:c r="N292" s="99"/>
    </x:row>
    <x:row r="293" ht="34.5" customHeight="1">
      <x:c r="A293" s="34" t="n">
        <x:v>46263</x:v>
      </x:c>
      <x:c r="B293" s="98" t="str">
        <x:v>Revision 2</x:v>
      </x:c>
      <x:c r="C293" s="98" t="n">
        <x:v>11</x:v>
      </x:c>
      <x:c r="D293" s="98" t="n">
        <x:v>109</x:v>
      </x:c>
      <x:c r="E293" s="98" t="n">
        <x:v>103</x:v>
      </x:c>
      <x:c r="F293" s="99" t="str">
        <x:v>Circuits → Sequential Logic → Shift Registers</x:v>
      </x:c>
      <x:c r="G293" s="99" t="str">
        <x:v>Left/right arithmetic shift by 1 or 8</x:v>
      </x:c>
      <x:c r="H293" s="99" t="str">
        <x:v>Timed re-solve; explain the hardware before writing code.</x:v>
      </x:c>
      <x:c r="I293" s="98" t="str">
        <x:v>Not Started</x:v>
      </x:c>
      <x:c r="J293" s="98"/>
      <x:c r="K293" s="98" t="str">
        <x:v>None</x:v>
      </x:c>
      <x:c r="L293" s="99"/>
      <x:c r="M293" s="99"/>
      <x:c r="N293" s="99"/>
    </x:row>
    <x:row r="294" ht="34.5" customHeight="1">
      <x:c r="A294" s="34" t="n">
        <x:v>46263</x:v>
      </x:c>
      <x:c r="B294" s="98" t="str">
        <x:v>Revision 2</x:v>
      </x:c>
      <x:c r="C294" s="98" t="n">
        <x:v>11</x:v>
      </x:c>
      <x:c r="D294" s="98" t="n">
        <x:v>110</x:v>
      </x:c>
      <x:c r="E294" s="98" t="n">
        <x:v>104</x:v>
      </x:c>
      <x:c r="F294" s="99" t="str">
        <x:v>Circuits → Sequential Logic → Shift Registers</x:v>
      </x:c>
      <x:c r="G294" s="99" t="str">
        <x:v>5-bit LFSR</x:v>
      </x:c>
      <x:c r="H294" s="99" t="str">
        <x:v>Timed re-solve; explain the hardware before writing code.</x:v>
      </x:c>
      <x:c r="I294" s="98" t="str">
        <x:v>Not Started</x:v>
      </x:c>
      <x:c r="J294" s="98"/>
      <x:c r="K294" s="98" t="str">
        <x:v>None</x:v>
      </x:c>
      <x:c r="L294" s="99"/>
      <x:c r="M294" s="99"/>
      <x:c r="N294" s="99"/>
    </x:row>
    <x:row r="295" ht="34.5" customHeight="1">
      <x:c r="A295" s="34" t="n">
        <x:v>46264</x:v>
      </x:c>
      <x:c r="B295" s="98" t="str">
        <x:v>Revision 2</x:v>
      </x:c>
      <x:c r="C295" s="98" t="n">
        <x:v>12</x:v>
      </x:c>
      <x:c r="D295" s="98" t="n">
        <x:v>111</x:v>
      </x:c>
      <x:c r="E295" s="98" t="n">
        <x:v>105</x:v>
      </x:c>
      <x:c r="F295" s="99" t="str">
        <x:v>Circuits → Sequential Logic → Shift Registers</x:v>
      </x:c>
      <x:c r="G295" s="99" t="str">
        <x:v>3-bit LFSR</x:v>
      </x:c>
      <x:c r="H295" s="99" t="str">
        <x:v>Timed re-solve; explain the hardware before writing code.</x:v>
      </x:c>
      <x:c r="I295" s="98" t="str">
        <x:v>Not Started</x:v>
      </x:c>
      <x:c r="J295" s="98"/>
      <x:c r="K295" s="98" t="str">
        <x:v>None</x:v>
      </x:c>
      <x:c r="L295" s="99"/>
      <x:c r="M295" s="99"/>
      <x:c r="N295" s="99"/>
    </x:row>
    <x:row r="296" ht="34.5" customHeight="1">
      <x:c r="A296" s="34" t="n">
        <x:v>46264</x:v>
      </x:c>
      <x:c r="B296" s="98" t="str">
        <x:v>Revision 2</x:v>
      </x:c>
      <x:c r="C296" s="98" t="n">
        <x:v>12</x:v>
      </x:c>
      <x:c r="D296" s="98" t="n">
        <x:v>112</x:v>
      </x:c>
      <x:c r="E296" s="98" t="n">
        <x:v>106</x:v>
      </x:c>
      <x:c r="F296" s="99" t="str">
        <x:v>Circuits → Sequential Logic → Shift Registers</x:v>
      </x:c>
      <x:c r="G296" s="99" t="str">
        <x:v>32-bit LFSR</x:v>
      </x:c>
      <x:c r="H296" s="99" t="str">
        <x:v>Timed re-solve; explain the hardware before writing code.</x:v>
      </x:c>
      <x:c r="I296" s="98" t="str">
        <x:v>Not Started</x:v>
      </x:c>
      <x:c r="J296" s="98"/>
      <x:c r="K296" s="98" t="str">
        <x:v>None</x:v>
      </x:c>
      <x:c r="L296" s="99"/>
      <x:c r="M296" s="99"/>
      <x:c r="N296" s="99"/>
    </x:row>
    <x:row r="297" ht="34.5" customHeight="1">
      <x:c r="A297" s="34" t="n">
        <x:v>46264</x:v>
      </x:c>
      <x:c r="B297" s="98" t="str">
        <x:v>Revision 2</x:v>
      </x:c>
      <x:c r="C297" s="98" t="n">
        <x:v>12</x:v>
      </x:c>
      <x:c r="D297" s="98" t="n">
        <x:v>113</x:v>
      </x:c>
      <x:c r="E297" s="98" t="n">
        <x:v>107</x:v>
      </x:c>
      <x:c r="F297" s="99" t="str">
        <x:v>Circuits → Sequential Logic → Shift Registers</x:v>
      </x:c>
      <x:c r="G297" s="99" t="str">
        <x:v>Shift register</x:v>
      </x:c>
      <x:c r="H297" s="99" t="str">
        <x:v>Timed re-solve; explain the hardware before writing code.</x:v>
      </x:c>
      <x:c r="I297" s="98" t="str">
        <x:v>Not Started</x:v>
      </x:c>
      <x:c r="J297" s="98"/>
      <x:c r="K297" s="98" t="str">
        <x:v>None</x:v>
      </x:c>
      <x:c r="L297" s="99"/>
      <x:c r="M297" s="99"/>
      <x:c r="N297" s="99"/>
    </x:row>
    <x:row r="298" ht="34.5" customHeight="1">
      <x:c r="A298" s="34" t="n">
        <x:v>46264</x:v>
      </x:c>
      <x:c r="B298" s="98" t="str">
        <x:v>Revision 2</x:v>
      </x:c>
      <x:c r="C298" s="98" t="n">
        <x:v>12</x:v>
      </x:c>
      <x:c r="D298" s="98" t="n">
        <x:v>114</x:v>
      </x:c>
      <x:c r="E298" s="98" t="n">
        <x:v>108</x:v>
      </x:c>
      <x:c r="F298" s="99" t="str">
        <x:v>Circuits → Sequential Logic → Shift Registers</x:v>
      </x:c>
      <x:c r="G298" s="99" t="str">
        <x:v>Shift register</x:v>
      </x:c>
      <x:c r="H298" s="99" t="str">
        <x:v>Timed re-solve; explain the hardware before writing code.</x:v>
      </x:c>
      <x:c r="I298" s="98" t="str">
        <x:v>Not Started</x:v>
      </x:c>
      <x:c r="J298" s="98"/>
      <x:c r="K298" s="98" t="str">
        <x:v>None</x:v>
      </x:c>
      <x:c r="L298" s="99"/>
      <x:c r="M298" s="99"/>
      <x:c r="N298" s="99"/>
    </x:row>
    <x:row r="299" ht="34.5" customHeight="1">
      <x:c r="A299" s="34" t="n">
        <x:v>46264</x:v>
      </x:c>
      <x:c r="B299" s="98" t="str">
        <x:v>Revision 2</x:v>
      </x:c>
      <x:c r="C299" s="98" t="n">
        <x:v>12</x:v>
      </x:c>
      <x:c r="D299" s="98" t="n">
        <x:v>115</x:v>
      </x:c>
      <x:c r="E299" s="98" t="n">
        <x:v>109</x:v>
      </x:c>
      <x:c r="F299" s="99" t="str">
        <x:v>Circuits → Sequential Logic → Shift Registers</x:v>
      </x:c>
      <x:c r="G299" s="99" t="str">
        <x:v>3-input LUT</x:v>
      </x:c>
      <x:c r="H299" s="99" t="str">
        <x:v>Timed re-solve; explain the hardware before writing code.</x:v>
      </x:c>
      <x:c r="I299" s="98" t="str">
        <x:v>Not Started</x:v>
      </x:c>
      <x:c r="J299" s="98"/>
      <x:c r="K299" s="98" t="str">
        <x:v>None</x:v>
      </x:c>
      <x:c r="L299" s="99"/>
      <x:c r="M299" s="99"/>
      <x:c r="N299" s="99"/>
    </x:row>
    <x:row r="300" ht="34.5" customHeight="1">
      <x:c r="A300" s="34" t="n">
        <x:v>46264</x:v>
      </x:c>
      <x:c r="B300" s="98" t="str">
        <x:v>Revision 2</x:v>
      </x:c>
      <x:c r="C300" s="98" t="n">
        <x:v>12</x:v>
      </x:c>
      <x:c r="D300" s="98" t="n">
        <x:v>116</x:v>
      </x:c>
      <x:c r="E300" s="98" t="n">
        <x:v>175</x:v>
      </x:c>
      <x:c r="F300" s="99" t="str">
        <x:v>Circuits → Sequential Logic → More Circuits</x:v>
      </x:c>
      <x:c r="G300" s="99" t="str">
        <x:v>Rule 90</x:v>
      </x:c>
      <x:c r="H300" s="99" t="str">
        <x:v>Timed re-solve; explain the hardware before writing code.</x:v>
      </x:c>
      <x:c r="I300" s="98" t="str">
        <x:v>Not Started</x:v>
      </x:c>
      <x:c r="J300" s="98"/>
      <x:c r="K300" s="98" t="str">
        <x:v>None</x:v>
      </x:c>
      <x:c r="L300" s="99"/>
      <x:c r="M300" s="99"/>
      <x:c r="N300" s="99"/>
    </x:row>
    <x:row r="301" ht="34.5" customHeight="1">
      <x:c r="A301" s="34" t="n">
        <x:v>46264</x:v>
      </x:c>
      <x:c r="B301" s="98" t="str">
        <x:v>Revision 2</x:v>
      </x:c>
      <x:c r="C301" s="98" t="n">
        <x:v>12</x:v>
      </x:c>
      <x:c r="D301" s="98" t="n">
        <x:v>117</x:v>
      </x:c>
      <x:c r="E301" s="98" t="n">
        <x:v>176</x:v>
      </x:c>
      <x:c r="F301" s="99" t="str">
        <x:v>Circuits → Sequential Logic → More Circuits</x:v>
      </x:c>
      <x:c r="G301" s="99" t="str">
        <x:v>Rule 110</x:v>
      </x:c>
      <x:c r="H301" s="99" t="str">
        <x:v>Timed re-solve; explain the hardware before writing code.</x:v>
      </x:c>
      <x:c r="I301" s="98" t="str">
        <x:v>Not Started</x:v>
      </x:c>
      <x:c r="J301" s="98"/>
      <x:c r="K301" s="98" t="str">
        <x:v>None</x:v>
      </x:c>
      <x:c r="L301" s="99"/>
      <x:c r="M301" s="99"/>
      <x:c r="N301" s="99"/>
    </x:row>
    <x:row r="302" ht="34.5" customHeight="1">
      <x:c r="A302" s="34" t="n">
        <x:v>46264</x:v>
      </x:c>
      <x:c r="B302" s="98" t="str">
        <x:v>Revision 2</x:v>
      </x:c>
      <x:c r="C302" s="98" t="n">
        <x:v>12</x:v>
      </x:c>
      <x:c r="D302" s="98" t="n">
        <x:v>118</x:v>
      </x:c>
      <x:c r="E302" s="98" t="n">
        <x:v>179</x:v>
      </x:c>
      <x:c r="F302" s="99" t="str">
        <x:v>Circuits → Sequential Logic → More Circuits</x:v>
      </x:c>
      <x:c r="G302" s="99" t="str">
        <x:v>Conway's Game of Life 16x16</x:v>
      </x:c>
      <x:c r="H302" s="99" t="str">
        <x:v>Timed re-solve; explain the hardware before writing code.</x:v>
      </x:c>
      <x:c r="I302" s="98" t="str">
        <x:v>Not Started</x:v>
      </x:c>
      <x:c r="J302" s="98"/>
      <x:c r="K302" s="98" t="str">
        <x:v>None</x:v>
      </x:c>
      <x:c r="L302" s="99"/>
      <x:c r="M302" s="99"/>
      <x:c r="N302" s="99"/>
    </x:row>
    <x:row r="303" ht="34.5" customHeight="1">
      <x:c r="A303" s="34" t="n">
        <x:v>46264</x:v>
      </x:c>
      <x:c r="B303" s="98" t="str">
        <x:v>Revision 2</x:v>
      </x:c>
      <x:c r="C303" s="98" t="n">
        <x:v>12</x:v>
      </x:c>
      <x:c r="D303" s="98" t="n">
        <x:v>119</x:v>
      </x:c>
      <x:c r="E303" s="98" t="n">
        <x:v>110</x:v>
      </x:c>
      <x:c r="F303" s="99" t="str">
        <x:v>Circuits → Sequential Logic → Finite State Machines</x:v>
      </x:c>
      <x:c r="G303" s="99" t="str">
        <x:v>Simple FSM 1 (asynchronous reset)</x:v>
      </x:c>
      <x:c r="H303" s="99" t="str">
        <x:v>Timed re-solve; explain the hardware before writing code.</x:v>
      </x:c>
      <x:c r="I303" s="98" t="str">
        <x:v>Not Started</x:v>
      </x:c>
      <x:c r="J303" s="98"/>
      <x:c r="K303" s="98" t="str">
        <x:v>None</x:v>
      </x:c>
      <x:c r="L303" s="99"/>
      <x:c r="M303" s="99"/>
      <x:c r="N303" s="99"/>
    </x:row>
    <x:row r="304" ht="34.5" customHeight="1">
      <x:c r="A304" s="34" t="n">
        <x:v>46264</x:v>
      </x:c>
      <x:c r="B304" s="98" t="str">
        <x:v>Revision 2</x:v>
      </x:c>
      <x:c r="C304" s="98" t="n">
        <x:v>12</x:v>
      </x:c>
      <x:c r="D304" s="98" t="n">
        <x:v>120</x:v>
      </x:c>
      <x:c r="E304" s="98" t="n">
        <x:v>111</x:v>
      </x:c>
      <x:c r="F304" s="99" t="str">
        <x:v>Circuits → Sequential Logic → Finite State Machines</x:v>
      </x:c>
      <x:c r="G304" s="99" t="str">
        <x:v>Simple FSM 1 (synchronous reset)</x:v>
      </x:c>
      <x:c r="H304" s="99" t="str">
        <x:v>Timed re-solve; explain the hardware before writing code.</x:v>
      </x:c>
      <x:c r="I304" s="98" t="str">
        <x:v>Not Started</x:v>
      </x:c>
      <x:c r="J304" s="98"/>
      <x:c r="K304" s="98" t="str">
        <x:v>None</x:v>
      </x:c>
      <x:c r="L304" s="99"/>
      <x:c r="M304" s="99"/>
      <x:c r="N304" s="99"/>
    </x:row>
    <x:row r="305" ht="34.5" customHeight="1">
      <x:c r="A305" s="34" t="n">
        <x:v>46265</x:v>
      </x:c>
      <x:c r="B305" s="98" t="str">
        <x:v>Revision 2</x:v>
      </x:c>
      <x:c r="C305" s="98" t="n">
        <x:v>13</x:v>
      </x:c>
      <x:c r="D305" s="98" t="n">
        <x:v>121</x:v>
      </x:c>
      <x:c r="E305" s="98" t="n">
        <x:v>112</x:v>
      </x:c>
      <x:c r="F305" s="99" t="str">
        <x:v>Circuits → Sequential Logic → Finite State Machines</x:v>
      </x:c>
      <x:c r="G305" s="99" t="str">
        <x:v>Simple FSM 2 (asynchronous reset)</x:v>
      </x:c>
      <x:c r="H305" s="99" t="str">
        <x:v>Timed re-solve; explain the hardware before writing code.</x:v>
      </x:c>
      <x:c r="I305" s="98" t="str">
        <x:v>Not Started</x:v>
      </x:c>
      <x:c r="J305" s="98"/>
      <x:c r="K305" s="98" t="str">
        <x:v>None</x:v>
      </x:c>
      <x:c r="L305" s="99"/>
      <x:c r="M305" s="99"/>
      <x:c r="N305" s="99"/>
    </x:row>
    <x:row r="306" ht="34.5" customHeight="1">
      <x:c r="A306" s="34" t="n">
        <x:v>46265</x:v>
      </x:c>
      <x:c r="B306" s="98" t="str">
        <x:v>Revision 2</x:v>
      </x:c>
      <x:c r="C306" s="98" t="n">
        <x:v>13</x:v>
      </x:c>
      <x:c r="D306" s="98" t="n">
        <x:v>122</x:v>
      </x:c>
      <x:c r="E306" s="98" t="n">
        <x:v>113</x:v>
      </x:c>
      <x:c r="F306" s="99" t="str">
        <x:v>Circuits → Sequential Logic → Finite State Machines</x:v>
      </x:c>
      <x:c r="G306" s="99" t="str">
        <x:v>Simple FSM 2 (synchronous reset)</x:v>
      </x:c>
      <x:c r="H306" s="99" t="str">
        <x:v>Timed re-solve; explain the hardware before writing code.</x:v>
      </x:c>
      <x:c r="I306" s="98" t="str">
        <x:v>Not Started</x:v>
      </x:c>
      <x:c r="J306" s="98"/>
      <x:c r="K306" s="98" t="str">
        <x:v>None</x:v>
      </x:c>
      <x:c r="L306" s="99"/>
      <x:c r="M306" s="99"/>
      <x:c r="N306" s="99"/>
    </x:row>
    <x:row r="307" ht="34.5" customHeight="1">
      <x:c r="A307" s="34" t="n">
        <x:v>46265</x:v>
      </x:c>
      <x:c r="B307" s="98" t="str">
        <x:v>Revision 2</x:v>
      </x:c>
      <x:c r="C307" s="98" t="n">
        <x:v>13</x:v>
      </x:c>
      <x:c r="D307" s="98" t="n">
        <x:v>123</x:v>
      </x:c>
      <x:c r="E307" s="98" t="n">
        <x:v>114</x:v>
      </x:c>
      <x:c r="F307" s="99" t="str">
        <x:v>Circuits → Sequential Logic → Finite State Machines</x:v>
      </x:c>
      <x:c r="G307" s="99" t="str">
        <x:v>Simple state transitions 3</x:v>
      </x:c>
      <x:c r="H307" s="99" t="str">
        <x:v>Timed re-solve; explain the hardware before writing code.</x:v>
      </x:c>
      <x:c r="I307" s="98" t="str">
        <x:v>Not Started</x:v>
      </x:c>
      <x:c r="J307" s="98"/>
      <x:c r="K307" s="98" t="str">
        <x:v>None</x:v>
      </x:c>
      <x:c r="L307" s="99"/>
      <x:c r="M307" s="99"/>
      <x:c r="N307" s="99"/>
    </x:row>
    <x:row r="308" ht="34.5" customHeight="1">
      <x:c r="A308" s="34" t="n">
        <x:v>46265</x:v>
      </x:c>
      <x:c r="B308" s="98" t="str">
        <x:v>Revision 2</x:v>
      </x:c>
      <x:c r="C308" s="98" t="n">
        <x:v>13</x:v>
      </x:c>
      <x:c r="D308" s="98" t="n">
        <x:v>124</x:v>
      </x:c>
      <x:c r="E308" s="98" t="n">
        <x:v>115</x:v>
      </x:c>
      <x:c r="F308" s="99" t="str">
        <x:v>Circuits → Sequential Logic → Finite State Machines</x:v>
      </x:c>
      <x:c r="G308" s="99" t="str">
        <x:v>Simple one-hot state transitions 3</x:v>
      </x:c>
      <x:c r="H308" s="99" t="str">
        <x:v>Timed re-solve; explain the hardware before writing code.</x:v>
      </x:c>
      <x:c r="I308" s="98" t="str">
        <x:v>Not Started</x:v>
      </x:c>
      <x:c r="J308" s="98"/>
      <x:c r="K308" s="98" t="str">
        <x:v>None</x:v>
      </x:c>
      <x:c r="L308" s="99"/>
      <x:c r="M308" s="99"/>
      <x:c r="N308" s="99"/>
    </x:row>
    <x:row r="309" ht="34.5" customHeight="1">
      <x:c r="A309" s="34" t="n">
        <x:v>46265</x:v>
      </x:c>
      <x:c r="B309" s="98" t="str">
        <x:v>Revision 2</x:v>
      </x:c>
      <x:c r="C309" s="98" t="n">
        <x:v>13</x:v>
      </x:c>
      <x:c r="D309" s="98" t="n">
        <x:v>125</x:v>
      </x:c>
      <x:c r="E309" s="98" t="n">
        <x:v>116</x:v>
      </x:c>
      <x:c r="F309" s="99" t="str">
        <x:v>Circuits → Sequential Logic → Finite State Machines</x:v>
      </x:c>
      <x:c r="G309" s="99" t="str">
        <x:v>Simple FSM 3 (asynchronous reset)</x:v>
      </x:c>
      <x:c r="H309" s="99" t="str">
        <x:v>Timed re-solve; explain the hardware before writing code.</x:v>
      </x:c>
      <x:c r="I309" s="98" t="str">
        <x:v>Not Started</x:v>
      </x:c>
      <x:c r="J309" s="98"/>
      <x:c r="K309" s="98" t="str">
        <x:v>None</x:v>
      </x:c>
      <x:c r="L309" s="99"/>
      <x:c r="M309" s="99"/>
      <x:c r="N309" s="99"/>
    </x:row>
    <x:row r="310" ht="34.5" customHeight="1">
      <x:c r="A310" s="34" t="n">
        <x:v>46265</x:v>
      </x:c>
      <x:c r="B310" s="98" t="str">
        <x:v>Revision 2</x:v>
      </x:c>
      <x:c r="C310" s="98" t="n">
        <x:v>13</x:v>
      </x:c>
      <x:c r="D310" s="98" t="n">
        <x:v>126</x:v>
      </x:c>
      <x:c r="E310" s="98" t="n">
        <x:v>117</x:v>
      </x:c>
      <x:c r="F310" s="99" t="str">
        <x:v>Circuits → Sequential Logic → Finite State Machines</x:v>
      </x:c>
      <x:c r="G310" s="99" t="str">
        <x:v>Simple FSM 3 (synchronous reset)</x:v>
      </x:c>
      <x:c r="H310" s="99" t="str">
        <x:v>Timed re-solve; explain the hardware before writing code.</x:v>
      </x:c>
      <x:c r="I310" s="98" t="str">
        <x:v>Not Started</x:v>
      </x:c>
      <x:c r="J310" s="98"/>
      <x:c r="K310" s="98" t="str">
        <x:v>None</x:v>
      </x:c>
      <x:c r="L310" s="99"/>
      <x:c r="M310" s="99"/>
      <x:c r="N310" s="99"/>
    </x:row>
    <x:row r="311" ht="34.5" customHeight="1">
      <x:c r="A311" s="34" t="n">
        <x:v>46265</x:v>
      </x:c>
      <x:c r="B311" s="98" t="str">
        <x:v>Revision 2</x:v>
      </x:c>
      <x:c r="C311" s="98" t="n">
        <x:v>13</x:v>
      </x:c>
      <x:c r="D311" s="98" t="n">
        <x:v>127</x:v>
      </x:c>
      <x:c r="E311" s="98" t="n">
        <x:v>118</x:v>
      </x:c>
      <x:c r="F311" s="99" t="str">
        <x:v>Circuits → Sequential Logic → Finite State Machines</x:v>
      </x:c>
      <x:c r="G311" s="99" t="str">
        <x:v>Design a Moore FSM</x:v>
      </x:c>
      <x:c r="H311" s="99" t="str">
        <x:v>Timed re-solve; explain the hardware before writing code.</x:v>
      </x:c>
      <x:c r="I311" s="98" t="str">
        <x:v>Not Started</x:v>
      </x:c>
      <x:c r="J311" s="98"/>
      <x:c r="K311" s="98" t="str">
        <x:v>None</x:v>
      </x:c>
      <x:c r="L311" s="99"/>
      <x:c r="M311" s="99"/>
      <x:c r="N311" s="99"/>
    </x:row>
    <x:row r="312" ht="34.5" customHeight="1">
      <x:c r="A312" s="34" t="n">
        <x:v>46265</x:v>
      </x:c>
      <x:c r="B312" s="98" t="str">
        <x:v>Revision 2</x:v>
      </x:c>
      <x:c r="C312" s="98" t="n">
        <x:v>13</x:v>
      </x:c>
      <x:c r="D312" s="98" t="n">
        <x:v>128</x:v>
      </x:c>
      <x:c r="E312" s="98" t="n">
        <x:v>119</x:v>
      </x:c>
      <x:c r="F312" s="99" t="str">
        <x:v>Circuits → Sequential Logic → Finite State Machines</x:v>
      </x:c>
      <x:c r="G312" s="99" t="str">
        <x:v>Lemmings 1</x:v>
      </x:c>
      <x:c r="H312" s="99" t="str">
        <x:v>Timed re-solve; explain the hardware before writing code.</x:v>
      </x:c>
      <x:c r="I312" s="98" t="str">
        <x:v>Not Started</x:v>
      </x:c>
      <x:c r="J312" s="98"/>
      <x:c r="K312" s="98" t="str">
        <x:v>None</x:v>
      </x:c>
      <x:c r="L312" s="99"/>
      <x:c r="M312" s="99"/>
      <x:c r="N312" s="99"/>
    </x:row>
    <x:row r="313" ht="34.5" customHeight="1">
      <x:c r="A313" s="34" t="n">
        <x:v>46265</x:v>
      </x:c>
      <x:c r="B313" s="98" t="str">
        <x:v>Revision 2</x:v>
      </x:c>
      <x:c r="C313" s="98" t="n">
        <x:v>13</x:v>
      </x:c>
      <x:c r="D313" s="98" t="n">
        <x:v>129</x:v>
      </x:c>
      <x:c r="E313" s="98" t="n">
        <x:v>159</x:v>
      </x:c>
      <x:c r="F313" s="99" t="str">
        <x:v>Circuits → Sequential Logic → Finite State Machines</x:v>
      </x:c>
      <x:c r="G313" s="99" t="str">
        <x:v>Lemmings 2</x:v>
      </x:c>
      <x:c r="H313" s="99" t="str">
        <x:v>Timed re-solve; explain the hardware before writing code.</x:v>
      </x:c>
      <x:c r="I313" s="98" t="str">
        <x:v>Not Started</x:v>
      </x:c>
      <x:c r="J313" s="98"/>
      <x:c r="K313" s="98" t="str">
        <x:v>None</x:v>
      </x:c>
      <x:c r="L313" s="99"/>
      <x:c r="M313" s="99"/>
      <x:c r="N313" s="99"/>
    </x:row>
    <x:row r="314" ht="34.5" customHeight="1">
      <x:c r="A314" s="34" t="n">
        <x:v>46265</x:v>
      </x:c>
      <x:c r="B314" s="98" t="str">
        <x:v>Revision 2</x:v>
      </x:c>
      <x:c r="C314" s="98" t="n">
        <x:v>13</x:v>
      </x:c>
      <x:c r="D314" s="98" t="n">
        <x:v>130</x:v>
      </x:c>
      <x:c r="E314" s="98" t="n">
        <x:v>160</x:v>
      </x:c>
      <x:c r="F314" s="99" t="str">
        <x:v>Circuits → Sequential Logic → Finite State Machines</x:v>
      </x:c>
      <x:c r="G314" s="99" t="str">
        <x:v>Lemmings 3</x:v>
      </x:c>
      <x:c r="H314" s="99" t="str">
        <x:v>Timed re-solve; explain the hardware before writing code.</x:v>
      </x:c>
      <x:c r="I314" s="98" t="str">
        <x:v>Not Started</x:v>
      </x:c>
      <x:c r="J314" s="98"/>
      <x:c r="K314" s="98" t="str">
        <x:v>None</x:v>
      </x:c>
      <x:c r="L314" s="99"/>
      <x:c r="M314" s="99"/>
      <x:c r="N314" s="99"/>
    </x:row>
    <x:row r="315" ht="34.5" customHeight="1">
      <x:c r="A315" s="34" t="n">
        <x:v>46266</x:v>
      </x:c>
      <x:c r="B315" s="98" t="str">
        <x:v>Revision 2</x:v>
      </x:c>
      <x:c r="C315" s="98" t="n">
        <x:v>14</x:v>
      </x:c>
      <x:c r="D315" s="98" t="n">
        <x:v>131</x:v>
      </x:c>
      <x:c r="E315" s="98" t="n">
        <x:v>161</x:v>
      </x:c>
      <x:c r="F315" s="99" t="str">
        <x:v>Circuits → Sequential Logic → Finite State Machines</x:v>
      </x:c>
      <x:c r="G315" s="99" t="str">
        <x:v>Lemmings 4</x:v>
      </x:c>
      <x:c r="H315" s="99" t="str">
        <x:v>Timed re-solve; explain the hardware before writing code.</x:v>
      </x:c>
      <x:c r="I315" s="98" t="str">
        <x:v>Not Started</x:v>
      </x:c>
      <x:c r="J315" s="98"/>
      <x:c r="K315" s="98" t="str">
        <x:v>None</x:v>
      </x:c>
      <x:c r="L315" s="99"/>
      <x:c r="M315" s="99"/>
      <x:c r="N315" s="99"/>
    </x:row>
    <x:row r="316" ht="34.5" customHeight="1">
      <x:c r="A316" s="34" t="n">
        <x:v>46266</x:v>
      </x:c>
      <x:c r="B316" s="98" t="str">
        <x:v>Revision 2</x:v>
      </x:c>
      <x:c r="C316" s="98" t="n">
        <x:v>14</x:v>
      </x:c>
      <x:c r="D316" s="98" t="n">
        <x:v>132</x:v>
      </x:c>
      <x:c r="E316" s="98" t="n">
        <x:v>162</x:v>
      </x:c>
      <x:c r="F316" s="99" t="str">
        <x:v>Circuits → Sequential Logic → Finite State Machines</x:v>
      </x:c>
      <x:c r="G316" s="99" t="str">
        <x:v>One-hot FSM</x:v>
      </x:c>
      <x:c r="H316" s="99" t="str">
        <x:v>Timed re-solve; explain the hardware before writing code.</x:v>
      </x:c>
      <x:c r="I316" s="98" t="str">
        <x:v>Not Started</x:v>
      </x:c>
      <x:c r="J316" s="98"/>
      <x:c r="K316" s="98" t="str">
        <x:v>None</x:v>
      </x:c>
      <x:c r="L316" s="99"/>
      <x:c r="M316" s="99"/>
      <x:c r="N316" s="99"/>
    </x:row>
    <x:row r="317" ht="34.5" customHeight="1">
      <x:c r="A317" s="34" t="n">
        <x:v>46266</x:v>
      </x:c>
      <x:c r="B317" s="98" t="str">
        <x:v>Revision 2</x:v>
      </x:c>
      <x:c r="C317" s="98" t="n">
        <x:v>14</x:v>
      </x:c>
      <x:c r="D317" s="98" t="n">
        <x:v>133</x:v>
      </x:c>
      <x:c r="E317" s="98" t="n">
        <x:v>166</x:v>
      </x:c>
      <x:c r="F317" s="99" t="str">
        <x:v>Circuits → Sequential Logic → Finite State Machines</x:v>
      </x:c>
      <x:c r="G317" s="99" t="str">
        <x:v>PS/2 packet parser</x:v>
      </x:c>
      <x:c r="H317" s="99" t="str">
        <x:v>Timed re-solve; explain the hardware before writing code.</x:v>
      </x:c>
      <x:c r="I317" s="98" t="str">
        <x:v>Not Started</x:v>
      </x:c>
      <x:c r="J317" s="98"/>
      <x:c r="K317" s="98" t="str">
        <x:v>None</x:v>
      </x:c>
      <x:c r="L317" s="99"/>
      <x:c r="M317" s="99"/>
      <x:c r="N317" s="99"/>
    </x:row>
    <x:row r="318" ht="34.5" customHeight="1">
      <x:c r="A318" s="34" t="n">
        <x:v>46266</x:v>
      </x:c>
      <x:c r="B318" s="98" t="str">
        <x:v>Revision 2</x:v>
      </x:c>
      <x:c r="C318" s="98" t="n">
        <x:v>14</x:v>
      </x:c>
      <x:c r="D318" s="98" t="n">
        <x:v>134</x:v>
      </x:c>
      <x:c r="E318" s="98" t="n">
        <x:v>167</x:v>
      </x:c>
      <x:c r="F318" s="99" t="str">
        <x:v>Circuits → Sequential Logic → Finite State Machines</x:v>
      </x:c>
      <x:c r="G318" s="99" t="str">
        <x:v>PS/2 packet parser and datapath</x:v>
      </x:c>
      <x:c r="H318" s="99" t="str">
        <x:v>Timed re-solve; explain the hardware before writing code.</x:v>
      </x:c>
      <x:c r="I318" s="98" t="str">
        <x:v>Not Started</x:v>
      </x:c>
      <x:c r="J318" s="98"/>
      <x:c r="K318" s="98" t="str">
        <x:v>None</x:v>
      </x:c>
      <x:c r="L318" s="99"/>
      <x:c r="M318" s="99"/>
      <x:c r="N318" s="99"/>
    </x:row>
    <x:row r="319" ht="34.5" customHeight="1">
      <x:c r="A319" s="34" t="n">
        <x:v>46266</x:v>
      </x:c>
      <x:c r="B319" s="98" t="str">
        <x:v>Revision 2</x:v>
      </x:c>
      <x:c r="C319" s="98" t="n">
        <x:v>14</x:v>
      </x:c>
      <x:c r="D319" s="98" t="n">
        <x:v>135</x:v>
      </x:c>
      <x:c r="E319" s="98" t="n">
        <x:v>163</x:v>
      </x:c>
      <x:c r="F319" s="99" t="str">
        <x:v>Circuits → Sequential Logic → Finite State Machines</x:v>
      </x:c>
      <x:c r="G319" s="99" t="str">
        <x:v>Serial receiver</x:v>
      </x:c>
      <x:c r="H319" s="99" t="str">
        <x:v>Timed re-solve; explain the hardware before writing code.</x:v>
      </x:c>
      <x:c r="I319" s="98" t="str">
        <x:v>Not Started</x:v>
      </x:c>
      <x:c r="J319" s="98"/>
      <x:c r="K319" s="98" t="str">
        <x:v>None</x:v>
      </x:c>
      <x:c r="L319" s="99"/>
      <x:c r="M319" s="99"/>
      <x:c r="N319" s="99"/>
    </x:row>
    <x:row r="320" ht="34.5" customHeight="1">
      <x:c r="A320" s="34" t="n">
        <x:v>46266</x:v>
      </x:c>
      <x:c r="B320" s="98" t="str">
        <x:v>Revision 2</x:v>
      </x:c>
      <x:c r="C320" s="98" t="n">
        <x:v>14</x:v>
      </x:c>
      <x:c r="D320" s="98" t="n">
        <x:v>136</x:v>
      </x:c>
      <x:c r="E320" s="98" t="n">
        <x:v>164</x:v>
      </x:c>
      <x:c r="F320" s="99" t="str">
        <x:v>Circuits → Sequential Logic → Finite State Machines</x:v>
      </x:c>
      <x:c r="G320" s="99" t="str">
        <x:v>Serial receiver and datapath</x:v>
      </x:c>
      <x:c r="H320" s="99" t="str">
        <x:v>Timed re-solve; explain the hardware before writing code.</x:v>
      </x:c>
      <x:c r="I320" s="98" t="str">
        <x:v>Not Started</x:v>
      </x:c>
      <x:c r="J320" s="98"/>
      <x:c r="K320" s="98" t="str">
        <x:v>None</x:v>
      </x:c>
      <x:c r="L320" s="99"/>
      <x:c r="M320" s="99"/>
      <x:c r="N320" s="99"/>
    </x:row>
    <x:row r="321" ht="34.5" customHeight="1">
      <x:c r="A321" s="34" t="n">
        <x:v>46266</x:v>
      </x:c>
      <x:c r="B321" s="98" t="str">
        <x:v>Revision 2</x:v>
      </x:c>
      <x:c r="C321" s="98" t="n">
        <x:v>14</x:v>
      </x:c>
      <x:c r="D321" s="98" t="n">
        <x:v>137</x:v>
      </x:c>
      <x:c r="E321" s="98" t="n">
        <x:v>165</x:v>
      </x:c>
      <x:c r="F321" s="99" t="str">
        <x:v>Circuits → Sequential Logic → Finite State Machines</x:v>
      </x:c>
      <x:c r="G321" s="99" t="str">
        <x:v>Serial receiver with parity checking</x:v>
      </x:c>
      <x:c r="H321" s="99" t="str">
        <x:v>Timed re-solve; explain the hardware before writing code.</x:v>
      </x:c>
      <x:c r="I321" s="98" t="str">
        <x:v>Not Started</x:v>
      </x:c>
      <x:c r="J321" s="98"/>
      <x:c r="K321" s="98" t="str">
        <x:v>None</x:v>
      </x:c>
      <x:c r="L321" s="99"/>
      <x:c r="M321" s="99"/>
      <x:c r="N321" s="99"/>
    </x:row>
    <x:row r="322" ht="34.5" customHeight="1">
      <x:c r="A322" s="34" t="n">
        <x:v>46266</x:v>
      </x:c>
      <x:c r="B322" s="98" t="str">
        <x:v>Revision 2</x:v>
      </x:c>
      <x:c r="C322" s="98" t="n">
        <x:v>14</x:v>
      </x:c>
      <x:c r="D322" s="98" t="n">
        <x:v>138</x:v>
      </x:c>
      <x:c r="E322" s="98" t="n">
        <x:v>168</x:v>
      </x:c>
      <x:c r="F322" s="99" t="str">
        <x:v>Circuits → Sequential Logic → Finite State Machines</x:v>
      </x:c>
      <x:c r="G322" s="99" t="str">
        <x:v>Sequence recognition</x:v>
      </x:c>
      <x:c r="H322" s="99" t="str">
        <x:v>Timed re-solve; explain the hardware before writing code.</x:v>
      </x:c>
      <x:c r="I322" s="98" t="str">
        <x:v>Not Started</x:v>
      </x:c>
      <x:c r="J322" s="98"/>
      <x:c r="K322" s="98" t="str">
        <x:v>None</x:v>
      </x:c>
      <x:c r="L322" s="99"/>
      <x:c r="M322" s="99"/>
      <x:c r="N322" s="99"/>
    </x:row>
    <x:row r="323" ht="34.5" customHeight="1">
      <x:c r="A323" s="34" t="n">
        <x:v>46266</x:v>
      </x:c>
      <x:c r="B323" s="98" t="str">
        <x:v>Revision 2</x:v>
      </x:c>
      <x:c r="C323" s="98" t="n">
        <x:v>14</x:v>
      </x:c>
      <x:c r="D323" s="98" t="n">
        <x:v>139</x:v>
      </x:c>
      <x:c r="E323" s="98" t="n">
        <x:v>142</x:v>
      </x:c>
      <x:c r="F323" s="99" t="str">
        <x:v>Circuits → Sequential Logic → Finite State Machines</x:v>
      </x:c>
      <x:c r="G323" s="99" t="str">
        <x:v>Q8: Design a Mealy FSM</x:v>
      </x:c>
      <x:c r="H323" s="99" t="str">
        <x:v>Timed re-solve; explain the hardware before writing code.</x:v>
      </x:c>
      <x:c r="I323" s="98" t="str">
        <x:v>Not Started</x:v>
      </x:c>
      <x:c r="J323" s="98"/>
      <x:c r="K323" s="98" t="str">
        <x:v>None</x:v>
      </x:c>
      <x:c r="L323" s="99"/>
      <x:c r="M323" s="99"/>
      <x:c r="N323" s="99"/>
    </x:row>
    <x:row r="324" ht="34.5" customHeight="1">
      <x:c r="A324" s="34" t="n">
        <x:v>46266</x:v>
      </x:c>
      <x:c r="B324" s="98" t="str">
        <x:v>Revision 2</x:v>
      </x:c>
      <x:c r="C324" s="98" t="n">
        <x:v>14</x:v>
      </x:c>
      <x:c r="D324" s="98" t="n">
        <x:v>140</x:v>
      </x:c>
      <x:c r="E324" s="98" t="n">
        <x:v>169</x:v>
      </x:c>
      <x:c r="F324" s="99" t="str">
        <x:v>Circuits → Sequential Logic → Finite State Machines</x:v>
      </x:c>
      <x:c r="G324" s="99" t="str">
        <x:v>Q5a: Serial two's complementer (Moore FSM)</x:v>
      </x:c>
      <x:c r="H324" s="99" t="str">
        <x:v>Timed re-solve; explain the hardware before writing code.</x:v>
      </x:c>
      <x:c r="I324" s="98" t="str">
        <x:v>Not Started</x:v>
      </x:c>
      <x:c r="J324" s="98"/>
      <x:c r="K324" s="98" t="str">
        <x:v>None</x:v>
      </x:c>
      <x:c r="L324" s="99"/>
      <x:c r="M324" s="99"/>
      <x:c r="N324" s="99"/>
    </x:row>
    <x:row r="325" ht="34.5" customHeight="1">
      <x:c r="A325" s="34" t="n">
        <x:v>46267</x:v>
      </x:c>
      <x:c r="B325" s="98" t="str">
        <x:v>Revision 2</x:v>
      </x:c>
      <x:c r="C325" s="98" t="n">
        <x:v>15</x:v>
      </x:c>
      <x:c r="D325" s="98" t="n">
        <x:v>141</x:v>
      </x:c>
      <x:c r="E325" s="98" t="n">
        <x:v>170</x:v>
      </x:c>
      <x:c r="F325" s="99" t="str">
        <x:v>Circuits → Sequential Logic → Finite State Machines</x:v>
      </x:c>
      <x:c r="G325" s="99" t="str">
        <x:v>Q5b: Serial two's complementer (Mealy FSM)</x:v>
      </x:c>
      <x:c r="H325" s="99" t="str">
        <x:v>Timed re-solve; explain the hardware before writing code.</x:v>
      </x:c>
      <x:c r="I325" s="98" t="str">
        <x:v>Not Started</x:v>
      </x:c>
      <x:c r="J325" s="98"/>
      <x:c r="K325" s="98" t="str">
        <x:v>None</x:v>
      </x:c>
      <x:c r="L325" s="99"/>
      <x:c r="M325" s="99"/>
      <x:c r="N325" s="99"/>
    </x:row>
    <x:row r="326" ht="34.5" customHeight="1">
      <x:c r="A326" s="34" t="n">
        <x:v>46267</x:v>
      </x:c>
      <x:c r="B326" s="98" t="str">
        <x:v>Revision 2</x:v>
      </x:c>
      <x:c r="C326" s="98" t="n">
        <x:v>15</x:v>
      </x:c>
      <x:c r="D326" s="98" t="n">
        <x:v>142</x:v>
      </x:c>
      <x:c r="E326" s="98" t="n">
        <x:v>155</x:v>
      </x:c>
      <x:c r="F326" s="99" t="str">
        <x:v>Circuits → Sequential Logic → Finite State Machines</x:v>
      </x:c>
      <x:c r="G326" s="99" t="str">
        <x:v>Q3a: FSM</x:v>
      </x:c>
      <x:c r="H326" s="99" t="str">
        <x:v>Timed re-solve; explain the hardware before writing code.</x:v>
      </x:c>
      <x:c r="I326" s="98" t="str">
        <x:v>Not Started</x:v>
      </x:c>
      <x:c r="J326" s="98"/>
      <x:c r="K326" s="98" t="str">
        <x:v>None</x:v>
      </x:c>
      <x:c r="L326" s="99"/>
      <x:c r="M326" s="99"/>
      <x:c r="N326" s="99"/>
    </x:row>
    <x:row r="327" ht="34.5" customHeight="1">
      <x:c r="A327" s="34" t="n">
        <x:v>46267</x:v>
      </x:c>
      <x:c r="B327" s="98" t="str">
        <x:v>Revision 2</x:v>
      </x:c>
      <x:c r="C327" s="98" t="n">
        <x:v>15</x:v>
      </x:c>
      <x:c r="D327" s="98" t="n">
        <x:v>143</x:v>
      </x:c>
      <x:c r="E327" s="98" t="n">
        <x:v>156</x:v>
      </x:c>
      <x:c r="F327" s="99" t="str">
        <x:v>Circuits → Sequential Logic → Finite State Machines</x:v>
      </x:c>
      <x:c r="G327" s="99" t="str">
        <x:v>Q3b: FSM</x:v>
      </x:c>
      <x:c r="H327" s="99" t="str">
        <x:v>Timed re-solve; explain the hardware before writing code.</x:v>
      </x:c>
      <x:c r="I327" s="98" t="str">
        <x:v>Not Started</x:v>
      </x:c>
      <x:c r="J327" s="98"/>
      <x:c r="K327" s="98" t="str">
        <x:v>None</x:v>
      </x:c>
      <x:c r="L327" s="99"/>
      <x:c r="M327" s="99"/>
      <x:c r="N327" s="99"/>
    </x:row>
    <x:row r="328" ht="34.5" customHeight="1">
      <x:c r="A328" s="34" t="n">
        <x:v>46267</x:v>
      </x:c>
      <x:c r="B328" s="98" t="str">
        <x:v>Revision 2</x:v>
      </x:c>
      <x:c r="C328" s="98" t="n">
        <x:v>15</x:v>
      </x:c>
      <x:c r="D328" s="98" t="n">
        <x:v>144</x:v>
      </x:c>
      <x:c r="E328" s="98" t="n">
        <x:v>157</x:v>
      </x:c>
      <x:c r="F328" s="99" t="str">
        <x:v>Circuits → Sequential Logic → Finite State Machines</x:v>
      </x:c>
      <x:c r="G328" s="99" t="str">
        <x:v>Q3c: FSM logic</x:v>
      </x:c>
      <x:c r="H328" s="99" t="str">
        <x:v>Timed re-solve; explain the hardware before writing code.</x:v>
      </x:c>
      <x:c r="I328" s="98" t="str">
        <x:v>Not Started</x:v>
      </x:c>
      <x:c r="J328" s="98"/>
      <x:c r="K328" s="98" t="str">
        <x:v>None</x:v>
      </x:c>
      <x:c r="L328" s="99"/>
      <x:c r="M328" s="99"/>
      <x:c r="N328" s="99"/>
    </x:row>
    <x:row r="329" ht="34.5" customHeight="1">
      <x:c r="A329" s="34" t="n">
        <x:v>46267</x:v>
      </x:c>
      <x:c r="B329" s="98" t="str">
        <x:v>Revision 2</x:v>
      </x:c>
      <x:c r="C329" s="98" t="n">
        <x:v>15</x:v>
      </x:c>
      <x:c r="D329" s="98" t="n">
        <x:v>145</x:v>
      </x:c>
      <x:c r="E329" s="98" t="n">
        <x:v>171</x:v>
      </x:c>
      <x:c r="F329" s="99" t="str">
        <x:v>Circuits → Sequential Logic → Finite State Machines</x:v>
      </x:c>
      <x:c r="G329" s="99" t="str">
        <x:v>Q6b: FSM next-state logic</x:v>
      </x:c>
      <x:c r="H329" s="99" t="str">
        <x:v>Timed re-solve; explain the hardware before writing code.</x:v>
      </x:c>
      <x:c r="I329" s="98" t="str">
        <x:v>Not Started</x:v>
      </x:c>
      <x:c r="J329" s="98"/>
      <x:c r="K329" s="98" t="str">
        <x:v>None</x:v>
      </x:c>
      <x:c r="L329" s="99"/>
      <x:c r="M329" s="99"/>
      <x:c r="N329" s="99"/>
    </x:row>
    <x:row r="330" ht="34.5" customHeight="1">
      <x:c r="A330" s="34" t="n">
        <x:v>46267</x:v>
      </x:c>
      <x:c r="B330" s="98" t="str">
        <x:v>Revision 2</x:v>
      </x:c>
      <x:c r="C330" s="98" t="n">
        <x:v>15</x:v>
      </x:c>
      <x:c r="D330" s="98" t="n">
        <x:v>146</x:v>
      </x:c>
      <x:c r="E330" s="98" t="n">
        <x:v>158</x:v>
      </x:c>
      <x:c r="F330" s="99" t="str">
        <x:v>Circuits → Sequential Logic → Finite State Machines</x:v>
      </x:c>
      <x:c r="G330" s="99" t="str">
        <x:v>Q6c: FSM one-hot next-state logic</x:v>
      </x:c>
      <x:c r="H330" s="99" t="str">
        <x:v>Timed re-solve; explain the hardware before writing code.</x:v>
      </x:c>
      <x:c r="I330" s="98" t="str">
        <x:v>Not Started</x:v>
      </x:c>
      <x:c r="J330" s="98"/>
      <x:c r="K330" s="98" t="str">
        <x:v>None</x:v>
      </x:c>
      <x:c r="L330" s="99"/>
      <x:c r="M330" s="99"/>
      <x:c r="N330" s="99"/>
    </x:row>
    <x:row r="331" ht="34.5" customHeight="1">
      <x:c r="A331" s="34" t="n">
        <x:v>46267</x:v>
      </x:c>
      <x:c r="B331" s="98" t="str">
        <x:v>Revision 2</x:v>
      </x:c>
      <x:c r="C331" s="98" t="n">
        <x:v>15</x:v>
      </x:c>
      <x:c r="D331" s="98" t="n">
        <x:v>147</x:v>
      </x:c>
      <x:c r="E331" s="98" t="n">
        <x:v>172</x:v>
      </x:c>
      <x:c r="F331" s="99" t="str">
        <x:v>Circuits → Sequential Logic → Finite State Machines</x:v>
      </x:c>
      <x:c r="G331" s="99" t="str">
        <x:v>Q6: FSM</x:v>
      </x:c>
      <x:c r="H331" s="99" t="str">
        <x:v>Timed re-solve; explain the hardware before writing code.</x:v>
      </x:c>
      <x:c r="I331" s="98" t="str">
        <x:v>Not Started</x:v>
      </x:c>
      <x:c r="J331" s="98"/>
      <x:c r="K331" s="98" t="str">
        <x:v>None</x:v>
      </x:c>
      <x:c r="L331" s="99"/>
      <x:c r="M331" s="99"/>
      <x:c r="N331" s="99"/>
    </x:row>
    <x:row r="332" ht="34.5" customHeight="1">
      <x:c r="A332" s="34" t="n">
        <x:v>46267</x:v>
      </x:c>
      <x:c r="B332" s="98" t="str">
        <x:v>Revision 2</x:v>
      </x:c>
      <x:c r="C332" s="98" t="n">
        <x:v>15</x:v>
      </x:c>
      <x:c r="D332" s="98" t="n">
        <x:v>148</x:v>
      </x:c>
      <x:c r="E332" s="98" t="n">
        <x:v>173</x:v>
      </x:c>
      <x:c r="F332" s="99" t="str">
        <x:v>Circuits → Sequential Logic → Finite State Machines</x:v>
      </x:c>
      <x:c r="G332" s="99" t="str">
        <x:v>Q2a: FSM</x:v>
      </x:c>
      <x:c r="H332" s="99" t="str">
        <x:v>Timed re-solve; explain the hardware before writing code.</x:v>
      </x:c>
      <x:c r="I332" s="98" t="str">
        <x:v>Not Started</x:v>
      </x:c>
      <x:c r="J332" s="98"/>
      <x:c r="K332" s="98" t="str">
        <x:v>None</x:v>
      </x:c>
      <x:c r="L332" s="99"/>
      <x:c r="M332" s="99"/>
      <x:c r="N332" s="99"/>
    </x:row>
    <x:row r="333" ht="34.5" customHeight="1">
      <x:c r="A333" s="34" t="n">
        <x:v>46267</x:v>
      </x:c>
      <x:c r="B333" s="98" t="str">
        <x:v>Revision 2</x:v>
      </x:c>
      <x:c r="C333" s="98" t="n">
        <x:v>15</x:v>
      </x:c>
      <x:c r="D333" s="98" t="n">
        <x:v>149</x:v>
      </x:c>
      <x:c r="E333" s="98" t="n">
        <x:v>174</x:v>
      </x:c>
      <x:c r="F333" s="99" t="str">
        <x:v>Circuits → Sequential Logic → Finite State Machines</x:v>
      </x:c>
      <x:c r="G333" s="99" t="str">
        <x:v>Q2b: One-hot FSM equations</x:v>
      </x:c>
      <x:c r="H333" s="99" t="str">
        <x:v>Timed re-solve; explain the hardware before writing code.</x:v>
      </x:c>
      <x:c r="I333" s="98" t="str">
        <x:v>Not Started</x:v>
      </x:c>
      <x:c r="J333" s="98"/>
      <x:c r="K333" s="98" t="str">
        <x:v>None</x:v>
      </x:c>
      <x:c r="L333" s="99"/>
      <x:c r="M333" s="99"/>
      <x:c r="N333" s="99"/>
    </x:row>
    <x:row r="334" ht="34.5" customHeight="1">
      <x:c r="A334" s="34" t="n">
        <x:v>46267</x:v>
      </x:c>
      <x:c r="B334" s="98" t="str">
        <x:v>Revision 2</x:v>
      </x:c>
      <x:c r="C334" s="98" t="n">
        <x:v>15</x:v>
      </x:c>
      <x:c r="D334" s="98" t="n">
        <x:v>150</x:v>
      </x:c>
      <x:c r="E334" s="98" t="n">
        <x:v>177</x:v>
      </x:c>
      <x:c r="F334" s="99" t="str">
        <x:v>Circuits → Sequential Logic → Finite State Machines</x:v>
      </x:c>
      <x:c r="G334" s="99" t="str">
        <x:v>Q2a: FSM</x:v>
      </x:c>
      <x:c r="H334" s="99" t="str">
        <x:v>Timed re-solve; explain the hardware before writing code.</x:v>
      </x:c>
      <x:c r="I334" s="98" t="str">
        <x:v>Not Started</x:v>
      </x:c>
      <x:c r="J334" s="98"/>
      <x:c r="K334" s="98" t="str">
        <x:v>None</x:v>
      </x:c>
      <x:c r="L334" s="99"/>
      <x:c r="M334" s="99"/>
      <x:c r="N334" s="99"/>
    </x:row>
    <x:row r="335" ht="34.5" customHeight="1">
      <x:c r="A335" s="34" t="n">
        <x:v>46268</x:v>
      </x:c>
      <x:c r="B335" s="98" t="str">
        <x:v>Revision 2</x:v>
      </x:c>
      <x:c r="C335" s="98" t="n">
        <x:v>16</x:v>
      </x:c>
      <x:c r="D335" s="98" t="n">
        <x:v>151</x:v>
      </x:c>
      <x:c r="E335" s="98" t="n">
        <x:v>121</x:v>
      </x:c>
      <x:c r="F335" s="99" t="str">
        <x:v>Circuits → Sequential Logic → Finite State Machines</x:v>
      </x:c>
      <x:c r="G335" s="99" t="str">
        <x:v>Q2b: Another FSM</x:v>
      </x:c>
      <x:c r="H335" s="99" t="str">
        <x:v>Timed re-solve; explain the hardware before writing code.</x:v>
      </x:c>
      <x:c r="I335" s="98" t="str">
        <x:v>Not Started</x:v>
      </x:c>
      <x:c r="J335" s="98"/>
      <x:c r="K335" s="98" t="str">
        <x:v>None</x:v>
      </x:c>
      <x:c r="L335" s="99"/>
      <x:c r="M335" s="99"/>
      <x:c r="N335" s="99"/>
    </x:row>
    <x:row r="336" ht="34.5" customHeight="1">
      <x:c r="A336" s="34" t="n">
        <x:v>46268</x:v>
      </x:c>
      <x:c r="B336" s="98" t="str">
        <x:v>Revision 2</x:v>
      </x:c>
      <x:c r="C336" s="98" t="n">
        <x:v>16</x:v>
      </x:c>
      <x:c r="D336" s="98" t="n">
        <x:v>152</x:v>
      </x:c>
      <x:c r="E336" s="98" t="n">
        <x:v>147</x:v>
      </x:c>
      <x:c r="F336" s="99" t="str">
        <x:v>Circuits → Building Larger Circuits</x:v>
      </x:c>
      <x:c r="G336" s="99" t="str">
        <x:v>Counter with period 1000</x:v>
      </x:c>
      <x:c r="H336" s="99" t="str">
        <x:v>Timed re-solve; explain the hardware before writing code.</x:v>
      </x:c>
      <x:c r="I336" s="98" t="str">
        <x:v>Not Started</x:v>
      </x:c>
      <x:c r="J336" s="98"/>
      <x:c r="K336" s="98" t="str">
        <x:v>None</x:v>
      </x:c>
      <x:c r="L336" s="99"/>
      <x:c r="M336" s="99"/>
      <x:c r="N336" s="99"/>
    </x:row>
    <x:row r="337" ht="34.5" customHeight="1">
      <x:c r="A337" s="34" t="n">
        <x:v>46268</x:v>
      </x:c>
      <x:c r="B337" s="98" t="str">
        <x:v>Revision 2</x:v>
      </x:c>
      <x:c r="C337" s="98" t="n">
        <x:v>16</x:v>
      </x:c>
      <x:c r="D337" s="98" t="n">
        <x:v>153</x:v>
      </x:c>
      <x:c r="E337" s="98" t="n">
        <x:v>148</x:v>
      </x:c>
      <x:c r="F337" s="99" t="str">
        <x:v>Circuits → Building Larger Circuits</x:v>
      </x:c>
      <x:c r="G337" s="99" t="str">
        <x:v>4-bit shift register and down counter</x:v>
      </x:c>
      <x:c r="H337" s="99" t="str">
        <x:v>Timed re-solve; explain the hardware before writing code.</x:v>
      </x:c>
      <x:c r="I337" s="98" t="str">
        <x:v>Not Started</x:v>
      </x:c>
      <x:c r="J337" s="98"/>
      <x:c r="K337" s="98" t="str">
        <x:v>None</x:v>
      </x:c>
      <x:c r="L337" s="99"/>
      <x:c r="M337" s="99"/>
      <x:c r="N337" s="99"/>
    </x:row>
    <x:row r="338" ht="34.5" customHeight="1">
      <x:c r="A338" s="34" t="n">
        <x:v>46268</x:v>
      </x:c>
      <x:c r="B338" s="98" t="str">
        <x:v>Revision 2</x:v>
      </x:c>
      <x:c r="C338" s="98" t="n">
        <x:v>16</x:v>
      </x:c>
      <x:c r="D338" s="98" t="n">
        <x:v>154</x:v>
      </x:c>
      <x:c r="E338" s="98" t="n">
        <x:v>149</x:v>
      </x:c>
      <x:c r="F338" s="99" t="str">
        <x:v>Circuits → Building Larger Circuits</x:v>
      </x:c>
      <x:c r="G338" s="99" t="str">
        <x:v>FSM: Sequence 1101 recognizer</x:v>
      </x:c>
      <x:c r="H338" s="99" t="str">
        <x:v>Timed re-solve; explain the hardware before writing code.</x:v>
      </x:c>
      <x:c r="I338" s="98" t="str">
        <x:v>Not Started</x:v>
      </x:c>
      <x:c r="J338" s="98"/>
      <x:c r="K338" s="98" t="str">
        <x:v>None</x:v>
      </x:c>
      <x:c r="L338" s="99"/>
      <x:c r="M338" s="99"/>
      <x:c r="N338" s="99"/>
    </x:row>
    <x:row r="339" ht="34.5" customHeight="1">
      <x:c r="A339" s="34" t="n">
        <x:v>46268</x:v>
      </x:c>
      <x:c r="B339" s="98" t="str">
        <x:v>Revision 2</x:v>
      </x:c>
      <x:c r="C339" s="98" t="n">
        <x:v>16</x:v>
      </x:c>
      <x:c r="D339" s="98" t="n">
        <x:v>155</x:v>
      </x:c>
      <x:c r="E339" s="98" t="n">
        <x:v>150</x:v>
      </x:c>
      <x:c r="F339" s="99" t="str">
        <x:v>Circuits → Building Larger Circuits</x:v>
      </x:c>
      <x:c r="G339" s="99" t="str">
        <x:v>FSM: Enable shift register</x:v>
      </x:c>
      <x:c r="H339" s="99" t="str">
        <x:v>Timed re-solve; explain the hardware before writing code.</x:v>
      </x:c>
      <x:c r="I339" s="98" t="str">
        <x:v>Not Started</x:v>
      </x:c>
      <x:c r="J339" s="98"/>
      <x:c r="K339" s="98" t="str">
        <x:v>None</x:v>
      </x:c>
      <x:c r="L339" s="99"/>
      <x:c r="M339" s="99"/>
      <x:c r="N339" s="99"/>
    </x:row>
    <x:row r="340" ht="34.5" customHeight="1">
      <x:c r="A340" s="34" t="n">
        <x:v>46268</x:v>
      </x:c>
      <x:c r="B340" s="98" t="str">
        <x:v>Revision 2</x:v>
      </x:c>
      <x:c r="C340" s="98" t="n">
        <x:v>16</x:v>
      </x:c>
      <x:c r="D340" s="98" t="n">
        <x:v>156</x:v>
      </x:c>
      <x:c r="E340" s="98" t="n">
        <x:v>153</x:v>
      </x:c>
      <x:c r="F340" s="99" t="str">
        <x:v>Circuits → Building Larger Circuits</x:v>
      </x:c>
      <x:c r="G340" s="99" t="str">
        <x:v>FSM: The complete FSM</x:v>
      </x:c>
      <x:c r="H340" s="99" t="str">
        <x:v>Timed re-solve; explain the hardware before writing code.</x:v>
      </x:c>
      <x:c r="I340" s="98" t="str">
        <x:v>Not Started</x:v>
      </x:c>
      <x:c r="J340" s="98"/>
      <x:c r="K340" s="98" t="str">
        <x:v>None</x:v>
      </x:c>
      <x:c r="L340" s="99"/>
      <x:c r="M340" s="99"/>
      <x:c r="N340" s="99"/>
    </x:row>
    <x:row r="341" ht="34.5" customHeight="1">
      <x:c r="A341" s="34" t="n">
        <x:v>46268</x:v>
      </x:c>
      <x:c r="B341" s="98" t="str">
        <x:v>Revision 2</x:v>
      </x:c>
      <x:c r="C341" s="98" t="n">
        <x:v>16</x:v>
      </x:c>
      <x:c r="D341" s="98" t="n">
        <x:v>157</x:v>
      </x:c>
      <x:c r="E341" s="98" t="n">
        <x:v>154</x:v>
      </x:c>
      <x:c r="F341" s="99" t="str">
        <x:v>Circuits → Building Larger Circuits</x:v>
      </x:c>
      <x:c r="G341" s="99" t="str">
        <x:v>The complete timer</x:v>
      </x:c>
      <x:c r="H341" s="99" t="str">
        <x:v>Timed re-solve; explain the hardware before writing code.</x:v>
      </x:c>
      <x:c r="I341" s="98" t="str">
        <x:v>Not Started</x:v>
      </x:c>
      <x:c r="J341" s="98"/>
      <x:c r="K341" s="98" t="str">
        <x:v>None</x:v>
      </x:c>
      <x:c r="L341" s="99"/>
      <x:c r="M341" s="99"/>
      <x:c r="N341" s="99"/>
    </x:row>
    <x:row r="342" ht="34.5" customHeight="1">
      <x:c r="A342" s="34" t="n">
        <x:v>46268</x:v>
      </x:c>
      <x:c r="B342" s="98" t="str">
        <x:v>Revision 2</x:v>
      </x:c>
      <x:c r="C342" s="98" t="n">
        <x:v>16</x:v>
      </x:c>
      <x:c r="D342" s="98" t="n">
        <x:v>158</x:v>
      </x:c>
      <x:c r="E342" s="98" t="n">
        <x:v>178</x:v>
      </x:c>
      <x:c r="F342" s="99" t="str">
        <x:v>Circuits → Building Larger Circuits</x:v>
      </x:c>
      <x:c r="G342" s="99" t="str">
        <x:v>FSM: One-hot logic equations</x:v>
      </x:c>
      <x:c r="H342" s="99" t="str">
        <x:v>Timed re-solve; explain the hardware before writing code.</x:v>
      </x:c>
      <x:c r="I342" s="98" t="str">
        <x:v>Not Started</x:v>
      </x:c>
      <x:c r="J342" s="98"/>
      <x:c r="K342" s="98" t="str">
        <x:v>None</x:v>
      </x:c>
      <x:c r="L342" s="99"/>
      <x:c r="M342" s="99"/>
      <x:c r="N342" s="99"/>
    </x:row>
    <x:row r="343" ht="34.5" customHeight="1">
      <x:c r="A343" s="34" t="n">
        <x:v>46268</x:v>
      </x:c>
      <x:c r="B343" s="98" t="str">
        <x:v>Revision 2</x:v>
      </x:c>
      <x:c r="C343" s="98" t="n">
        <x:v>16</x:v>
      </x:c>
      <x:c r="D343" s="98" t="n">
        <x:v>159</x:v>
      </x:c>
      <x:c r="E343" s="98" t="n">
        <x:v>122</x:v>
      </x:c>
      <x:c r="F343" s="99" t="str">
        <x:v>Verification: Reading Simulations → Finding bugs in code</x:v>
      </x:c>
      <x:c r="G343" s="99" t="str">
        <x:v>Mux</x:v>
      </x:c>
      <x:c r="H343" s="99" t="str">
        <x:v>Timed re-solve; explain the hardware before writing code.</x:v>
      </x:c>
      <x:c r="I343" s="98" t="str">
        <x:v>Not Started</x:v>
      </x:c>
      <x:c r="J343" s="98"/>
      <x:c r="K343" s="98" t="str">
        <x:v>None</x:v>
      </x:c>
      <x:c r="L343" s="99"/>
      <x:c r="M343" s="99"/>
      <x:c r="N343" s="99"/>
    </x:row>
    <x:row r="344" ht="34.5" customHeight="1">
      <x:c r="A344" s="34" t="n">
        <x:v>46268</x:v>
      </x:c>
      <x:c r="B344" s="98" t="str">
        <x:v>Revision 2</x:v>
      </x:c>
      <x:c r="C344" s="98" t="n">
        <x:v>16</x:v>
      </x:c>
      <x:c r="D344" s="98" t="n">
        <x:v>160</x:v>
      </x:c>
      <x:c r="E344" s="98" t="n">
        <x:v>123</x:v>
      </x:c>
      <x:c r="F344" s="99" t="str">
        <x:v>Verification: Reading Simulations → Finding bugs in code</x:v>
      </x:c>
      <x:c r="G344" s="99" t="str">
        <x:v>NAND</x:v>
      </x:c>
      <x:c r="H344" s="99" t="str">
        <x:v>Timed re-solve; explain the hardware before writing code.</x:v>
      </x:c>
      <x:c r="I344" s="98" t="str">
        <x:v>Not Started</x:v>
      </x:c>
      <x:c r="J344" s="98"/>
      <x:c r="K344" s="98" t="str">
        <x:v>None</x:v>
      </x:c>
      <x:c r="L344" s="99"/>
      <x:c r="M344" s="99"/>
      <x:c r="N344" s="99"/>
    </x:row>
    <x:row r="345" ht="34.5" customHeight="1">
      <x:c r="A345" s="34" t="n">
        <x:v>46269</x:v>
      </x:c>
      <x:c r="B345" s="98" t="str">
        <x:v>Revision 2</x:v>
      </x:c>
      <x:c r="C345" s="98" t="n">
        <x:v>17</x:v>
      </x:c>
      <x:c r="D345" s="98" t="n">
        <x:v>161</x:v>
      </x:c>
      <x:c r="E345" s="98" t="n">
        <x:v>124</x:v>
      </x:c>
      <x:c r="F345" s="99" t="str">
        <x:v>Verification: Reading Simulations → Finding bugs in code</x:v>
      </x:c>
      <x:c r="G345" s="99" t="str">
        <x:v>Mux</x:v>
      </x:c>
      <x:c r="H345" s="99" t="str">
        <x:v>Timed re-solve; explain the hardware before writing code.</x:v>
      </x:c>
      <x:c r="I345" s="98" t="str">
        <x:v>Not Started</x:v>
      </x:c>
      <x:c r="J345" s="98"/>
      <x:c r="K345" s="98" t="str">
        <x:v>None</x:v>
      </x:c>
      <x:c r="L345" s="99"/>
      <x:c r="M345" s="99"/>
      <x:c r="N345" s="99"/>
    </x:row>
    <x:row r="346" ht="34.5" customHeight="1">
      <x:c r="A346" s="34" t="n">
        <x:v>46269</x:v>
      </x:c>
      <x:c r="B346" s="98" t="str">
        <x:v>Revision 2</x:v>
      </x:c>
      <x:c r="C346" s="98" t="n">
        <x:v>17</x:v>
      </x:c>
      <x:c r="D346" s="98" t="n">
        <x:v>162</x:v>
      </x:c>
      <x:c r="E346" s="98" t="n">
        <x:v>125</x:v>
      </x:c>
      <x:c r="F346" s="99" t="str">
        <x:v>Verification: Reading Simulations → Finding bugs in code</x:v>
      </x:c>
      <x:c r="G346" s="99" t="str">
        <x:v>Add/sub</x:v>
      </x:c>
      <x:c r="H346" s="99" t="str">
        <x:v>Timed re-solve; explain the hardware before writing code.</x:v>
      </x:c>
      <x:c r="I346" s="98" t="str">
        <x:v>Not Started</x:v>
      </x:c>
      <x:c r="J346" s="98"/>
      <x:c r="K346" s="98" t="str">
        <x:v>None</x:v>
      </x:c>
      <x:c r="L346" s="99"/>
      <x:c r="M346" s="99"/>
      <x:c r="N346" s="99"/>
    </x:row>
    <x:row r="347" ht="34.5" customHeight="1">
      <x:c r="A347" s="34" t="n">
        <x:v>46269</x:v>
      </x:c>
      <x:c r="B347" s="98" t="str">
        <x:v>Revision 2</x:v>
      </x:c>
      <x:c r="C347" s="98" t="n">
        <x:v>17</x:v>
      </x:c>
      <x:c r="D347" s="98" t="n">
        <x:v>163</x:v>
      </x:c>
      <x:c r="E347" s="98" t="n">
        <x:v>126</x:v>
      </x:c>
      <x:c r="F347" s="99" t="str">
        <x:v>Verification: Reading Simulations → Finding bugs in code</x:v>
      </x:c>
      <x:c r="G347" s="99" t="str">
        <x:v>Case statement</x:v>
      </x:c>
      <x:c r="H347" s="99" t="str">
        <x:v>Timed re-solve; explain the hardware before writing code.</x:v>
      </x:c>
      <x:c r="I347" s="98" t="str">
        <x:v>Not Started</x:v>
      </x:c>
      <x:c r="J347" s="98"/>
      <x:c r="K347" s="98" t="str">
        <x:v>None</x:v>
      </x:c>
      <x:c r="L347" s="99"/>
      <x:c r="M347" s="99"/>
      <x:c r="N347" s="99"/>
    </x:row>
    <x:row r="348" ht="34.5" customHeight="1">
      <x:c r="A348" s="34" t="n">
        <x:v>46269</x:v>
      </x:c>
      <x:c r="B348" s="98" t="str">
        <x:v>Revision 2</x:v>
      </x:c>
      <x:c r="C348" s="98" t="n">
        <x:v>17</x:v>
      </x:c>
      <x:c r="D348" s="98" t="n">
        <x:v>164</x:v>
      </x:c>
      <x:c r="E348" s="98" t="n">
        <x:v>127</x:v>
      </x:c>
      <x:c r="F348" s="99" t="str">
        <x:v>Verification: Reading Simulations → Build a circuit from a simulation waveform</x:v>
      </x:c>
      <x:c r="G348" s="99" t="str">
        <x:v>Combinational circuit 1</x:v>
      </x:c>
      <x:c r="H348" s="99" t="str">
        <x:v>Timed re-solve; explain the hardware before writing code.</x:v>
      </x:c>
      <x:c r="I348" s="98" t="str">
        <x:v>Not Started</x:v>
      </x:c>
      <x:c r="J348" s="98"/>
      <x:c r="K348" s="98" t="str">
        <x:v>None</x:v>
      </x:c>
      <x:c r="L348" s="99"/>
      <x:c r="M348" s="99"/>
      <x:c r="N348" s="99"/>
    </x:row>
    <x:row r="349" ht="34.5" customHeight="1">
      <x:c r="A349" s="34" t="n">
        <x:v>46269</x:v>
      </x:c>
      <x:c r="B349" s="98" t="str">
        <x:v>Revision 2</x:v>
      </x:c>
      <x:c r="C349" s="98" t="n">
        <x:v>17</x:v>
      </x:c>
      <x:c r="D349" s="98" t="n">
        <x:v>165</x:v>
      </x:c>
      <x:c r="E349" s="98" t="n">
        <x:v>128</x:v>
      </x:c>
      <x:c r="F349" s="99" t="str">
        <x:v>Verification: Reading Simulations → Build a circuit from a simulation waveform</x:v>
      </x:c>
      <x:c r="G349" s="99" t="str">
        <x:v>Combinational circuit 2</x:v>
      </x:c>
      <x:c r="H349" s="99" t="str">
        <x:v>Timed re-solve; explain the hardware before writing code.</x:v>
      </x:c>
      <x:c r="I349" s="98" t="str">
        <x:v>Not Started</x:v>
      </x:c>
      <x:c r="J349" s="98"/>
      <x:c r="K349" s="98" t="str">
        <x:v>None</x:v>
      </x:c>
      <x:c r="L349" s="99"/>
      <x:c r="M349" s="99"/>
      <x:c r="N349" s="99"/>
    </x:row>
    <x:row r="350" ht="34.5" customHeight="1">
      <x:c r="A350" s="34" t="n">
        <x:v>46269</x:v>
      </x:c>
      <x:c r="B350" s="98" t="str">
        <x:v>Revision 2</x:v>
      </x:c>
      <x:c r="C350" s="98" t="n">
        <x:v>17</x:v>
      </x:c>
      <x:c r="D350" s="98" t="n">
        <x:v>166</x:v>
      </x:c>
      <x:c r="E350" s="98" t="n">
        <x:v>129</x:v>
      </x:c>
      <x:c r="F350" s="99" t="str">
        <x:v>Verification: Reading Simulations → Build a circuit from a simulation waveform</x:v>
      </x:c>
      <x:c r="G350" s="99" t="str">
        <x:v>Combinational circuit 3</x:v>
      </x:c>
      <x:c r="H350" s="99" t="str">
        <x:v>Timed re-solve; explain the hardware before writing code.</x:v>
      </x:c>
      <x:c r="I350" s="98" t="str">
        <x:v>Not Started</x:v>
      </x:c>
      <x:c r="J350" s="98"/>
      <x:c r="K350" s="98" t="str">
        <x:v>None</x:v>
      </x:c>
      <x:c r="L350" s="99"/>
      <x:c r="M350" s="99"/>
      <x:c r="N350" s="99"/>
    </x:row>
    <x:row r="351" ht="34.5" customHeight="1">
      <x:c r="A351" s="34" t="n">
        <x:v>46269</x:v>
      </x:c>
      <x:c r="B351" s="98" t="str">
        <x:v>Revision 2</x:v>
      </x:c>
      <x:c r="C351" s="98" t="n">
        <x:v>17</x:v>
      </x:c>
      <x:c r="D351" s="98" t="n">
        <x:v>167</x:v>
      </x:c>
      <x:c r="E351" s="98" t="n">
        <x:v>130</x:v>
      </x:c>
      <x:c r="F351" s="99" t="str">
        <x:v>Verification: Reading Simulations → Build a circuit from a simulation waveform</x:v>
      </x:c>
      <x:c r="G351" s="99" t="str">
        <x:v>Combinational circuit 4</x:v>
      </x:c>
      <x:c r="H351" s="99" t="str">
        <x:v>Timed re-solve; explain the hardware before writing code.</x:v>
      </x:c>
      <x:c r="I351" s="98" t="str">
        <x:v>Not Started</x:v>
      </x:c>
      <x:c r="J351" s="98"/>
      <x:c r="K351" s="98" t="str">
        <x:v>None</x:v>
      </x:c>
      <x:c r="L351" s="99"/>
      <x:c r="M351" s="99"/>
      <x:c r="N351" s="99"/>
    </x:row>
    <x:row r="352" ht="34.5" customHeight="1">
      <x:c r="A352" s="34" t="n">
        <x:v>46269</x:v>
      </x:c>
      <x:c r="B352" s="98" t="str">
        <x:v>Revision 2</x:v>
      </x:c>
      <x:c r="C352" s="98" t="n">
        <x:v>17</x:v>
      </x:c>
      <x:c r="D352" s="98" t="n">
        <x:v>168</x:v>
      </x:c>
      <x:c r="E352" s="98" t="n">
        <x:v>131</x:v>
      </x:c>
      <x:c r="F352" s="99" t="str">
        <x:v>Verification: Reading Simulations → Build a circuit from a simulation waveform</x:v>
      </x:c>
      <x:c r="G352" s="99" t="str">
        <x:v>Combinational circuit 5</x:v>
      </x:c>
      <x:c r="H352" s="99" t="str">
        <x:v>Timed re-solve; explain the hardware before writing code.</x:v>
      </x:c>
      <x:c r="I352" s="98" t="str">
        <x:v>Not Started</x:v>
      </x:c>
      <x:c r="J352" s="98"/>
      <x:c r="K352" s="98" t="str">
        <x:v>None</x:v>
      </x:c>
      <x:c r="L352" s="99"/>
      <x:c r="M352" s="99"/>
      <x:c r="N352" s="99"/>
    </x:row>
    <x:row r="353" ht="34.5" customHeight="1">
      <x:c r="A353" s="34" t="n">
        <x:v>46269</x:v>
      </x:c>
      <x:c r="B353" s="98" t="str">
        <x:v>Revision 2</x:v>
      </x:c>
      <x:c r="C353" s="98" t="n">
        <x:v>17</x:v>
      </x:c>
      <x:c r="D353" s="98" t="n">
        <x:v>169</x:v>
      </x:c>
      <x:c r="E353" s="98" t="n">
        <x:v>132</x:v>
      </x:c>
      <x:c r="F353" s="99" t="str">
        <x:v>Verification: Reading Simulations → Build a circuit from a simulation waveform</x:v>
      </x:c>
      <x:c r="G353" s="99" t="str">
        <x:v>Combinational circuit 6</x:v>
      </x:c>
      <x:c r="H353" s="99" t="str">
        <x:v>Timed re-solve; explain the hardware before writing code.</x:v>
      </x:c>
      <x:c r="I353" s="98" t="str">
        <x:v>Not Started</x:v>
      </x:c>
      <x:c r="J353" s="98"/>
      <x:c r="K353" s="98" t="str">
        <x:v>None</x:v>
      </x:c>
      <x:c r="L353" s="99"/>
      <x:c r="M353" s="99"/>
      <x:c r="N353" s="99"/>
    </x:row>
    <x:row r="354" ht="34.5" customHeight="1">
      <x:c r="A354" s="34" t="n">
        <x:v>46269</x:v>
      </x:c>
      <x:c r="B354" s="98" t="str">
        <x:v>Revision 2</x:v>
      </x:c>
      <x:c r="C354" s="98" t="n">
        <x:v>17</x:v>
      </x:c>
      <x:c r="D354" s="98" t="n">
        <x:v>170</x:v>
      </x:c>
      <x:c r="E354" s="98" t="n">
        <x:v>133</x:v>
      </x:c>
      <x:c r="F354" s="99" t="str">
        <x:v>Verification: Reading Simulations → Build a circuit from a simulation waveform</x:v>
      </x:c>
      <x:c r="G354" s="99" t="str">
        <x:v>Sequential circuit 7</x:v>
      </x:c>
      <x:c r="H354" s="99" t="str">
        <x:v>Timed re-solve; explain the hardware before writing code.</x:v>
      </x:c>
      <x:c r="I354" s="98" t="str">
        <x:v>Not Started</x:v>
      </x:c>
      <x:c r="J354" s="98"/>
      <x:c r="K354" s="98" t="str">
        <x:v>None</x:v>
      </x:c>
      <x:c r="L354" s="99"/>
      <x:c r="M354" s="99"/>
      <x:c r="N354" s="99"/>
    </x:row>
    <x:row r="355" ht="34.5" customHeight="1">
      <x:c r="A355" s="34" t="n">
        <x:v>46270</x:v>
      </x:c>
      <x:c r="B355" s="98" t="str">
        <x:v>Revision 2</x:v>
      </x:c>
      <x:c r="C355" s="98" t="n">
        <x:v>18</x:v>
      </x:c>
      <x:c r="D355" s="98" t="n">
        <x:v>171</x:v>
      </x:c>
      <x:c r="E355" s="98" t="n">
        <x:v>134</x:v>
      </x:c>
      <x:c r="F355" s="99" t="str">
        <x:v>Verification: Reading Simulations → Build a circuit from a simulation waveform</x:v>
      </x:c>
      <x:c r="G355" s="99" t="str">
        <x:v>Sequential circuit 8</x:v>
      </x:c>
      <x:c r="H355" s="99" t="str">
        <x:v>Timed re-solve; explain the hardware before writing code.</x:v>
      </x:c>
      <x:c r="I355" s="98" t="str">
        <x:v>Not Started</x:v>
      </x:c>
      <x:c r="J355" s="98"/>
      <x:c r="K355" s="98" t="str">
        <x:v>None</x:v>
      </x:c>
      <x:c r="L355" s="99"/>
      <x:c r="M355" s="99"/>
      <x:c r="N355" s="99"/>
    </x:row>
    <x:row r="356" ht="34.5" customHeight="1">
      <x:c r="A356" s="34" t="n">
        <x:v>46270</x:v>
      </x:c>
      <x:c r="B356" s="98" t="str">
        <x:v>Revision 2</x:v>
      </x:c>
      <x:c r="C356" s="98" t="n">
        <x:v>18</x:v>
      </x:c>
      <x:c r="D356" s="98" t="n">
        <x:v>172</x:v>
      </x:c>
      <x:c r="E356" s="98" t="n">
        <x:v>135</x:v>
      </x:c>
      <x:c r="F356" s="99" t="str">
        <x:v>Verification: Reading Simulations → Build a circuit from a simulation waveform</x:v>
      </x:c>
      <x:c r="G356" s="99" t="str">
        <x:v>Sequential circuit 9</x:v>
      </x:c>
      <x:c r="H356" s="99" t="str">
        <x:v>Timed re-solve; explain the hardware before writing code.</x:v>
      </x:c>
      <x:c r="I356" s="98" t="str">
        <x:v>Not Started</x:v>
      </x:c>
      <x:c r="J356" s="98"/>
      <x:c r="K356" s="98" t="str">
        <x:v>None</x:v>
      </x:c>
      <x:c r="L356" s="99"/>
      <x:c r="M356" s="99"/>
      <x:c r="N356" s="99"/>
    </x:row>
    <x:row r="357" ht="34.5" customHeight="1">
      <x:c r="A357" s="34" t="n">
        <x:v>46270</x:v>
      </x:c>
      <x:c r="B357" s="98" t="str">
        <x:v>Revision 2</x:v>
      </x:c>
      <x:c r="C357" s="98" t="n">
        <x:v>18</x:v>
      </x:c>
      <x:c r="D357" s="98" t="n">
        <x:v>173</x:v>
      </x:c>
      <x:c r="E357" s="98" t="n">
        <x:v>136</x:v>
      </x:c>
      <x:c r="F357" s="99" t="str">
        <x:v>Verification: Reading Simulations → Build a circuit from a simulation waveform</x:v>
      </x:c>
      <x:c r="G357" s="99" t="str">
        <x:v>Sequential circuit 10</x:v>
      </x:c>
      <x:c r="H357" s="99" t="str">
        <x:v>Timed re-solve; explain the hardware before writing code.</x:v>
      </x:c>
      <x:c r="I357" s="98" t="str">
        <x:v>Not Started</x:v>
      </x:c>
      <x:c r="J357" s="98"/>
      <x:c r="K357" s="98" t="str">
        <x:v>None</x:v>
      </x:c>
      <x:c r="L357" s="99"/>
      <x:c r="M357" s="99"/>
      <x:c r="N357" s="99"/>
    </x:row>
    <x:row r="358" ht="34.5" customHeight="1">
      <x:c r="A358" s="34" t="n">
        <x:v>46270</x:v>
      </x:c>
      <x:c r="B358" s="98" t="str">
        <x:v>Revision 2</x:v>
      </x:c>
      <x:c r="C358" s="98" t="n">
        <x:v>18</x:v>
      </x:c>
      <x:c r="D358" s="98" t="n">
        <x:v>174</x:v>
      </x:c>
      <x:c r="E358" s="98" t="n">
        <x:v>137</x:v>
      </x:c>
      <x:c r="F358" s="99" t="str">
        <x:v>Verification: Writing Testbenches</x:v>
      </x:c>
      <x:c r="G358" s="99" t="str">
        <x:v>Clock</x:v>
      </x:c>
      <x:c r="H358" s="99" t="str">
        <x:v>Timed re-solve; explain the hardware before writing code.</x:v>
      </x:c>
      <x:c r="I358" s="98" t="str">
        <x:v>Not Started</x:v>
      </x:c>
      <x:c r="J358" s="98"/>
      <x:c r="K358" s="98" t="str">
        <x:v>None</x:v>
      </x:c>
      <x:c r="L358" s="99"/>
      <x:c r="M358" s="99"/>
      <x:c r="N358" s="99"/>
    </x:row>
    <x:row r="359" ht="34.5" customHeight="1">
      <x:c r="A359" s="34" t="n">
        <x:v>46270</x:v>
      </x:c>
      <x:c r="B359" s="98" t="str">
        <x:v>Revision 2</x:v>
      </x:c>
      <x:c r="C359" s="98" t="n">
        <x:v>18</x:v>
      </x:c>
      <x:c r="D359" s="98" t="n">
        <x:v>175</x:v>
      </x:c>
      <x:c r="E359" s="98" t="n">
        <x:v>138</x:v>
      </x:c>
      <x:c r="F359" s="99" t="str">
        <x:v>Verification: Writing Testbenches</x:v>
      </x:c>
      <x:c r="G359" s="99" t="str">
        <x:v>Testbench1</x:v>
      </x:c>
      <x:c r="H359" s="99" t="str">
        <x:v>Timed re-solve; explain the hardware before writing code.</x:v>
      </x:c>
      <x:c r="I359" s="98" t="str">
        <x:v>Not Started</x:v>
      </x:c>
      <x:c r="J359" s="98"/>
      <x:c r="K359" s="98" t="str">
        <x:v>None</x:v>
      </x:c>
      <x:c r="L359" s="99"/>
      <x:c r="M359" s="99"/>
      <x:c r="N359" s="99"/>
    </x:row>
    <x:row r="360" ht="34.5" customHeight="1">
      <x:c r="A360" s="34" t="n">
        <x:v>46270</x:v>
      </x:c>
      <x:c r="B360" s="98" t="str">
        <x:v>Revision 2</x:v>
      </x:c>
      <x:c r="C360" s="98" t="n">
        <x:v>18</x:v>
      </x:c>
      <x:c r="D360" s="98" t="n">
        <x:v>176</x:v>
      </x:c>
      <x:c r="E360" s="98" t="n">
        <x:v>139</x:v>
      </x:c>
      <x:c r="F360" s="99" t="str">
        <x:v>Verification: Writing Testbenches</x:v>
      </x:c>
      <x:c r="G360" s="99" t="str">
        <x:v>AND gate</x:v>
      </x:c>
      <x:c r="H360" s="99" t="str">
        <x:v>Timed re-solve; explain the hardware before writing code.</x:v>
      </x:c>
      <x:c r="I360" s="98" t="str">
        <x:v>Not Started</x:v>
      </x:c>
      <x:c r="J360" s="98"/>
      <x:c r="K360" s="98" t="str">
        <x:v>None</x:v>
      </x:c>
      <x:c r="L360" s="99"/>
      <x:c r="M360" s="99"/>
      <x:c r="N360" s="99"/>
    </x:row>
    <x:row r="361" ht="34.5" customHeight="1">
      <x:c r="A361" s="34" t="n">
        <x:v>46270</x:v>
      </x:c>
      <x:c r="B361" s="98" t="str">
        <x:v>Revision 2</x:v>
      </x:c>
      <x:c r="C361" s="98" t="n">
        <x:v>18</x:v>
      </x:c>
      <x:c r="D361" s="98" t="n">
        <x:v>177</x:v>
      </x:c>
      <x:c r="E361" s="98" t="n">
        <x:v>140</x:v>
      </x:c>
      <x:c r="F361" s="99" t="str">
        <x:v>Verification: Writing Testbenches</x:v>
      </x:c>
      <x:c r="G361" s="99" t="str">
        <x:v>Testbench2</x:v>
      </x:c>
      <x:c r="H361" s="99" t="str">
        <x:v>Timed re-solve; explain the hardware before writing code.</x:v>
      </x:c>
      <x:c r="I361" s="98" t="str">
        <x:v>Not Started</x:v>
      </x:c>
      <x:c r="J361" s="98"/>
      <x:c r="K361" s="98" t="str">
        <x:v>None</x:v>
      </x:c>
      <x:c r="L361" s="99"/>
      <x:c r="M361" s="99"/>
      <x:c r="N361" s="99"/>
    </x:row>
    <x:row r="362" ht="34.5" customHeight="1">
      <x:c r="A362" s="34" t="n">
        <x:v>46270</x:v>
      </x:c>
      <x:c r="B362" s="98" t="str">
        <x:v>Revision 2</x:v>
      </x:c>
      <x:c r="C362" s="98" t="n">
        <x:v>18</x:v>
      </x:c>
      <x:c r="D362" s="98" t="n">
        <x:v>178</x:v>
      </x:c>
      <x:c r="E362" s="98" t="n">
        <x:v>141</x:v>
      </x:c>
      <x:c r="F362" s="99" t="str">
        <x:v>Verification: Writing Testbenches</x:v>
      </x:c>
      <x:c r="G362" s="99" t="str">
        <x:v>T flip-flop</x:v>
      </x:c>
      <x:c r="H362" s="99" t="str">
        <x:v>Timed re-solve; explain the hardware before writing code.</x:v>
      </x:c>
      <x:c r="I362" s="98" t="str">
        <x:v>Not Started</x:v>
      </x:c>
      <x:c r="J362" s="98"/>
      <x:c r="K362" s="98" t="str">
        <x:v>None</x:v>
      </x:c>
      <x:c r="L362" s="99"/>
      <x:c r="M362" s="99"/>
      <x:c r="N362" s="99"/>
    </x:row>
    <x:row r="363" ht="34.5" customHeight="1">
      <x:c r="A363" s="34" t="n">
        <x:v>46271</x:v>
      </x:c>
      <x:c r="B363" s="98" t="str">
        <x:v>Final Revision</x:v>
      </x:c>
      <x:c r="C363" s="98" t="n">
        <x:v>1</x:v>
      </x:c>
      <x:c r="D363" s="98" t="n">
        <x:v>1</x:v>
      </x:c>
      <x:c r="E363" s="98" t="n">
        <x:v>151</x:v>
      </x:c>
      <x:c r="F363" s="99" t="str">
        <x:v>Getting Started</x:v>
      </x:c>
      <x:c r="G363" s="99" t="str">
        <x:v>Getting Started</x:v>
      </x:c>
      <x:c r="H363" s="99" t="str">
        <x:v>Mastery check: solve and explain without notes.</x:v>
      </x:c>
      <x:c r="I363" s="98" t="str">
        <x:v>Not Started</x:v>
      </x:c>
      <x:c r="J363" s="98"/>
      <x:c r="K363" s="98" t="str">
        <x:v>None</x:v>
      </x:c>
      <x:c r="L363" s="99"/>
      <x:c r="M363" s="99"/>
      <x:c r="N363" s="99"/>
    </x:row>
    <x:row r="364" ht="34.5" customHeight="1">
      <x:c r="A364" s="34" t="n">
        <x:v>46271</x:v>
      </x:c>
      <x:c r="B364" s="98" t="str">
        <x:v>Final Revision</x:v>
      </x:c>
      <x:c r="C364" s="98" t="n">
        <x:v>1</x:v>
      </x:c>
      <x:c r="D364" s="98" t="n">
        <x:v>2</x:v>
      </x:c>
      <x:c r="E364" s="98" t="n">
        <x:v>152</x:v>
      </x:c>
      <x:c r="F364" s="99" t="str">
        <x:v>Getting Started</x:v>
      </x:c>
      <x:c r="G364" s="99" t="str">
        <x:v>Output Zero</x:v>
      </x:c>
      <x:c r="H364" s="99" t="str">
        <x:v>Mastery check: solve and explain without notes.</x:v>
      </x:c>
      <x:c r="I364" s="98" t="str">
        <x:v>Not Started</x:v>
      </x:c>
      <x:c r="J364" s="98"/>
      <x:c r="K364" s="98" t="str">
        <x:v>None</x:v>
      </x:c>
      <x:c r="L364" s="99"/>
      <x:c r="M364" s="99"/>
      <x:c r="N364" s="99"/>
    </x:row>
    <x:row r="365" ht="34.5" customHeight="1">
      <x:c r="A365" s="34" t="n">
        <x:v>46271</x:v>
      </x:c>
      <x:c r="B365" s="98" t="str">
        <x:v>Final Revision</x:v>
      </x:c>
      <x:c r="C365" s="98" t="n">
        <x:v>1</x:v>
      </x:c>
      <x:c r="D365" s="98" t="n">
        <x:v>3</x:v>
      </x:c>
      <x:c r="E365" s="98" t="n">
        <x:v>1</x:v>
      </x:c>
      <x:c r="F365" s="99" t="str">
        <x:v>Verilog Language → Basics</x:v>
      </x:c>
      <x:c r="G365" s="99" t="str">
        <x:v>Simple wire</x:v>
      </x:c>
      <x:c r="H365" s="99" t="str">
        <x:v>Mastery check: solve and explain without notes.</x:v>
      </x:c>
      <x:c r="I365" s="98" t="str">
        <x:v>Not Started</x:v>
      </x:c>
      <x:c r="J365" s="98"/>
      <x:c r="K365" s="98" t="str">
        <x:v>None</x:v>
      </x:c>
      <x:c r="L365" s="99"/>
      <x:c r="M365" s="99"/>
      <x:c r="N365" s="99"/>
    </x:row>
    <x:row r="366" ht="34.5" customHeight="1">
      <x:c r="A366" s="34" t="n">
        <x:v>46271</x:v>
      </x:c>
      <x:c r="B366" s="98" t="str">
        <x:v>Final Revision</x:v>
      </x:c>
      <x:c r="C366" s="98" t="n">
        <x:v>1</x:v>
      </x:c>
      <x:c r="D366" s="98" t="n">
        <x:v>4</x:v>
      </x:c>
      <x:c r="E366" s="98" t="n">
        <x:v>2</x:v>
      </x:c>
      <x:c r="F366" s="99" t="str">
        <x:v>Verilog Language → Basics</x:v>
      </x:c>
      <x:c r="G366" s="99" t="str">
        <x:v>Four wires</x:v>
      </x:c>
      <x:c r="H366" s="99" t="str">
        <x:v>Mastery check: solve and explain without notes.</x:v>
      </x:c>
      <x:c r="I366" s="98" t="str">
        <x:v>Not Started</x:v>
      </x:c>
      <x:c r="J366" s="98"/>
      <x:c r="K366" s="98" t="str">
        <x:v>None</x:v>
      </x:c>
      <x:c r="L366" s="99"/>
      <x:c r="M366" s="99"/>
      <x:c r="N366" s="99"/>
    </x:row>
    <x:row r="367" ht="34.5" customHeight="1">
      <x:c r="A367" s="34" t="n">
        <x:v>46271</x:v>
      </x:c>
      <x:c r="B367" s="98" t="str">
        <x:v>Final Revision</x:v>
      </x:c>
      <x:c r="C367" s="98" t="n">
        <x:v>1</x:v>
      </x:c>
      <x:c r="D367" s="98" t="n">
        <x:v>5</x:v>
      </x:c>
      <x:c r="E367" s="98" t="n">
        <x:v>3</x:v>
      </x:c>
      <x:c r="F367" s="99" t="str">
        <x:v>Verilog Language → Basics</x:v>
      </x:c>
      <x:c r="G367" s="99" t="str">
        <x:v>Inverter</x:v>
      </x:c>
      <x:c r="H367" s="99" t="str">
        <x:v>Mastery check: solve and explain without notes.</x:v>
      </x:c>
      <x:c r="I367" s="98" t="str">
        <x:v>Not Started</x:v>
      </x:c>
      <x:c r="J367" s="98"/>
      <x:c r="K367" s="98" t="str">
        <x:v>None</x:v>
      </x:c>
      <x:c r="L367" s="99"/>
      <x:c r="M367" s="99"/>
      <x:c r="N367" s="99"/>
    </x:row>
    <x:row r="368" ht="34.5" customHeight="1">
      <x:c r="A368" s="34" t="n">
        <x:v>46271</x:v>
      </x:c>
      <x:c r="B368" s="98" t="str">
        <x:v>Final Revision</x:v>
      </x:c>
      <x:c r="C368" s="98" t="n">
        <x:v>1</x:v>
      </x:c>
      <x:c r="D368" s="98" t="n">
        <x:v>6</x:v>
      </x:c>
      <x:c r="E368" s="98" t="n">
        <x:v>4</x:v>
      </x:c>
      <x:c r="F368" s="99" t="str">
        <x:v>Verilog Language → Basics</x:v>
      </x:c>
      <x:c r="G368" s="99" t="str">
        <x:v>AND gate</x:v>
      </x:c>
      <x:c r="H368" s="99" t="str">
        <x:v>Mastery check: solve and explain without notes.</x:v>
      </x:c>
      <x:c r="I368" s="98" t="str">
        <x:v>Not Started</x:v>
      </x:c>
      <x:c r="J368" s="98"/>
      <x:c r="K368" s="98" t="str">
        <x:v>None</x:v>
      </x:c>
      <x:c r="L368" s="99"/>
      <x:c r="M368" s="99"/>
      <x:c r="N368" s="99"/>
    </x:row>
    <x:row r="369" ht="34.5" customHeight="1">
      <x:c r="A369" s="34" t="n">
        <x:v>46271</x:v>
      </x:c>
      <x:c r="B369" s="98" t="str">
        <x:v>Final Revision</x:v>
      </x:c>
      <x:c r="C369" s="98" t="n">
        <x:v>1</x:v>
      </x:c>
      <x:c r="D369" s="98" t="n">
        <x:v>7</x:v>
      </x:c>
      <x:c r="E369" s="98" t="n">
        <x:v>5</x:v>
      </x:c>
      <x:c r="F369" s="99" t="str">
        <x:v>Verilog Language → Basics</x:v>
      </x:c>
      <x:c r="G369" s="99" t="str">
        <x:v>NOR gate</x:v>
      </x:c>
      <x:c r="H369" s="99" t="str">
        <x:v>Mastery check: solve and explain without notes.</x:v>
      </x:c>
      <x:c r="I369" s="98" t="str">
        <x:v>Not Started</x:v>
      </x:c>
      <x:c r="J369" s="98"/>
      <x:c r="K369" s="98" t="str">
        <x:v>None</x:v>
      </x:c>
      <x:c r="L369" s="99"/>
      <x:c r="M369" s="99"/>
      <x:c r="N369" s="99"/>
    </x:row>
    <x:row r="370" ht="34.5" customHeight="1">
      <x:c r="A370" s="34" t="n">
        <x:v>46271</x:v>
      </x:c>
      <x:c r="B370" s="98" t="str">
        <x:v>Final Revision</x:v>
      </x:c>
      <x:c r="C370" s="98" t="n">
        <x:v>1</x:v>
      </x:c>
      <x:c r="D370" s="98" t="n">
        <x:v>8</x:v>
      </x:c>
      <x:c r="E370" s="98" t="n">
        <x:v>6</x:v>
      </x:c>
      <x:c r="F370" s="99" t="str">
        <x:v>Verilog Language → Basics</x:v>
      </x:c>
      <x:c r="G370" s="99" t="str">
        <x:v>XNOR gate</x:v>
      </x:c>
      <x:c r="H370" s="99" t="str">
        <x:v>Mastery check: solve and explain without notes.</x:v>
      </x:c>
      <x:c r="I370" s="98" t="str">
        <x:v>Not Started</x:v>
      </x:c>
      <x:c r="J370" s="98"/>
      <x:c r="K370" s="98" t="str">
        <x:v>None</x:v>
      </x:c>
      <x:c r="L370" s="99"/>
      <x:c r="M370" s="99"/>
      <x:c r="N370" s="99"/>
    </x:row>
    <x:row r="371" ht="34.5" customHeight="1">
      <x:c r="A371" s="34" t="n">
        <x:v>46271</x:v>
      </x:c>
      <x:c r="B371" s="98" t="str">
        <x:v>Final Revision</x:v>
      </x:c>
      <x:c r="C371" s="98" t="n">
        <x:v>1</x:v>
      </x:c>
      <x:c r="D371" s="98" t="n">
        <x:v>9</x:v>
      </x:c>
      <x:c r="E371" s="98" t="n">
        <x:v>7</x:v>
      </x:c>
      <x:c r="F371" s="99" t="str">
        <x:v>Verilog Language → Basics</x:v>
      </x:c>
      <x:c r="G371" s="99" t="str">
        <x:v>Declaring wires</x:v>
      </x:c>
      <x:c r="H371" s="99" t="str">
        <x:v>Mastery check: solve and explain without notes.</x:v>
      </x:c>
      <x:c r="I371" s="98" t="str">
        <x:v>Not Started</x:v>
      </x:c>
      <x:c r="J371" s="98"/>
      <x:c r="K371" s="98" t="str">
        <x:v>None</x:v>
      </x:c>
      <x:c r="L371" s="99"/>
      <x:c r="M371" s="99"/>
      <x:c r="N371" s="99"/>
    </x:row>
    <x:row r="372" ht="34.5" customHeight="1">
      <x:c r="A372" s="34" t="n">
        <x:v>46271</x:v>
      </x:c>
      <x:c r="B372" s="98" t="str">
        <x:v>Final Revision</x:v>
      </x:c>
      <x:c r="C372" s="98" t="n">
        <x:v>1</x:v>
      </x:c>
      <x:c r="D372" s="98" t="n">
        <x:v>10</x:v>
      </x:c>
      <x:c r="E372" s="98" t="n">
        <x:v>8</x:v>
      </x:c>
      <x:c r="F372" s="99" t="str">
        <x:v>Verilog Language → Basics</x:v>
      </x:c>
      <x:c r="G372" s="99" t="str">
        <x:v>7458 chip</x:v>
      </x:c>
      <x:c r="H372" s="99" t="str">
        <x:v>Mastery check: solve and explain without notes.</x:v>
      </x:c>
      <x:c r="I372" s="98" t="str">
        <x:v>Not Started</x:v>
      </x:c>
      <x:c r="J372" s="98"/>
      <x:c r="K372" s="98" t="str">
        <x:v>None</x:v>
      </x:c>
      <x:c r="L372" s="99"/>
      <x:c r="M372" s="99"/>
      <x:c r="N372" s="99"/>
    </x:row>
    <x:row r="373" ht="34.5" customHeight="1">
      <x:c r="A373" s="34" t="n">
        <x:v>46272</x:v>
      </x:c>
      <x:c r="B373" s="98" t="str">
        <x:v>Final Revision</x:v>
      </x:c>
      <x:c r="C373" s="98" t="n">
        <x:v>2</x:v>
      </x:c>
      <x:c r="D373" s="98" t="n">
        <x:v>11</x:v>
      </x:c>
      <x:c r="E373" s="98" t="n">
        <x:v>9</x:v>
      </x:c>
      <x:c r="F373" s="99" t="str">
        <x:v>Verilog Language → Vectors</x:v>
      </x:c>
      <x:c r="G373" s="99" t="str">
        <x:v>Vectors</x:v>
      </x:c>
      <x:c r="H373" s="99" t="str">
        <x:v>Mastery check: solve and explain without notes.</x:v>
      </x:c>
      <x:c r="I373" s="98" t="str">
        <x:v>Not Started</x:v>
      </x:c>
      <x:c r="J373" s="98"/>
      <x:c r="K373" s="98" t="str">
        <x:v>None</x:v>
      </x:c>
      <x:c r="L373" s="99"/>
      <x:c r="M373" s="99"/>
      <x:c r="N373" s="99"/>
    </x:row>
    <x:row r="374" ht="34.5" customHeight="1">
      <x:c r="A374" s="34" t="n">
        <x:v>46272</x:v>
      </x:c>
      <x:c r="B374" s="98" t="str">
        <x:v>Final Revision</x:v>
      </x:c>
      <x:c r="C374" s="98" t="n">
        <x:v>2</x:v>
      </x:c>
      <x:c r="D374" s="98" t="n">
        <x:v>12</x:v>
      </x:c>
      <x:c r="E374" s="98" t="n">
        <x:v>10</x:v>
      </x:c>
      <x:c r="F374" s="99" t="str">
        <x:v>Verilog Language → Vectors</x:v>
      </x:c>
      <x:c r="G374" s="99" t="str">
        <x:v>Vectors in more detail</x:v>
      </x:c>
      <x:c r="H374" s="99" t="str">
        <x:v>Mastery check: solve and explain without notes.</x:v>
      </x:c>
      <x:c r="I374" s="98" t="str">
        <x:v>Not Started</x:v>
      </x:c>
      <x:c r="J374" s="98"/>
      <x:c r="K374" s="98" t="str">
        <x:v>None</x:v>
      </x:c>
      <x:c r="L374" s="99"/>
      <x:c r="M374" s="99"/>
      <x:c r="N374" s="99"/>
    </x:row>
    <x:row r="375" ht="34.5" customHeight="1">
      <x:c r="A375" s="34" t="n">
        <x:v>46272</x:v>
      </x:c>
      <x:c r="B375" s="98" t="str">
        <x:v>Final Revision</x:v>
      </x:c>
      <x:c r="C375" s="98" t="n">
        <x:v>2</x:v>
      </x:c>
      <x:c r="D375" s="98" t="n">
        <x:v>13</x:v>
      </x:c>
      <x:c r="E375" s="98" t="n">
        <x:v>11</x:v>
      </x:c>
      <x:c r="F375" s="99" t="str">
        <x:v>Verilog Language → Vectors</x:v>
      </x:c>
      <x:c r="G375" s="99" t="str">
        <x:v>Vector part select</x:v>
      </x:c>
      <x:c r="H375" s="99" t="str">
        <x:v>Mastery check: solve and explain without notes.</x:v>
      </x:c>
      <x:c r="I375" s="98" t="str">
        <x:v>Not Started</x:v>
      </x:c>
      <x:c r="J375" s="98"/>
      <x:c r="K375" s="98" t="str">
        <x:v>None</x:v>
      </x:c>
      <x:c r="L375" s="99"/>
      <x:c r="M375" s="99"/>
      <x:c r="N375" s="99"/>
    </x:row>
    <x:row r="376" ht="34.5" customHeight="1">
      <x:c r="A376" s="34" t="n">
        <x:v>46272</x:v>
      </x:c>
      <x:c r="B376" s="98" t="str">
        <x:v>Final Revision</x:v>
      </x:c>
      <x:c r="C376" s="98" t="n">
        <x:v>2</x:v>
      </x:c>
      <x:c r="D376" s="98" t="n">
        <x:v>14</x:v>
      </x:c>
      <x:c r="E376" s="98" t="n">
        <x:v>12</x:v>
      </x:c>
      <x:c r="F376" s="99" t="str">
        <x:v>Verilog Language → Vectors</x:v>
      </x:c>
      <x:c r="G376" s="99" t="str">
        <x:v>Bitwise operators</x:v>
      </x:c>
      <x:c r="H376" s="99" t="str">
        <x:v>Mastery check: solve and explain without notes.</x:v>
      </x:c>
      <x:c r="I376" s="98" t="str">
        <x:v>Not Started</x:v>
      </x:c>
      <x:c r="J376" s="98"/>
      <x:c r="K376" s="98" t="str">
        <x:v>None</x:v>
      </x:c>
      <x:c r="L376" s="99"/>
      <x:c r="M376" s="99"/>
      <x:c r="N376" s="99"/>
    </x:row>
    <x:row r="377" ht="34.5" customHeight="1">
      <x:c r="A377" s="34" t="n">
        <x:v>46272</x:v>
      </x:c>
      <x:c r="B377" s="98" t="str">
        <x:v>Final Revision</x:v>
      </x:c>
      <x:c r="C377" s="98" t="n">
        <x:v>2</x:v>
      </x:c>
      <x:c r="D377" s="98" t="n">
        <x:v>15</x:v>
      </x:c>
      <x:c r="E377" s="98" t="n">
        <x:v>13</x:v>
      </x:c>
      <x:c r="F377" s="99" t="str">
        <x:v>Verilog Language → Vectors</x:v>
      </x:c>
      <x:c r="G377" s="99" t="str">
        <x:v>Four-input gates</x:v>
      </x:c>
      <x:c r="H377" s="99" t="str">
        <x:v>Mastery check: solve and explain without notes.</x:v>
      </x:c>
      <x:c r="I377" s="98" t="str">
        <x:v>Not Started</x:v>
      </x:c>
      <x:c r="J377" s="98"/>
      <x:c r="K377" s="98" t="str">
        <x:v>None</x:v>
      </x:c>
      <x:c r="L377" s="99"/>
      <x:c r="M377" s="99"/>
      <x:c r="N377" s="99"/>
    </x:row>
    <x:row r="378" ht="34.5" customHeight="1">
      <x:c r="A378" s="34" t="n">
        <x:v>46272</x:v>
      </x:c>
      <x:c r="B378" s="98" t="str">
        <x:v>Final Revision</x:v>
      </x:c>
      <x:c r="C378" s="98" t="n">
        <x:v>2</x:v>
      </x:c>
      <x:c r="D378" s="98" t="n">
        <x:v>16</x:v>
      </x:c>
      <x:c r="E378" s="98" t="n">
        <x:v>14</x:v>
      </x:c>
      <x:c r="F378" s="99" t="str">
        <x:v>Verilog Language → Vectors</x:v>
      </x:c>
      <x:c r="G378" s="99" t="str">
        <x:v>Vector concatenation operator</x:v>
      </x:c>
      <x:c r="H378" s="99" t="str">
        <x:v>Mastery check: solve and explain without notes.</x:v>
      </x:c>
      <x:c r="I378" s="98" t="str">
        <x:v>Not Started</x:v>
      </x:c>
      <x:c r="J378" s="98"/>
      <x:c r="K378" s="98" t="str">
        <x:v>None</x:v>
      </x:c>
      <x:c r="L378" s="99"/>
      <x:c r="M378" s="99"/>
      <x:c r="N378" s="99"/>
    </x:row>
    <x:row r="379" ht="34.5" customHeight="1">
      <x:c r="A379" s="34" t="n">
        <x:v>46272</x:v>
      </x:c>
      <x:c r="B379" s="98" t="str">
        <x:v>Final Revision</x:v>
      </x:c>
      <x:c r="C379" s="98" t="n">
        <x:v>2</x:v>
      </x:c>
      <x:c r="D379" s="98" t="n">
        <x:v>17</x:v>
      </x:c>
      <x:c r="E379" s="98" t="n">
        <x:v>15</x:v>
      </x:c>
      <x:c r="F379" s="99" t="str">
        <x:v>Verilog Language → Vectors</x:v>
      </x:c>
      <x:c r="G379" s="99" t="str">
        <x:v>Vector reversal 1</x:v>
      </x:c>
      <x:c r="H379" s="99" t="str">
        <x:v>Mastery check: solve and explain without notes.</x:v>
      </x:c>
      <x:c r="I379" s="98" t="str">
        <x:v>Not Started</x:v>
      </x:c>
      <x:c r="J379" s="98"/>
      <x:c r="K379" s="98" t="str">
        <x:v>None</x:v>
      </x:c>
      <x:c r="L379" s="99"/>
      <x:c r="M379" s="99"/>
      <x:c r="N379" s="99"/>
    </x:row>
    <x:row r="380" ht="34.5" customHeight="1">
      <x:c r="A380" s="34" t="n">
        <x:v>46272</x:v>
      </x:c>
      <x:c r="B380" s="98" t="str">
        <x:v>Final Revision</x:v>
      </x:c>
      <x:c r="C380" s="98" t="n">
        <x:v>2</x:v>
      </x:c>
      <x:c r="D380" s="98" t="n">
        <x:v>18</x:v>
      </x:c>
      <x:c r="E380" s="98" t="n">
        <x:v>16</x:v>
      </x:c>
      <x:c r="F380" s="99" t="str">
        <x:v>Verilog Language → Vectors</x:v>
      </x:c>
      <x:c r="G380" s="99" t="str">
        <x:v>Replication operator</x:v>
      </x:c>
      <x:c r="H380" s="99" t="str">
        <x:v>Mastery check: solve and explain without notes.</x:v>
      </x:c>
      <x:c r="I380" s="98" t="str">
        <x:v>Not Started</x:v>
      </x:c>
      <x:c r="J380" s="98"/>
      <x:c r="K380" s="98" t="str">
        <x:v>None</x:v>
      </x:c>
      <x:c r="L380" s="99"/>
      <x:c r="M380" s="99"/>
      <x:c r="N380" s="99"/>
    </x:row>
    <x:row r="381" ht="34.5" customHeight="1">
      <x:c r="A381" s="34" t="n">
        <x:v>46272</x:v>
      </x:c>
      <x:c r="B381" s="98" t="str">
        <x:v>Final Revision</x:v>
      </x:c>
      <x:c r="C381" s="98" t="n">
        <x:v>2</x:v>
      </x:c>
      <x:c r="D381" s="98" t="n">
        <x:v>19</x:v>
      </x:c>
      <x:c r="E381" s="98" t="n">
        <x:v>17</x:v>
      </x:c>
      <x:c r="F381" s="99" t="str">
        <x:v>Verilog Language → Vectors</x:v>
      </x:c>
      <x:c r="G381" s="99" t="str">
        <x:v>More replication</x:v>
      </x:c>
      <x:c r="H381" s="99" t="str">
        <x:v>Mastery check: solve and explain without notes.</x:v>
      </x:c>
      <x:c r="I381" s="98" t="str">
        <x:v>Not Started</x:v>
      </x:c>
      <x:c r="J381" s="98"/>
      <x:c r="K381" s="98" t="str">
        <x:v>None</x:v>
      </x:c>
      <x:c r="L381" s="99"/>
      <x:c r="M381" s="99"/>
      <x:c r="N381" s="99"/>
    </x:row>
    <x:row r="382" ht="34.5" customHeight="1">
      <x:c r="A382" s="34" t="n">
        <x:v>46272</x:v>
      </x:c>
      <x:c r="B382" s="98" t="str">
        <x:v>Final Revision</x:v>
      </x:c>
      <x:c r="C382" s="98" t="n">
        <x:v>2</x:v>
      </x:c>
      <x:c r="D382" s="98" t="n">
        <x:v>20</x:v>
      </x:c>
      <x:c r="E382" s="98" t="n">
        <x:v>18</x:v>
      </x:c>
      <x:c r="F382" s="99" t="str">
        <x:v>Verilog Language → Modules: Hierarchy</x:v>
      </x:c>
      <x:c r="G382" s="99" t="str">
        <x:v>Modules</x:v>
      </x:c>
      <x:c r="H382" s="99" t="str">
        <x:v>Mastery check: solve and explain without notes.</x:v>
      </x:c>
      <x:c r="I382" s="98" t="str">
        <x:v>Not Started</x:v>
      </x:c>
      <x:c r="J382" s="98"/>
      <x:c r="K382" s="98" t="str">
        <x:v>None</x:v>
      </x:c>
      <x:c r="L382" s="99"/>
      <x:c r="M382" s="99"/>
      <x:c r="N382" s="99"/>
    </x:row>
    <x:row r="383" ht="34.5" customHeight="1">
      <x:c r="A383" s="34" t="n">
        <x:v>46273</x:v>
      </x:c>
      <x:c r="B383" s="98" t="str">
        <x:v>Final Revision</x:v>
      </x:c>
      <x:c r="C383" s="98" t="n">
        <x:v>3</x:v>
      </x:c>
      <x:c r="D383" s="98" t="n">
        <x:v>21</x:v>
      </x:c>
      <x:c r="E383" s="98" t="n">
        <x:v>19</x:v>
      </x:c>
      <x:c r="F383" s="99" t="str">
        <x:v>Verilog Language → Modules: Hierarchy</x:v>
      </x:c>
      <x:c r="G383" s="99" t="str">
        <x:v>Connecting ports by position</x:v>
      </x:c>
      <x:c r="H383" s="99" t="str">
        <x:v>Mastery check: solve and explain without notes.</x:v>
      </x:c>
      <x:c r="I383" s="98" t="str">
        <x:v>Not Started</x:v>
      </x:c>
      <x:c r="J383" s="98"/>
      <x:c r="K383" s="98" t="str">
        <x:v>None</x:v>
      </x:c>
      <x:c r="L383" s="99"/>
      <x:c r="M383" s="99"/>
      <x:c r="N383" s="99"/>
    </x:row>
    <x:row r="384" ht="34.5" customHeight="1">
      <x:c r="A384" s="34" t="n">
        <x:v>46273</x:v>
      </x:c>
      <x:c r="B384" s="98" t="str">
        <x:v>Final Revision</x:v>
      </x:c>
      <x:c r="C384" s="98" t="n">
        <x:v>3</x:v>
      </x:c>
      <x:c r="D384" s="98" t="n">
        <x:v>22</x:v>
      </x:c>
      <x:c r="E384" s="98" t="n">
        <x:v>20</x:v>
      </x:c>
      <x:c r="F384" s="99" t="str">
        <x:v>Verilog Language → Modules: Hierarchy</x:v>
      </x:c>
      <x:c r="G384" s="99" t="str">
        <x:v>Connecting ports by name</x:v>
      </x:c>
      <x:c r="H384" s="99" t="str">
        <x:v>Mastery check: solve and explain without notes.</x:v>
      </x:c>
      <x:c r="I384" s="98" t="str">
        <x:v>Not Started</x:v>
      </x:c>
      <x:c r="J384" s="98"/>
      <x:c r="K384" s="98" t="str">
        <x:v>None</x:v>
      </x:c>
      <x:c r="L384" s="99"/>
      <x:c r="M384" s="99"/>
      <x:c r="N384" s="99"/>
    </x:row>
    <x:row r="385" ht="34.5" customHeight="1">
      <x:c r="A385" s="34" t="n">
        <x:v>46273</x:v>
      </x:c>
      <x:c r="B385" s="98" t="str">
        <x:v>Final Revision</x:v>
      </x:c>
      <x:c r="C385" s="98" t="n">
        <x:v>3</x:v>
      </x:c>
      <x:c r="D385" s="98" t="n">
        <x:v>23</x:v>
      </x:c>
      <x:c r="E385" s="98" t="n">
        <x:v>21</x:v>
      </x:c>
      <x:c r="F385" s="99" t="str">
        <x:v>Verilog Language → Modules: Hierarchy</x:v>
      </x:c>
      <x:c r="G385" s="99" t="str">
        <x:v>Three modules</x:v>
      </x:c>
      <x:c r="H385" s="99" t="str">
        <x:v>Mastery check: solve and explain without notes.</x:v>
      </x:c>
      <x:c r="I385" s="98" t="str">
        <x:v>Not Started</x:v>
      </x:c>
      <x:c r="J385" s="98"/>
      <x:c r="K385" s="98" t="str">
        <x:v>None</x:v>
      </x:c>
      <x:c r="L385" s="99"/>
      <x:c r="M385" s="99"/>
      <x:c r="N385" s="99"/>
    </x:row>
    <x:row r="386" ht="34.5" customHeight="1">
      <x:c r="A386" s="34" t="n">
        <x:v>46273</x:v>
      </x:c>
      <x:c r="B386" s="98" t="str">
        <x:v>Final Revision</x:v>
      </x:c>
      <x:c r="C386" s="98" t="n">
        <x:v>3</x:v>
      </x:c>
      <x:c r="D386" s="98" t="n">
        <x:v>24</x:v>
      </x:c>
      <x:c r="E386" s="98" t="n">
        <x:v>22</x:v>
      </x:c>
      <x:c r="F386" s="99" t="str">
        <x:v>Verilog Language → Modules: Hierarchy</x:v>
      </x:c>
      <x:c r="G386" s="99" t="str">
        <x:v>Modules and vectors</x:v>
      </x:c>
      <x:c r="H386" s="99" t="str">
        <x:v>Mastery check: solve and explain without notes.</x:v>
      </x:c>
      <x:c r="I386" s="98" t="str">
        <x:v>Not Started</x:v>
      </x:c>
      <x:c r="J386" s="98"/>
      <x:c r="K386" s="98" t="str">
        <x:v>None</x:v>
      </x:c>
      <x:c r="L386" s="99"/>
      <x:c r="M386" s="99"/>
      <x:c r="N386" s="99"/>
    </x:row>
    <x:row r="387" ht="34.5" customHeight="1">
      <x:c r="A387" s="34" t="n">
        <x:v>46273</x:v>
      </x:c>
      <x:c r="B387" s="98" t="str">
        <x:v>Final Revision</x:v>
      </x:c>
      <x:c r="C387" s="98" t="n">
        <x:v>3</x:v>
      </x:c>
      <x:c r="D387" s="98" t="n">
        <x:v>25</x:v>
      </x:c>
      <x:c r="E387" s="98" t="n">
        <x:v>23</x:v>
      </x:c>
      <x:c r="F387" s="99" t="str">
        <x:v>Verilog Language → Modules: Hierarchy</x:v>
      </x:c>
      <x:c r="G387" s="99" t="str">
        <x:v>Adder 1</x:v>
      </x:c>
      <x:c r="H387" s="99" t="str">
        <x:v>Mastery check: solve and explain without notes.</x:v>
      </x:c>
      <x:c r="I387" s="98" t="str">
        <x:v>Not Started</x:v>
      </x:c>
      <x:c r="J387" s="98"/>
      <x:c r="K387" s="98" t="str">
        <x:v>None</x:v>
      </x:c>
      <x:c r="L387" s="99"/>
      <x:c r="M387" s="99"/>
      <x:c r="N387" s="99"/>
    </x:row>
    <x:row r="388" ht="34.5" customHeight="1">
      <x:c r="A388" s="34" t="n">
        <x:v>46273</x:v>
      </x:c>
      <x:c r="B388" s="98" t="str">
        <x:v>Final Revision</x:v>
      </x:c>
      <x:c r="C388" s="98" t="n">
        <x:v>3</x:v>
      </x:c>
      <x:c r="D388" s="98" t="n">
        <x:v>26</x:v>
      </x:c>
      <x:c r="E388" s="98" t="n">
        <x:v>24</x:v>
      </x:c>
      <x:c r="F388" s="99" t="str">
        <x:v>Verilog Language → Modules: Hierarchy</x:v>
      </x:c>
      <x:c r="G388" s="99" t="str">
        <x:v>Adder 2</x:v>
      </x:c>
      <x:c r="H388" s="99" t="str">
        <x:v>Mastery check: solve and explain without notes.</x:v>
      </x:c>
      <x:c r="I388" s="98" t="str">
        <x:v>Not Started</x:v>
      </x:c>
      <x:c r="J388" s="98"/>
      <x:c r="K388" s="98" t="str">
        <x:v>None</x:v>
      </x:c>
      <x:c r="L388" s="99"/>
      <x:c r="M388" s="99"/>
      <x:c r="N388" s="99"/>
    </x:row>
    <x:row r="389" ht="34.5" customHeight="1">
      <x:c r="A389" s="34" t="n">
        <x:v>46273</x:v>
      </x:c>
      <x:c r="B389" s="98" t="str">
        <x:v>Final Revision</x:v>
      </x:c>
      <x:c r="C389" s="98" t="n">
        <x:v>3</x:v>
      </x:c>
      <x:c r="D389" s="98" t="n">
        <x:v>27</x:v>
      </x:c>
      <x:c r="E389" s="98" t="n">
        <x:v>25</x:v>
      </x:c>
      <x:c r="F389" s="99" t="str">
        <x:v>Verilog Language → Modules: Hierarchy</x:v>
      </x:c>
      <x:c r="G389" s="99" t="str">
        <x:v>Carry-select adder</x:v>
      </x:c>
      <x:c r="H389" s="99" t="str">
        <x:v>Mastery check: solve and explain without notes.</x:v>
      </x:c>
      <x:c r="I389" s="98" t="str">
        <x:v>Not Started</x:v>
      </x:c>
      <x:c r="J389" s="98"/>
      <x:c r="K389" s="98" t="str">
        <x:v>None</x:v>
      </x:c>
      <x:c r="L389" s="99"/>
      <x:c r="M389" s="99"/>
      <x:c r="N389" s="99"/>
    </x:row>
    <x:row r="390" ht="34.5" customHeight="1">
      <x:c r="A390" s="34" t="n">
        <x:v>46273</x:v>
      </x:c>
      <x:c r="B390" s="98" t="str">
        <x:v>Final Revision</x:v>
      </x:c>
      <x:c r="C390" s="98" t="n">
        <x:v>3</x:v>
      </x:c>
      <x:c r="D390" s="98" t="n">
        <x:v>28</x:v>
      </x:c>
      <x:c r="E390" s="98" t="n">
        <x:v>26</x:v>
      </x:c>
      <x:c r="F390" s="99" t="str">
        <x:v>Verilog Language → Modules: Hierarchy</x:v>
      </x:c>
      <x:c r="G390" s="99" t="str">
        <x:v>Adder-subtractor</x:v>
      </x:c>
      <x:c r="H390" s="99" t="str">
        <x:v>Mastery check: solve and explain without notes.</x:v>
      </x:c>
      <x:c r="I390" s="98" t="str">
        <x:v>Not Started</x:v>
      </x:c>
      <x:c r="J390" s="98"/>
      <x:c r="K390" s="98" t="str">
        <x:v>None</x:v>
      </x:c>
      <x:c r="L390" s="99"/>
      <x:c r="M390" s="99"/>
      <x:c r="N390" s="99"/>
    </x:row>
    <x:row r="391" ht="34.5" customHeight="1">
      <x:c r="A391" s="34" t="n">
        <x:v>46273</x:v>
      </x:c>
      <x:c r="B391" s="98" t="str">
        <x:v>Final Revision</x:v>
      </x:c>
      <x:c r="C391" s="98" t="n">
        <x:v>3</x:v>
      </x:c>
      <x:c r="D391" s="98" t="n">
        <x:v>29</x:v>
      </x:c>
      <x:c r="E391" s="98" t="n">
        <x:v>27</x:v>
      </x:c>
      <x:c r="F391" s="99" t="str">
        <x:v>Verilog Language → Procedures</x:v>
      </x:c>
      <x:c r="G391" s="99" t="str">
        <x:v>Always blocks (combinational)</x:v>
      </x:c>
      <x:c r="H391" s="99" t="str">
        <x:v>Mastery check: solve and explain without notes.</x:v>
      </x:c>
      <x:c r="I391" s="98" t="str">
        <x:v>Not Started</x:v>
      </x:c>
      <x:c r="J391" s="98"/>
      <x:c r="K391" s="98" t="str">
        <x:v>None</x:v>
      </x:c>
      <x:c r="L391" s="99"/>
      <x:c r="M391" s="99"/>
      <x:c r="N391" s="99"/>
    </x:row>
    <x:row r="392" ht="34.5" customHeight="1">
      <x:c r="A392" s="34" t="n">
        <x:v>46273</x:v>
      </x:c>
      <x:c r="B392" s="98" t="str">
        <x:v>Final Revision</x:v>
      </x:c>
      <x:c r="C392" s="98" t="n">
        <x:v>3</x:v>
      </x:c>
      <x:c r="D392" s="98" t="n">
        <x:v>30</x:v>
      </x:c>
      <x:c r="E392" s="98" t="n">
        <x:v>28</x:v>
      </x:c>
      <x:c r="F392" s="99" t="str">
        <x:v>Verilog Language → Procedures</x:v>
      </x:c>
      <x:c r="G392" s="99" t="str">
        <x:v>Always blocks (clocked)</x:v>
      </x:c>
      <x:c r="H392" s="99" t="str">
        <x:v>Mastery check: solve and explain without notes.</x:v>
      </x:c>
      <x:c r="I392" s="98" t="str">
        <x:v>Not Started</x:v>
      </x:c>
      <x:c r="J392" s="98"/>
      <x:c r="K392" s="98" t="str">
        <x:v>None</x:v>
      </x:c>
      <x:c r="L392" s="99"/>
      <x:c r="M392" s="99"/>
      <x:c r="N392" s="99"/>
    </x:row>
    <x:row r="393" ht="34.5" customHeight="1">
      <x:c r="A393" s="34" t="n">
        <x:v>46274</x:v>
      </x:c>
      <x:c r="B393" s="98" t="str">
        <x:v>Final Revision</x:v>
      </x:c>
      <x:c r="C393" s="98" t="n">
        <x:v>4</x:v>
      </x:c>
      <x:c r="D393" s="98" t="n">
        <x:v>31</x:v>
      </x:c>
      <x:c r="E393" s="98" t="n">
        <x:v>29</x:v>
      </x:c>
      <x:c r="F393" s="99" t="str">
        <x:v>Verilog Language → Procedures</x:v>
      </x:c>
      <x:c r="G393" s="99" t="str">
        <x:v>If statement</x:v>
      </x:c>
      <x:c r="H393" s="99" t="str">
        <x:v>Mastery check: solve and explain without notes.</x:v>
      </x:c>
      <x:c r="I393" s="98" t="str">
        <x:v>Not Started</x:v>
      </x:c>
      <x:c r="J393" s="98"/>
      <x:c r="K393" s="98" t="str">
        <x:v>None</x:v>
      </x:c>
      <x:c r="L393" s="99"/>
      <x:c r="M393" s="99"/>
      <x:c r="N393" s="99"/>
    </x:row>
    <x:row r="394" ht="34.5" customHeight="1">
      <x:c r="A394" s="34" t="n">
        <x:v>46274</x:v>
      </x:c>
      <x:c r="B394" s="98" t="str">
        <x:v>Final Revision</x:v>
      </x:c>
      <x:c r="C394" s="98" t="n">
        <x:v>4</x:v>
      </x:c>
      <x:c r="D394" s="98" t="n">
        <x:v>32</x:v>
      </x:c>
      <x:c r="E394" s="98" t="n">
        <x:v>30</x:v>
      </x:c>
      <x:c r="F394" s="99" t="str">
        <x:v>Verilog Language → Procedures</x:v>
      </x:c>
      <x:c r="G394" s="99" t="str">
        <x:v>If statement latches</x:v>
      </x:c>
      <x:c r="H394" s="99" t="str">
        <x:v>Mastery check: solve and explain without notes.</x:v>
      </x:c>
      <x:c r="I394" s="98" t="str">
        <x:v>Not Started</x:v>
      </x:c>
      <x:c r="J394" s="98"/>
      <x:c r="K394" s="98" t="str">
        <x:v>None</x:v>
      </x:c>
      <x:c r="L394" s="99"/>
      <x:c r="M394" s="99"/>
      <x:c r="N394" s="99"/>
    </x:row>
    <x:row r="395" ht="34.5" customHeight="1">
      <x:c r="A395" s="34" t="n">
        <x:v>46274</x:v>
      </x:c>
      <x:c r="B395" s="98" t="str">
        <x:v>Final Revision</x:v>
      </x:c>
      <x:c r="C395" s="98" t="n">
        <x:v>4</x:v>
      </x:c>
      <x:c r="D395" s="98" t="n">
        <x:v>33</x:v>
      </x:c>
      <x:c r="E395" s="98" t="n">
        <x:v>31</x:v>
      </x:c>
      <x:c r="F395" s="99" t="str">
        <x:v>Verilog Language → Procedures</x:v>
      </x:c>
      <x:c r="G395" s="99" t="str">
        <x:v>Case statement</x:v>
      </x:c>
      <x:c r="H395" s="99" t="str">
        <x:v>Mastery check: solve and explain without notes.</x:v>
      </x:c>
      <x:c r="I395" s="98" t="str">
        <x:v>Not Started</x:v>
      </x:c>
      <x:c r="J395" s="98"/>
      <x:c r="K395" s="98" t="str">
        <x:v>None</x:v>
      </x:c>
      <x:c r="L395" s="99"/>
      <x:c r="M395" s="99"/>
      <x:c r="N395" s="99"/>
    </x:row>
    <x:row r="396" ht="34.5" customHeight="1">
      <x:c r="A396" s="34" t="n">
        <x:v>46274</x:v>
      </x:c>
      <x:c r="B396" s="98" t="str">
        <x:v>Final Revision</x:v>
      </x:c>
      <x:c r="C396" s="98" t="n">
        <x:v>4</x:v>
      </x:c>
      <x:c r="D396" s="98" t="n">
        <x:v>34</x:v>
      </x:c>
      <x:c r="E396" s="98" t="n">
        <x:v>32</x:v>
      </x:c>
      <x:c r="F396" s="99" t="str">
        <x:v>Verilog Language → Procedures</x:v>
      </x:c>
      <x:c r="G396" s="99" t="str">
        <x:v>Priority encoder</x:v>
      </x:c>
      <x:c r="H396" s="99" t="str">
        <x:v>Mastery check: solve and explain without notes.</x:v>
      </x:c>
      <x:c r="I396" s="98" t="str">
        <x:v>Not Started</x:v>
      </x:c>
      <x:c r="J396" s="98"/>
      <x:c r="K396" s="98" t="str">
        <x:v>None</x:v>
      </x:c>
      <x:c r="L396" s="99"/>
      <x:c r="M396" s="99"/>
      <x:c r="N396" s="99"/>
    </x:row>
    <x:row r="397" ht="34.5" customHeight="1">
      <x:c r="A397" s="34" t="n">
        <x:v>46274</x:v>
      </x:c>
      <x:c r="B397" s="98" t="str">
        <x:v>Final Revision</x:v>
      </x:c>
      <x:c r="C397" s="98" t="n">
        <x:v>4</x:v>
      </x:c>
      <x:c r="D397" s="98" t="n">
        <x:v>35</x:v>
      </x:c>
      <x:c r="E397" s="98" t="n">
        <x:v>33</x:v>
      </x:c>
      <x:c r="F397" s="99" t="str">
        <x:v>Verilog Language → Procedures</x:v>
      </x:c>
      <x:c r="G397" s="99" t="str">
        <x:v>Priority encoder with casez</x:v>
      </x:c>
      <x:c r="H397" s="99" t="str">
        <x:v>Mastery check: solve and explain without notes.</x:v>
      </x:c>
      <x:c r="I397" s="98" t="str">
        <x:v>Not Started</x:v>
      </x:c>
      <x:c r="J397" s="98"/>
      <x:c r="K397" s="98" t="str">
        <x:v>None</x:v>
      </x:c>
      <x:c r="L397" s="99"/>
      <x:c r="M397" s="99"/>
      <x:c r="N397" s="99"/>
    </x:row>
    <x:row r="398" ht="34.5" customHeight="1">
      <x:c r="A398" s="34" t="n">
        <x:v>46274</x:v>
      </x:c>
      <x:c r="B398" s="98" t="str">
        <x:v>Final Revision</x:v>
      </x:c>
      <x:c r="C398" s="98" t="n">
        <x:v>4</x:v>
      </x:c>
      <x:c r="D398" s="98" t="n">
        <x:v>36</x:v>
      </x:c>
      <x:c r="E398" s="98" t="n">
        <x:v>34</x:v>
      </x:c>
      <x:c r="F398" s="99" t="str">
        <x:v>Verilog Language → Procedures</x:v>
      </x:c>
      <x:c r="G398" s="99" t="str">
        <x:v>Avoiding latches</x:v>
      </x:c>
      <x:c r="H398" s="99" t="str">
        <x:v>Mastery check: solve and explain without notes.</x:v>
      </x:c>
      <x:c r="I398" s="98" t="str">
        <x:v>Not Started</x:v>
      </x:c>
      <x:c r="J398" s="98"/>
      <x:c r="K398" s="98" t="str">
        <x:v>None</x:v>
      </x:c>
      <x:c r="L398" s="99"/>
      <x:c r="M398" s="99"/>
      <x:c r="N398" s="99"/>
    </x:row>
    <x:row r="399" ht="34.5" customHeight="1">
      <x:c r="A399" s="34" t="n">
        <x:v>46274</x:v>
      </x:c>
      <x:c r="B399" s="98" t="str">
        <x:v>Final Revision</x:v>
      </x:c>
      <x:c r="C399" s="98" t="n">
        <x:v>4</x:v>
      </x:c>
      <x:c r="D399" s="98" t="n">
        <x:v>37</x:v>
      </x:c>
      <x:c r="E399" s="98" t="n">
        <x:v>35</x:v>
      </x:c>
      <x:c r="F399" s="99" t="str">
        <x:v>Verilog Language → More Verilog Features</x:v>
      </x:c>
      <x:c r="G399" s="99" t="str">
        <x:v>Conditional ternary operator</x:v>
      </x:c>
      <x:c r="H399" s="99" t="str">
        <x:v>Mastery check: solve and explain without notes.</x:v>
      </x:c>
      <x:c r="I399" s="98" t="str">
        <x:v>Not Started</x:v>
      </x:c>
      <x:c r="J399" s="98"/>
      <x:c r="K399" s="98" t="str">
        <x:v>None</x:v>
      </x:c>
      <x:c r="L399" s="99"/>
      <x:c r="M399" s="99"/>
      <x:c r="N399" s="99"/>
    </x:row>
    <x:row r="400" ht="34.5" customHeight="1">
      <x:c r="A400" s="34" t="n">
        <x:v>46274</x:v>
      </x:c>
      <x:c r="B400" s="98" t="str">
        <x:v>Final Revision</x:v>
      </x:c>
      <x:c r="C400" s="98" t="n">
        <x:v>4</x:v>
      </x:c>
      <x:c r="D400" s="98" t="n">
        <x:v>38</x:v>
      </x:c>
      <x:c r="E400" s="98" t="n">
        <x:v>36</x:v>
      </x:c>
      <x:c r="F400" s="99" t="str">
        <x:v>Verilog Language → More Verilog Features</x:v>
      </x:c>
      <x:c r="G400" s="99" t="str">
        <x:v>Reduction operators</x:v>
      </x:c>
      <x:c r="H400" s="99" t="str">
        <x:v>Mastery check: solve and explain without notes.</x:v>
      </x:c>
      <x:c r="I400" s="98" t="str">
        <x:v>Not Started</x:v>
      </x:c>
      <x:c r="J400" s="98"/>
      <x:c r="K400" s="98" t="str">
        <x:v>None</x:v>
      </x:c>
      <x:c r="L400" s="99"/>
      <x:c r="M400" s="99"/>
      <x:c r="N400" s="99"/>
    </x:row>
    <x:row r="401" ht="34.5" customHeight="1">
      <x:c r="A401" s="34" t="n">
        <x:v>46274</x:v>
      </x:c>
      <x:c r="B401" s="98" t="str">
        <x:v>Final Revision</x:v>
      </x:c>
      <x:c r="C401" s="98" t="n">
        <x:v>4</x:v>
      </x:c>
      <x:c r="D401" s="98" t="n">
        <x:v>39</x:v>
      </x:c>
      <x:c r="E401" s="98" t="n">
        <x:v>37</x:v>
      </x:c>
      <x:c r="F401" s="99" t="str">
        <x:v>Verilog Language → More Verilog Features</x:v>
      </x:c>
      <x:c r="G401" s="99" t="str">
        <x:v>Reduction: Even wider gates</x:v>
      </x:c>
      <x:c r="H401" s="99" t="str">
        <x:v>Mastery check: solve and explain without notes.</x:v>
      </x:c>
      <x:c r="I401" s="98" t="str">
        <x:v>Not Started</x:v>
      </x:c>
      <x:c r="J401" s="98"/>
      <x:c r="K401" s="98" t="str">
        <x:v>None</x:v>
      </x:c>
      <x:c r="L401" s="99"/>
      <x:c r="M401" s="99"/>
      <x:c r="N401" s="99"/>
    </x:row>
    <x:row r="402" ht="34.5" customHeight="1">
      <x:c r="A402" s="34" t="n">
        <x:v>46274</x:v>
      </x:c>
      <x:c r="B402" s="98" t="str">
        <x:v>Final Revision</x:v>
      </x:c>
      <x:c r="C402" s="98" t="n">
        <x:v>4</x:v>
      </x:c>
      <x:c r="D402" s="98" t="n">
        <x:v>40</x:v>
      </x:c>
      <x:c r="E402" s="98" t="n">
        <x:v>38</x:v>
      </x:c>
      <x:c r="F402" s="99" t="str">
        <x:v>Verilog Language → More Verilog Features</x:v>
      </x:c>
      <x:c r="G402" s="99" t="str">
        <x:v>Combinational for-loop: Vector reversal 2</x:v>
      </x:c>
      <x:c r="H402" s="99" t="str">
        <x:v>Mastery check: solve and explain without notes.</x:v>
      </x:c>
      <x:c r="I402" s="98" t="str">
        <x:v>Not Started</x:v>
      </x:c>
      <x:c r="J402" s="98"/>
      <x:c r="K402" s="98" t="str">
        <x:v>None</x:v>
      </x:c>
      <x:c r="L402" s="99"/>
      <x:c r="M402" s="99"/>
      <x:c r="N402" s="99"/>
    </x:row>
    <x:row r="403" ht="34.5" customHeight="1">
      <x:c r="A403" s="34" t="n">
        <x:v>46275</x:v>
      </x:c>
      <x:c r="B403" s="98" t="str">
        <x:v>Final Revision</x:v>
      </x:c>
      <x:c r="C403" s="98" t="n">
        <x:v>5</x:v>
      </x:c>
      <x:c r="D403" s="98" t="n">
        <x:v>41</x:v>
      </x:c>
      <x:c r="E403" s="98" t="n">
        <x:v>39</x:v>
      </x:c>
      <x:c r="F403" s="99" t="str">
        <x:v>Verilog Language → More Verilog Features</x:v>
      </x:c>
      <x:c r="G403" s="99" t="str">
        <x:v>Combinational for-loop: 255-bit population count</x:v>
      </x:c>
      <x:c r="H403" s="99" t="str">
        <x:v>Mastery check: solve and explain without notes.</x:v>
      </x:c>
      <x:c r="I403" s="98" t="str">
        <x:v>Not Started</x:v>
      </x:c>
      <x:c r="J403" s="98"/>
      <x:c r="K403" s="98" t="str">
        <x:v>None</x:v>
      </x:c>
      <x:c r="L403" s="99"/>
      <x:c r="M403" s="99"/>
      <x:c r="N403" s="99"/>
    </x:row>
    <x:row r="404" ht="34.5" customHeight="1">
      <x:c r="A404" s="34" t="n">
        <x:v>46275</x:v>
      </x:c>
      <x:c r="B404" s="98" t="str">
        <x:v>Final Revision</x:v>
      </x:c>
      <x:c r="C404" s="98" t="n">
        <x:v>5</x:v>
      </x:c>
      <x:c r="D404" s="98" t="n">
        <x:v>42</x:v>
      </x:c>
      <x:c r="E404" s="98" t="n">
        <x:v>40</x:v>
      </x:c>
      <x:c r="F404" s="99" t="str">
        <x:v>Verilog Language → More Verilog Features</x:v>
      </x:c>
      <x:c r="G404" s="99" t="str">
        <x:v>Generate for-loop: 100-bit binary adder 2</x:v>
      </x:c>
      <x:c r="H404" s="99" t="str">
        <x:v>Mastery check: solve and explain without notes.</x:v>
      </x:c>
      <x:c r="I404" s="98" t="str">
        <x:v>Not Started</x:v>
      </x:c>
      <x:c r="J404" s="98"/>
      <x:c r="K404" s="98" t="str">
        <x:v>None</x:v>
      </x:c>
      <x:c r="L404" s="99"/>
      <x:c r="M404" s="99"/>
      <x:c r="N404" s="99"/>
    </x:row>
    <x:row r="405" ht="34.5" customHeight="1">
      <x:c r="A405" s="34" t="n">
        <x:v>46275</x:v>
      </x:c>
      <x:c r="B405" s="98" t="str">
        <x:v>Final Revision</x:v>
      </x:c>
      <x:c r="C405" s="98" t="n">
        <x:v>5</x:v>
      </x:c>
      <x:c r="D405" s="98" t="n">
        <x:v>43</x:v>
      </x:c>
      <x:c r="E405" s="98" t="n">
        <x:v>41</x:v>
      </x:c>
      <x:c r="F405" s="99" t="str">
        <x:v>Verilog Language → More Verilog Features</x:v>
      </x:c>
      <x:c r="G405" s="99" t="str">
        <x:v>Generate for-loop: 100-digit BCD adder</x:v>
      </x:c>
      <x:c r="H405" s="99" t="str">
        <x:v>Mastery check: solve and explain without notes.</x:v>
      </x:c>
      <x:c r="I405" s="98" t="str">
        <x:v>Not Started</x:v>
      </x:c>
      <x:c r="J405" s="98"/>
      <x:c r="K405" s="98" t="str">
        <x:v>None</x:v>
      </x:c>
      <x:c r="L405" s="99"/>
      <x:c r="M405" s="99"/>
      <x:c r="N405" s="99"/>
    </x:row>
    <x:row r="406" ht="34.5" customHeight="1">
      <x:c r="A406" s="34" t="n">
        <x:v>46275</x:v>
      </x:c>
      <x:c r="B406" s="98" t="str">
        <x:v>Final Revision</x:v>
      </x:c>
      <x:c r="C406" s="98" t="n">
        <x:v>5</x:v>
      </x:c>
      <x:c r="D406" s="98" t="n">
        <x:v>44</x:v>
      </x:c>
      <x:c r="E406" s="98" t="n">
        <x:v>42</x:v>
      </x:c>
      <x:c r="F406" s="99" t="str">
        <x:v>Circuits → Combinational Logic → Basic Gates</x:v>
      </x:c>
      <x:c r="G406" s="99" t="str">
        <x:v>Wire</x:v>
      </x:c>
      <x:c r="H406" s="99" t="str">
        <x:v>Mastery check: solve and explain without notes.</x:v>
      </x:c>
      <x:c r="I406" s="98" t="str">
        <x:v>Not Started</x:v>
      </x:c>
      <x:c r="J406" s="98"/>
      <x:c r="K406" s="98" t="str">
        <x:v>None</x:v>
      </x:c>
      <x:c r="L406" s="99"/>
      <x:c r="M406" s="99"/>
      <x:c r="N406" s="99"/>
    </x:row>
    <x:row r="407" ht="34.5" customHeight="1">
      <x:c r="A407" s="34" t="n">
        <x:v>46275</x:v>
      </x:c>
      <x:c r="B407" s="98" t="str">
        <x:v>Final Revision</x:v>
      </x:c>
      <x:c r="C407" s="98" t="n">
        <x:v>5</x:v>
      </x:c>
      <x:c r="D407" s="98" t="n">
        <x:v>45</x:v>
      </x:c>
      <x:c r="E407" s="98" t="n">
        <x:v>43</x:v>
      </x:c>
      <x:c r="F407" s="99" t="str">
        <x:v>Circuits → Combinational Logic → Basic Gates</x:v>
      </x:c>
      <x:c r="G407" s="99" t="str">
        <x:v>GND</x:v>
      </x:c>
      <x:c r="H407" s="99" t="str">
        <x:v>Mastery check: solve and explain without notes.</x:v>
      </x:c>
      <x:c r="I407" s="98" t="str">
        <x:v>Not Started</x:v>
      </x:c>
      <x:c r="J407" s="98"/>
      <x:c r="K407" s="98" t="str">
        <x:v>None</x:v>
      </x:c>
      <x:c r="L407" s="99"/>
      <x:c r="M407" s="99"/>
      <x:c r="N407" s="99"/>
    </x:row>
    <x:row r="408" ht="34.5" customHeight="1">
      <x:c r="A408" s="34" t="n">
        <x:v>46275</x:v>
      </x:c>
      <x:c r="B408" s="98" t="str">
        <x:v>Final Revision</x:v>
      </x:c>
      <x:c r="C408" s="98" t="n">
        <x:v>5</x:v>
      </x:c>
      <x:c r="D408" s="98" t="n">
        <x:v>46</x:v>
      </x:c>
      <x:c r="E408" s="98" t="n">
        <x:v>44</x:v>
      </x:c>
      <x:c r="F408" s="99" t="str">
        <x:v>Circuits → Combinational Logic → Basic Gates</x:v>
      </x:c>
      <x:c r="G408" s="99" t="str">
        <x:v>NOR</x:v>
      </x:c>
      <x:c r="H408" s="99" t="str">
        <x:v>Mastery check: solve and explain without notes.</x:v>
      </x:c>
      <x:c r="I408" s="98" t="str">
        <x:v>Not Started</x:v>
      </x:c>
      <x:c r="J408" s="98"/>
      <x:c r="K408" s="98" t="str">
        <x:v>None</x:v>
      </x:c>
      <x:c r="L408" s="99"/>
      <x:c r="M408" s="99"/>
      <x:c r="N408" s="99"/>
    </x:row>
    <x:row r="409" ht="34.5" customHeight="1">
      <x:c r="A409" s="34" t="n">
        <x:v>46275</x:v>
      </x:c>
      <x:c r="B409" s="98" t="str">
        <x:v>Final Revision</x:v>
      </x:c>
      <x:c r="C409" s="98" t="n">
        <x:v>5</x:v>
      </x:c>
      <x:c r="D409" s="98" t="n">
        <x:v>47</x:v>
      </x:c>
      <x:c r="E409" s="98" t="n">
        <x:v>45</x:v>
      </x:c>
      <x:c r="F409" s="99" t="str">
        <x:v>Circuits → Combinational Logic → Basic Gates</x:v>
      </x:c>
      <x:c r="G409" s="99" t="str">
        <x:v>Another gate</x:v>
      </x:c>
      <x:c r="H409" s="99" t="str">
        <x:v>Mastery check: solve and explain without notes.</x:v>
      </x:c>
      <x:c r="I409" s="98" t="str">
        <x:v>Not Started</x:v>
      </x:c>
      <x:c r="J409" s="98"/>
      <x:c r="K409" s="98" t="str">
        <x:v>None</x:v>
      </x:c>
      <x:c r="L409" s="99"/>
      <x:c r="M409" s="99"/>
      <x:c r="N409" s="99"/>
    </x:row>
    <x:row r="410" ht="34.5" customHeight="1">
      <x:c r="A410" s="34" t="n">
        <x:v>46275</x:v>
      </x:c>
      <x:c r="B410" s="98" t="str">
        <x:v>Final Revision</x:v>
      </x:c>
      <x:c r="C410" s="98" t="n">
        <x:v>5</x:v>
      </x:c>
      <x:c r="D410" s="98" t="n">
        <x:v>48</x:v>
      </x:c>
      <x:c r="E410" s="98" t="n">
        <x:v>46</x:v>
      </x:c>
      <x:c r="F410" s="99" t="str">
        <x:v>Circuits → Combinational Logic → Basic Gates</x:v>
      </x:c>
      <x:c r="G410" s="99" t="str">
        <x:v>Two gates</x:v>
      </x:c>
      <x:c r="H410" s="99" t="str">
        <x:v>Mastery check: solve and explain without notes.</x:v>
      </x:c>
      <x:c r="I410" s="98" t="str">
        <x:v>Not Started</x:v>
      </x:c>
      <x:c r="J410" s="98"/>
      <x:c r="K410" s="98" t="str">
        <x:v>None</x:v>
      </x:c>
      <x:c r="L410" s="99"/>
      <x:c r="M410" s="99"/>
      <x:c r="N410" s="99"/>
    </x:row>
    <x:row r="411" ht="34.5" customHeight="1">
      <x:c r="A411" s="34" t="n">
        <x:v>46275</x:v>
      </x:c>
      <x:c r="B411" s="98" t="str">
        <x:v>Final Revision</x:v>
      </x:c>
      <x:c r="C411" s="98" t="n">
        <x:v>5</x:v>
      </x:c>
      <x:c r="D411" s="98" t="n">
        <x:v>49</x:v>
      </x:c>
      <x:c r="E411" s="98" t="n">
        <x:v>47</x:v>
      </x:c>
      <x:c r="F411" s="99" t="str">
        <x:v>Circuits → Combinational Logic → Basic Gates</x:v>
      </x:c>
      <x:c r="G411" s="99" t="str">
        <x:v>More logic gates</x:v>
      </x:c>
      <x:c r="H411" s="99" t="str">
        <x:v>Mastery check: solve and explain without notes.</x:v>
      </x:c>
      <x:c r="I411" s="98" t="str">
        <x:v>Not Started</x:v>
      </x:c>
      <x:c r="J411" s="98"/>
      <x:c r="K411" s="98" t="str">
        <x:v>None</x:v>
      </x:c>
      <x:c r="L411" s="99"/>
      <x:c r="M411" s="99"/>
      <x:c r="N411" s="99"/>
    </x:row>
    <x:row r="412" ht="34.5" customHeight="1">
      <x:c r="A412" s="34" t="n">
        <x:v>46275</x:v>
      </x:c>
      <x:c r="B412" s="98" t="str">
        <x:v>Final Revision</x:v>
      </x:c>
      <x:c r="C412" s="98" t="n">
        <x:v>5</x:v>
      </x:c>
      <x:c r="D412" s="98" t="n">
        <x:v>50</x:v>
      </x:c>
      <x:c r="E412" s="98" t="n">
        <x:v>48</x:v>
      </x:c>
      <x:c r="F412" s="99" t="str">
        <x:v>Circuits → Combinational Logic → Basic Gates</x:v>
      </x:c>
      <x:c r="G412" s="99" t="str">
        <x:v>7420 chip</x:v>
      </x:c>
      <x:c r="H412" s="99" t="str">
        <x:v>Mastery check: solve and explain without notes.</x:v>
      </x:c>
      <x:c r="I412" s="98" t="str">
        <x:v>Not Started</x:v>
      </x:c>
      <x:c r="J412" s="98"/>
      <x:c r="K412" s="98" t="str">
        <x:v>None</x:v>
      </x:c>
      <x:c r="L412" s="99"/>
      <x:c r="M412" s="99"/>
      <x:c r="N412" s="99"/>
    </x:row>
    <x:row r="413" ht="34.5" customHeight="1">
      <x:c r="A413" s="34" t="n">
        <x:v>46276</x:v>
      </x:c>
      <x:c r="B413" s="98" t="str">
        <x:v>Final Revision</x:v>
      </x:c>
      <x:c r="C413" s="98" t="n">
        <x:v>6</x:v>
      </x:c>
      <x:c r="D413" s="98" t="n">
        <x:v>51</x:v>
      </x:c>
      <x:c r="E413" s="98" t="n">
        <x:v>49</x:v>
      </x:c>
      <x:c r="F413" s="99" t="str">
        <x:v>Circuits → Combinational Logic → Basic Gates</x:v>
      </x:c>
      <x:c r="G413" s="99" t="str">
        <x:v>Truth tables</x:v>
      </x:c>
      <x:c r="H413" s="99" t="str">
        <x:v>Mastery check: solve and explain without notes.</x:v>
      </x:c>
      <x:c r="I413" s="98" t="str">
        <x:v>Not Started</x:v>
      </x:c>
      <x:c r="J413" s="98"/>
      <x:c r="K413" s="98" t="str">
        <x:v>None</x:v>
      </x:c>
      <x:c r="L413" s="99"/>
      <x:c r="M413" s="99"/>
      <x:c r="N413" s="99"/>
    </x:row>
    <x:row r="414" ht="34.5" customHeight="1">
      <x:c r="A414" s="34" t="n">
        <x:v>46276</x:v>
      </x:c>
      <x:c r="B414" s="98" t="str">
        <x:v>Final Revision</x:v>
      </x:c>
      <x:c r="C414" s="98" t="n">
        <x:v>6</x:v>
      </x:c>
      <x:c r="D414" s="98" t="n">
        <x:v>52</x:v>
      </x:c>
      <x:c r="E414" s="98" t="n">
        <x:v>50</x:v>
      </x:c>
      <x:c r="F414" s="99" t="str">
        <x:v>Circuits → Combinational Logic → Basic Gates</x:v>
      </x:c>
      <x:c r="G414" s="99" t="str">
        <x:v>Two-bit equality</x:v>
      </x:c>
      <x:c r="H414" s="99" t="str">
        <x:v>Mastery check: solve and explain without notes.</x:v>
      </x:c>
      <x:c r="I414" s="98" t="str">
        <x:v>Not Started</x:v>
      </x:c>
      <x:c r="J414" s="98"/>
      <x:c r="K414" s="98" t="str">
        <x:v>None</x:v>
      </x:c>
      <x:c r="L414" s="99"/>
      <x:c r="M414" s="99"/>
      <x:c r="N414" s="99"/>
    </x:row>
    <x:row r="415" ht="34.5" customHeight="1">
      <x:c r="A415" s="34" t="n">
        <x:v>46276</x:v>
      </x:c>
      <x:c r="B415" s="98" t="str">
        <x:v>Final Revision</x:v>
      </x:c>
      <x:c r="C415" s="98" t="n">
        <x:v>6</x:v>
      </x:c>
      <x:c r="D415" s="98" t="n">
        <x:v>53</x:v>
      </x:c>
      <x:c r="E415" s="98" t="n">
        <x:v>51</x:v>
      </x:c>
      <x:c r="F415" s="99" t="str">
        <x:v>Circuits → Combinational Logic → Basic Gates</x:v>
      </x:c>
      <x:c r="G415" s="99" t="str">
        <x:v>Simple circuit A</x:v>
      </x:c>
      <x:c r="H415" s="99" t="str">
        <x:v>Mastery check: solve and explain without notes.</x:v>
      </x:c>
      <x:c r="I415" s="98" t="str">
        <x:v>Not Started</x:v>
      </x:c>
      <x:c r="J415" s="98"/>
      <x:c r="K415" s="98" t="str">
        <x:v>None</x:v>
      </x:c>
      <x:c r="L415" s="99"/>
      <x:c r="M415" s="99"/>
      <x:c r="N415" s="99"/>
    </x:row>
    <x:row r="416" ht="34.5" customHeight="1">
      <x:c r="A416" s="34" t="n">
        <x:v>46276</x:v>
      </x:c>
      <x:c r="B416" s="98" t="str">
        <x:v>Final Revision</x:v>
      </x:c>
      <x:c r="C416" s="98" t="n">
        <x:v>6</x:v>
      </x:c>
      <x:c r="D416" s="98" t="n">
        <x:v>54</x:v>
      </x:c>
      <x:c r="E416" s="98" t="n">
        <x:v>52</x:v>
      </x:c>
      <x:c r="F416" s="99" t="str">
        <x:v>Circuits → Combinational Logic → Basic Gates</x:v>
      </x:c>
      <x:c r="G416" s="99" t="str">
        <x:v>Simple circuit B</x:v>
      </x:c>
      <x:c r="H416" s="99" t="str">
        <x:v>Mastery check: solve and explain without notes.</x:v>
      </x:c>
      <x:c r="I416" s="98" t="str">
        <x:v>Not Started</x:v>
      </x:c>
      <x:c r="J416" s="98"/>
      <x:c r="K416" s="98" t="str">
        <x:v>None</x:v>
      </x:c>
      <x:c r="L416" s="99"/>
      <x:c r="M416" s="99"/>
      <x:c r="N416" s="99"/>
    </x:row>
    <x:row r="417" ht="34.5" customHeight="1">
      <x:c r="A417" s="34" t="n">
        <x:v>46276</x:v>
      </x:c>
      <x:c r="B417" s="98" t="str">
        <x:v>Final Revision</x:v>
      </x:c>
      <x:c r="C417" s="98" t="n">
        <x:v>6</x:v>
      </x:c>
      <x:c r="D417" s="98" t="n">
        <x:v>55</x:v>
      </x:c>
      <x:c r="E417" s="98" t="n">
        <x:v>53</x:v>
      </x:c>
      <x:c r="F417" s="99" t="str">
        <x:v>Circuits → Combinational Logic → Basic Gates</x:v>
      </x:c>
      <x:c r="G417" s="99" t="str">
        <x:v>Combine circuits A and B</x:v>
      </x:c>
      <x:c r="H417" s="99" t="str">
        <x:v>Mastery check: solve and explain without notes.</x:v>
      </x:c>
      <x:c r="I417" s="98" t="str">
        <x:v>Not Started</x:v>
      </x:c>
      <x:c r="J417" s="98"/>
      <x:c r="K417" s="98" t="str">
        <x:v>None</x:v>
      </x:c>
      <x:c r="L417" s="99"/>
      <x:c r="M417" s="99"/>
      <x:c r="N417" s="99"/>
    </x:row>
    <x:row r="418" ht="34.5" customHeight="1">
      <x:c r="A418" s="34" t="n">
        <x:v>46276</x:v>
      </x:c>
      <x:c r="B418" s="98" t="str">
        <x:v>Final Revision</x:v>
      </x:c>
      <x:c r="C418" s="98" t="n">
        <x:v>6</x:v>
      </x:c>
      <x:c r="D418" s="98" t="n">
        <x:v>56</x:v>
      </x:c>
      <x:c r="E418" s="98" t="n">
        <x:v>54</x:v>
      </x:c>
      <x:c r="F418" s="99" t="str">
        <x:v>Circuits → Combinational Logic → Basic Gates</x:v>
      </x:c>
      <x:c r="G418" s="99" t="str">
        <x:v>Ring or vibrate?</x:v>
      </x:c>
      <x:c r="H418" s="99" t="str">
        <x:v>Mastery check: solve and explain without notes.</x:v>
      </x:c>
      <x:c r="I418" s="98" t="str">
        <x:v>Not Started</x:v>
      </x:c>
      <x:c r="J418" s="98"/>
      <x:c r="K418" s="98" t="str">
        <x:v>None</x:v>
      </x:c>
      <x:c r="L418" s="99"/>
      <x:c r="M418" s="99"/>
      <x:c r="N418" s="99"/>
    </x:row>
    <x:row r="419" ht="34.5" customHeight="1">
      <x:c r="A419" s="34" t="n">
        <x:v>46276</x:v>
      </x:c>
      <x:c r="B419" s="98" t="str">
        <x:v>Final Revision</x:v>
      </x:c>
      <x:c r="C419" s="98" t="n">
        <x:v>6</x:v>
      </x:c>
      <x:c r="D419" s="98" t="n">
        <x:v>57</x:v>
      </x:c>
      <x:c r="E419" s="98" t="n">
        <x:v>55</x:v>
      </x:c>
      <x:c r="F419" s="99" t="str">
        <x:v>Circuits → Combinational Logic → Basic Gates</x:v>
      </x:c>
      <x:c r="G419" s="99" t="str">
        <x:v>Thermostat</x:v>
      </x:c>
      <x:c r="H419" s="99" t="str">
        <x:v>Mastery check: solve and explain without notes.</x:v>
      </x:c>
      <x:c r="I419" s="98" t="str">
        <x:v>Not Started</x:v>
      </x:c>
      <x:c r="J419" s="98"/>
      <x:c r="K419" s="98" t="str">
        <x:v>None</x:v>
      </x:c>
      <x:c r="L419" s="99"/>
      <x:c r="M419" s="99"/>
      <x:c r="N419" s="99"/>
    </x:row>
    <x:row r="420" ht="34.5" customHeight="1">
      <x:c r="A420" s="34" t="n">
        <x:v>46276</x:v>
      </x:c>
      <x:c r="B420" s="98" t="str">
        <x:v>Final Revision</x:v>
      </x:c>
      <x:c r="C420" s="98" t="n">
        <x:v>6</x:v>
      </x:c>
      <x:c r="D420" s="98" t="n">
        <x:v>58</x:v>
      </x:c>
      <x:c r="E420" s="98" t="n">
        <x:v>56</x:v>
      </x:c>
      <x:c r="F420" s="99" t="str">
        <x:v>Circuits → Combinational Logic → Basic Gates</x:v>
      </x:c>
      <x:c r="G420" s="99" t="str">
        <x:v>3-bit population count</x:v>
      </x:c>
      <x:c r="H420" s="99" t="str">
        <x:v>Mastery check: solve and explain without notes.</x:v>
      </x:c>
      <x:c r="I420" s="98" t="str">
        <x:v>Not Started</x:v>
      </x:c>
      <x:c r="J420" s="98"/>
      <x:c r="K420" s="98" t="str">
        <x:v>None</x:v>
      </x:c>
      <x:c r="L420" s="99"/>
      <x:c r="M420" s="99"/>
      <x:c r="N420" s="99"/>
    </x:row>
    <x:row r="421" ht="34.5" customHeight="1">
      <x:c r="A421" s="34" t="n">
        <x:v>46276</x:v>
      </x:c>
      <x:c r="B421" s="98" t="str">
        <x:v>Final Revision</x:v>
      </x:c>
      <x:c r="C421" s="98" t="n">
        <x:v>6</x:v>
      </x:c>
      <x:c r="D421" s="98" t="n">
        <x:v>59</x:v>
      </x:c>
      <x:c r="E421" s="98" t="n">
        <x:v>57</x:v>
      </x:c>
      <x:c r="F421" s="99" t="str">
        <x:v>Circuits → Combinational Logic → Basic Gates</x:v>
      </x:c>
      <x:c r="G421" s="99" t="str">
        <x:v>Gates and vectors</x:v>
      </x:c>
      <x:c r="H421" s="99" t="str">
        <x:v>Mastery check: solve and explain without notes.</x:v>
      </x:c>
      <x:c r="I421" s="98" t="str">
        <x:v>Not Started</x:v>
      </x:c>
      <x:c r="J421" s="98"/>
      <x:c r="K421" s="98" t="str">
        <x:v>None</x:v>
      </x:c>
      <x:c r="L421" s="99"/>
      <x:c r="M421" s="99"/>
      <x:c r="N421" s="99"/>
    </x:row>
    <x:row r="422" ht="34.5" customHeight="1">
      <x:c r="A422" s="34" t="n">
        <x:v>46276</x:v>
      </x:c>
      <x:c r="B422" s="98" t="str">
        <x:v>Final Revision</x:v>
      </x:c>
      <x:c r="C422" s="98" t="n">
        <x:v>6</x:v>
      </x:c>
      <x:c r="D422" s="98" t="n">
        <x:v>60</x:v>
      </x:c>
      <x:c r="E422" s="98" t="n">
        <x:v>58</x:v>
      </x:c>
      <x:c r="F422" s="99" t="str">
        <x:v>Circuits → Combinational Logic → Basic Gates</x:v>
      </x:c>
      <x:c r="G422" s="99" t="str">
        <x:v>Even longer vectors</x:v>
      </x:c>
      <x:c r="H422" s="99" t="str">
        <x:v>Mastery check: solve and explain without notes.</x:v>
      </x:c>
      <x:c r="I422" s="98" t="str">
        <x:v>Not Started</x:v>
      </x:c>
      <x:c r="J422" s="98"/>
      <x:c r="K422" s="98" t="str">
        <x:v>None</x:v>
      </x:c>
      <x:c r="L422" s="99"/>
      <x:c r="M422" s="99"/>
      <x:c r="N422" s="99"/>
    </x:row>
    <x:row r="423" ht="34.5" customHeight="1">
      <x:c r="A423" s="34" t="n">
        <x:v>46277</x:v>
      </x:c>
      <x:c r="B423" s="98" t="str">
        <x:v>Final Revision</x:v>
      </x:c>
      <x:c r="C423" s="98" t="n">
        <x:v>7</x:v>
      </x:c>
      <x:c r="D423" s="98" t="n">
        <x:v>61</x:v>
      </x:c>
      <x:c r="E423" s="98" t="n">
        <x:v>59</x:v>
      </x:c>
      <x:c r="F423" s="99" t="str">
        <x:v>Circuits → Combinational Logic → Multiplexers</x:v>
      </x:c>
      <x:c r="G423" s="99" t="str">
        <x:v>2-to-1 multiplexer</x:v>
      </x:c>
      <x:c r="H423" s="99" t="str">
        <x:v>Mastery check: solve and explain without notes.</x:v>
      </x:c>
      <x:c r="I423" s="98" t="str">
        <x:v>Not Started</x:v>
      </x:c>
      <x:c r="J423" s="98"/>
      <x:c r="K423" s="98" t="str">
        <x:v>None</x:v>
      </x:c>
      <x:c r="L423" s="99"/>
      <x:c r="M423" s="99"/>
      <x:c r="N423" s="99"/>
    </x:row>
    <x:row r="424" ht="34.5" customHeight="1">
      <x:c r="A424" s="34" t="n">
        <x:v>46277</x:v>
      </x:c>
      <x:c r="B424" s="98" t="str">
        <x:v>Final Revision</x:v>
      </x:c>
      <x:c r="C424" s="98" t="n">
        <x:v>7</x:v>
      </x:c>
      <x:c r="D424" s="98" t="n">
        <x:v>62</x:v>
      </x:c>
      <x:c r="E424" s="98" t="n">
        <x:v>60</x:v>
      </x:c>
      <x:c r="F424" s="99" t="str">
        <x:v>Circuits → Combinational Logic → Multiplexers</x:v>
      </x:c>
      <x:c r="G424" s="99" t="str">
        <x:v>2-to-1 bus multiplexer</x:v>
      </x:c>
      <x:c r="H424" s="99" t="str">
        <x:v>Mastery check: solve and explain without notes.</x:v>
      </x:c>
      <x:c r="I424" s="98" t="str">
        <x:v>Not Started</x:v>
      </x:c>
      <x:c r="J424" s="98"/>
      <x:c r="K424" s="98" t="str">
        <x:v>None</x:v>
      </x:c>
      <x:c r="L424" s="99"/>
      <x:c r="M424" s="99"/>
      <x:c r="N424" s="99"/>
    </x:row>
    <x:row r="425" ht="34.5" customHeight="1">
      <x:c r="A425" s="34" t="n">
        <x:v>46277</x:v>
      </x:c>
      <x:c r="B425" s="98" t="str">
        <x:v>Final Revision</x:v>
      </x:c>
      <x:c r="C425" s="98" t="n">
        <x:v>7</x:v>
      </x:c>
      <x:c r="D425" s="98" t="n">
        <x:v>63</x:v>
      </x:c>
      <x:c r="E425" s="98" t="n">
        <x:v>61</x:v>
      </x:c>
      <x:c r="F425" s="99" t="str">
        <x:v>Circuits → Combinational Logic → Multiplexers</x:v>
      </x:c>
      <x:c r="G425" s="99" t="str">
        <x:v>9-to-1 multiplexer</x:v>
      </x:c>
      <x:c r="H425" s="99" t="str">
        <x:v>Mastery check: solve and explain without notes.</x:v>
      </x:c>
      <x:c r="I425" s="98" t="str">
        <x:v>Not Started</x:v>
      </x:c>
      <x:c r="J425" s="98"/>
      <x:c r="K425" s="98" t="str">
        <x:v>None</x:v>
      </x:c>
      <x:c r="L425" s="99"/>
      <x:c r="M425" s="99"/>
      <x:c r="N425" s="99"/>
    </x:row>
    <x:row r="426" ht="34.5" customHeight="1">
      <x:c r="A426" s="34" t="n">
        <x:v>46277</x:v>
      </x:c>
      <x:c r="B426" s="98" t="str">
        <x:v>Final Revision</x:v>
      </x:c>
      <x:c r="C426" s="98" t="n">
        <x:v>7</x:v>
      </x:c>
      <x:c r="D426" s="98" t="n">
        <x:v>64</x:v>
      </x:c>
      <x:c r="E426" s="98" t="n">
        <x:v>62</x:v>
      </x:c>
      <x:c r="F426" s="99" t="str">
        <x:v>Circuits → Combinational Logic → Multiplexers</x:v>
      </x:c>
      <x:c r="G426" s="99" t="str">
        <x:v>256-to-1 multiplexer</x:v>
      </x:c>
      <x:c r="H426" s="99" t="str">
        <x:v>Mastery check: solve and explain without notes.</x:v>
      </x:c>
      <x:c r="I426" s="98" t="str">
        <x:v>Not Started</x:v>
      </x:c>
      <x:c r="J426" s="98"/>
      <x:c r="K426" s="98" t="str">
        <x:v>None</x:v>
      </x:c>
      <x:c r="L426" s="99"/>
      <x:c r="M426" s="99"/>
      <x:c r="N426" s="99"/>
    </x:row>
    <x:row r="427" ht="34.5" customHeight="1">
      <x:c r="A427" s="34" t="n">
        <x:v>46277</x:v>
      </x:c>
      <x:c r="B427" s="98" t="str">
        <x:v>Final Revision</x:v>
      </x:c>
      <x:c r="C427" s="98" t="n">
        <x:v>7</x:v>
      </x:c>
      <x:c r="D427" s="98" t="n">
        <x:v>65</x:v>
      </x:c>
      <x:c r="E427" s="98" t="n">
        <x:v>63</x:v>
      </x:c>
      <x:c r="F427" s="99" t="str">
        <x:v>Circuits → Combinational Logic → Multiplexers</x:v>
      </x:c>
      <x:c r="G427" s="99" t="str">
        <x:v>256-to-1 4-bit multiplexer</x:v>
      </x:c>
      <x:c r="H427" s="99" t="str">
        <x:v>Mastery check: solve and explain without notes.</x:v>
      </x:c>
      <x:c r="I427" s="98" t="str">
        <x:v>Not Started</x:v>
      </x:c>
      <x:c r="J427" s="98"/>
      <x:c r="K427" s="98" t="str">
        <x:v>None</x:v>
      </x:c>
      <x:c r="L427" s="99"/>
      <x:c r="M427" s="99"/>
      <x:c r="N427" s="99"/>
    </x:row>
    <x:row r="428" ht="34.5" customHeight="1">
      <x:c r="A428" s="34" t="n">
        <x:v>46277</x:v>
      </x:c>
      <x:c r="B428" s="98" t="str">
        <x:v>Final Revision</x:v>
      </x:c>
      <x:c r="C428" s="98" t="n">
        <x:v>7</x:v>
      </x:c>
      <x:c r="D428" s="98" t="n">
        <x:v>66</x:v>
      </x:c>
      <x:c r="E428" s="98" t="n">
        <x:v>64</x:v>
      </x:c>
      <x:c r="F428" s="99" t="str">
        <x:v>Circuits → Combinational Logic → Arithmetic Circuits</x:v>
      </x:c>
      <x:c r="G428" s="99" t="str">
        <x:v>Half adder</x:v>
      </x:c>
      <x:c r="H428" s="99" t="str">
        <x:v>Mastery check: solve and explain without notes.</x:v>
      </x:c>
      <x:c r="I428" s="98" t="str">
        <x:v>Not Started</x:v>
      </x:c>
      <x:c r="J428" s="98"/>
      <x:c r="K428" s="98" t="str">
        <x:v>None</x:v>
      </x:c>
      <x:c r="L428" s="99"/>
      <x:c r="M428" s="99"/>
      <x:c r="N428" s="99"/>
    </x:row>
    <x:row r="429" ht="34.5" customHeight="1">
      <x:c r="A429" s="34" t="n">
        <x:v>46277</x:v>
      </x:c>
      <x:c r="B429" s="98" t="str">
        <x:v>Final Revision</x:v>
      </x:c>
      <x:c r="C429" s="98" t="n">
        <x:v>7</x:v>
      </x:c>
      <x:c r="D429" s="98" t="n">
        <x:v>67</x:v>
      </x:c>
      <x:c r="E429" s="98" t="n">
        <x:v>65</x:v>
      </x:c>
      <x:c r="F429" s="99" t="str">
        <x:v>Circuits → Combinational Logic → Arithmetic Circuits</x:v>
      </x:c>
      <x:c r="G429" s="99" t="str">
        <x:v>Full adder</x:v>
      </x:c>
      <x:c r="H429" s="99" t="str">
        <x:v>Mastery check: solve and explain without notes.</x:v>
      </x:c>
      <x:c r="I429" s="98" t="str">
        <x:v>Not Started</x:v>
      </x:c>
      <x:c r="J429" s="98"/>
      <x:c r="K429" s="98" t="str">
        <x:v>None</x:v>
      </x:c>
      <x:c r="L429" s="99"/>
      <x:c r="M429" s="99"/>
      <x:c r="N429" s="99"/>
    </x:row>
    <x:row r="430" ht="34.5" customHeight="1">
      <x:c r="A430" s="34" t="n">
        <x:v>46277</x:v>
      </x:c>
      <x:c r="B430" s="98" t="str">
        <x:v>Final Revision</x:v>
      </x:c>
      <x:c r="C430" s="98" t="n">
        <x:v>7</x:v>
      </x:c>
      <x:c r="D430" s="98" t="n">
        <x:v>68</x:v>
      </x:c>
      <x:c r="E430" s="98" t="n">
        <x:v>66</x:v>
      </x:c>
      <x:c r="F430" s="99" t="str">
        <x:v>Circuits → Combinational Logic → Arithmetic Circuits</x:v>
      </x:c>
      <x:c r="G430" s="99" t="str">
        <x:v>3-bit binary adder</x:v>
      </x:c>
      <x:c r="H430" s="99" t="str">
        <x:v>Mastery check: solve and explain without notes.</x:v>
      </x:c>
      <x:c r="I430" s="98" t="str">
        <x:v>Not Started</x:v>
      </x:c>
      <x:c r="J430" s="98"/>
      <x:c r="K430" s="98" t="str">
        <x:v>None</x:v>
      </x:c>
      <x:c r="L430" s="99"/>
      <x:c r="M430" s="99"/>
      <x:c r="N430" s="99"/>
    </x:row>
    <x:row r="431" ht="34.5" customHeight="1">
      <x:c r="A431" s="34" t="n">
        <x:v>46277</x:v>
      </x:c>
      <x:c r="B431" s="98" t="str">
        <x:v>Final Revision</x:v>
      </x:c>
      <x:c r="C431" s="98" t="n">
        <x:v>7</x:v>
      </x:c>
      <x:c r="D431" s="98" t="n">
        <x:v>69</x:v>
      </x:c>
      <x:c r="E431" s="98" t="n">
        <x:v>67</x:v>
      </x:c>
      <x:c r="F431" s="99" t="str">
        <x:v>Circuits → Combinational Logic → Arithmetic Circuits</x:v>
      </x:c>
      <x:c r="G431" s="99" t="str">
        <x:v>Adder</x:v>
      </x:c>
      <x:c r="H431" s="99" t="str">
        <x:v>Mastery check: solve and explain without notes.</x:v>
      </x:c>
      <x:c r="I431" s="98" t="str">
        <x:v>Not Started</x:v>
      </x:c>
      <x:c r="J431" s="98"/>
      <x:c r="K431" s="98" t="str">
        <x:v>None</x:v>
      </x:c>
      <x:c r="L431" s="99"/>
      <x:c r="M431" s="99"/>
      <x:c r="N431" s="99"/>
    </x:row>
    <x:row r="432" ht="34.5" customHeight="1">
      <x:c r="A432" s="34" t="n">
        <x:v>46277</x:v>
      </x:c>
      <x:c r="B432" s="98" t="str">
        <x:v>Final Revision</x:v>
      </x:c>
      <x:c r="C432" s="98" t="n">
        <x:v>7</x:v>
      </x:c>
      <x:c r="D432" s="98" t="n">
        <x:v>70</x:v>
      </x:c>
      <x:c r="E432" s="98" t="n">
        <x:v>68</x:v>
      </x:c>
      <x:c r="F432" s="99" t="str">
        <x:v>Circuits → Combinational Logic → Arithmetic Circuits</x:v>
      </x:c>
      <x:c r="G432" s="99" t="str">
        <x:v>Signed addition overflow</x:v>
      </x:c>
      <x:c r="H432" s="99" t="str">
        <x:v>Mastery check: solve and explain without notes.</x:v>
      </x:c>
      <x:c r="I432" s="98" t="str">
        <x:v>Not Started</x:v>
      </x:c>
      <x:c r="J432" s="98"/>
      <x:c r="K432" s="98" t="str">
        <x:v>None</x:v>
      </x:c>
      <x:c r="L432" s="99"/>
      <x:c r="M432" s="99"/>
      <x:c r="N432" s="99"/>
    </x:row>
    <x:row r="433" ht="34.5" customHeight="1">
      <x:c r="A433" s="34" t="n">
        <x:v>46278</x:v>
      </x:c>
      <x:c r="B433" s="98" t="str">
        <x:v>Final Revision</x:v>
      </x:c>
      <x:c r="C433" s="98" t="n">
        <x:v>8</x:v>
      </x:c>
      <x:c r="D433" s="98" t="n">
        <x:v>71</x:v>
      </x:c>
      <x:c r="E433" s="98" t="n">
        <x:v>69</x:v>
      </x:c>
      <x:c r="F433" s="99" t="str">
        <x:v>Circuits → Combinational Logic → Arithmetic Circuits</x:v>
      </x:c>
      <x:c r="G433" s="99" t="str">
        <x:v>100-bit binary adder</x:v>
      </x:c>
      <x:c r="H433" s="99" t="str">
        <x:v>Mastery check: solve and explain without notes.</x:v>
      </x:c>
      <x:c r="I433" s="98" t="str">
        <x:v>Not Started</x:v>
      </x:c>
      <x:c r="J433" s="98"/>
      <x:c r="K433" s="98" t="str">
        <x:v>None</x:v>
      </x:c>
      <x:c r="L433" s="99"/>
      <x:c r="M433" s="99"/>
      <x:c r="N433" s="99"/>
    </x:row>
    <x:row r="434" ht="34.5" customHeight="1">
      <x:c r="A434" s="34" t="n">
        <x:v>46278</x:v>
      </x:c>
      <x:c r="B434" s="98" t="str">
        <x:v>Final Revision</x:v>
      </x:c>
      <x:c r="C434" s="98" t="n">
        <x:v>8</x:v>
      </x:c>
      <x:c r="D434" s="98" t="n">
        <x:v>72</x:v>
      </x:c>
      <x:c r="E434" s="98" t="n">
        <x:v>70</x:v>
      </x:c>
      <x:c r="F434" s="99" t="str">
        <x:v>Circuits → Combinational Logic → Arithmetic Circuits</x:v>
      </x:c>
      <x:c r="G434" s="99" t="str">
        <x:v>4-digit BCD adder</x:v>
      </x:c>
      <x:c r="H434" s="99" t="str">
        <x:v>Mastery check: solve and explain without notes.</x:v>
      </x:c>
      <x:c r="I434" s="98" t="str">
        <x:v>Not Started</x:v>
      </x:c>
      <x:c r="J434" s="98"/>
      <x:c r="K434" s="98" t="str">
        <x:v>None</x:v>
      </x:c>
      <x:c r="L434" s="99"/>
      <x:c r="M434" s="99"/>
      <x:c r="N434" s="99"/>
    </x:row>
    <x:row r="435" ht="34.5" customHeight="1">
      <x:c r="A435" s="34" t="n">
        <x:v>46278</x:v>
      </x:c>
      <x:c r="B435" s="98" t="str">
        <x:v>Final Revision</x:v>
      </x:c>
      <x:c r="C435" s="98" t="n">
        <x:v>8</x:v>
      </x:c>
      <x:c r="D435" s="98" t="n">
        <x:v>73</x:v>
      </x:c>
      <x:c r="E435" s="98" t="n">
        <x:v>71</x:v>
      </x:c>
      <x:c r="F435" s="99" t="str">
        <x:v>Circuits → Combinational Logic → Karnaugh Map to Circuit</x:v>
      </x:c>
      <x:c r="G435" s="99" t="str">
        <x:v>3-variable</x:v>
      </x:c>
      <x:c r="H435" s="99" t="str">
        <x:v>Mastery check: solve and explain without notes.</x:v>
      </x:c>
      <x:c r="I435" s="98" t="str">
        <x:v>Not Started</x:v>
      </x:c>
      <x:c r="J435" s="98"/>
      <x:c r="K435" s="98" t="str">
        <x:v>None</x:v>
      </x:c>
      <x:c r="L435" s="99"/>
      <x:c r="M435" s="99"/>
      <x:c r="N435" s="99"/>
    </x:row>
    <x:row r="436" ht="34.5" customHeight="1">
      <x:c r="A436" s="34" t="n">
        <x:v>46278</x:v>
      </x:c>
      <x:c r="B436" s="98" t="str">
        <x:v>Final Revision</x:v>
      </x:c>
      <x:c r="C436" s="98" t="n">
        <x:v>8</x:v>
      </x:c>
      <x:c r="D436" s="98" t="n">
        <x:v>74</x:v>
      </x:c>
      <x:c r="E436" s="98" t="n">
        <x:v>72</x:v>
      </x:c>
      <x:c r="F436" s="99" t="str">
        <x:v>Circuits → Combinational Logic → Karnaugh Map to Circuit</x:v>
      </x:c>
      <x:c r="G436" s="99" t="str">
        <x:v>4-variable</x:v>
      </x:c>
      <x:c r="H436" s="99" t="str">
        <x:v>Mastery check: solve and explain without notes.</x:v>
      </x:c>
      <x:c r="I436" s="98" t="str">
        <x:v>Not Started</x:v>
      </x:c>
      <x:c r="J436" s="98"/>
      <x:c r="K436" s="98" t="str">
        <x:v>None</x:v>
      </x:c>
      <x:c r="L436" s="99"/>
      <x:c r="M436" s="99"/>
      <x:c r="N436" s="99"/>
    </x:row>
    <x:row r="437" ht="34.5" customHeight="1">
      <x:c r="A437" s="34" t="n">
        <x:v>46278</x:v>
      </x:c>
      <x:c r="B437" s="98" t="str">
        <x:v>Final Revision</x:v>
      </x:c>
      <x:c r="C437" s="98" t="n">
        <x:v>8</x:v>
      </x:c>
      <x:c r="D437" s="98" t="n">
        <x:v>75</x:v>
      </x:c>
      <x:c r="E437" s="98" t="n">
        <x:v>73</x:v>
      </x:c>
      <x:c r="F437" s="99" t="str">
        <x:v>Circuits → Combinational Logic → Karnaugh Map to Circuit</x:v>
      </x:c>
      <x:c r="G437" s="99" t="str">
        <x:v>4-variable</x:v>
      </x:c>
      <x:c r="H437" s="99" t="str">
        <x:v>Mastery check: solve and explain without notes.</x:v>
      </x:c>
      <x:c r="I437" s="98" t="str">
        <x:v>Not Started</x:v>
      </x:c>
      <x:c r="J437" s="98"/>
      <x:c r="K437" s="98" t="str">
        <x:v>None</x:v>
      </x:c>
      <x:c r="L437" s="99"/>
      <x:c r="M437" s="99"/>
      <x:c r="N437" s="99"/>
    </x:row>
    <x:row r="438" ht="34.5" customHeight="1">
      <x:c r="A438" s="34" t="n">
        <x:v>46278</x:v>
      </x:c>
      <x:c r="B438" s="98" t="str">
        <x:v>Final Revision</x:v>
      </x:c>
      <x:c r="C438" s="98" t="n">
        <x:v>8</x:v>
      </x:c>
      <x:c r="D438" s="98" t="n">
        <x:v>76</x:v>
      </x:c>
      <x:c r="E438" s="98" t="n">
        <x:v>74</x:v>
      </x:c>
      <x:c r="F438" s="99" t="str">
        <x:v>Circuits → Combinational Logic → Karnaugh Map to Circuit</x:v>
      </x:c>
      <x:c r="G438" s="99" t="str">
        <x:v>4-variable</x:v>
      </x:c>
      <x:c r="H438" s="99" t="str">
        <x:v>Mastery check: solve and explain without notes.</x:v>
      </x:c>
      <x:c r="I438" s="98" t="str">
        <x:v>Not Started</x:v>
      </x:c>
      <x:c r="J438" s="98"/>
      <x:c r="K438" s="98" t="str">
        <x:v>None</x:v>
      </x:c>
      <x:c r="L438" s="99"/>
      <x:c r="M438" s="99"/>
      <x:c r="N438" s="99"/>
    </x:row>
    <x:row r="439" ht="34.5" customHeight="1">
      <x:c r="A439" s="34" t="n">
        <x:v>46278</x:v>
      </x:c>
      <x:c r="B439" s="98" t="str">
        <x:v>Final Revision</x:v>
      </x:c>
      <x:c r="C439" s="98" t="n">
        <x:v>8</x:v>
      </x:c>
      <x:c r="D439" s="98" t="n">
        <x:v>77</x:v>
      </x:c>
      <x:c r="E439" s="98" t="n">
        <x:v>75</x:v>
      </x:c>
      <x:c r="F439" s="99" t="str">
        <x:v>Circuits → Combinational Logic → Karnaugh Map to Circuit</x:v>
      </x:c>
      <x:c r="G439" s="99" t="str">
        <x:v>Minimum SOP and POS</x:v>
      </x:c>
      <x:c r="H439" s="99" t="str">
        <x:v>Mastery check: solve and explain without notes.</x:v>
      </x:c>
      <x:c r="I439" s="98" t="str">
        <x:v>Not Started</x:v>
      </x:c>
      <x:c r="J439" s="98"/>
      <x:c r="K439" s="98" t="str">
        <x:v>None</x:v>
      </x:c>
      <x:c r="L439" s="99"/>
      <x:c r="M439" s="99"/>
      <x:c r="N439" s="99"/>
    </x:row>
    <x:row r="440" ht="34.5" customHeight="1">
      <x:c r="A440" s="34" t="n">
        <x:v>46278</x:v>
      </x:c>
      <x:c r="B440" s="98" t="str">
        <x:v>Final Revision</x:v>
      </x:c>
      <x:c r="C440" s="98" t="n">
        <x:v>8</x:v>
      </x:c>
      <x:c r="D440" s="98" t="n">
        <x:v>78</x:v>
      </x:c>
      <x:c r="E440" s="98" t="n">
        <x:v>76</x:v>
      </x:c>
      <x:c r="F440" s="99" t="str">
        <x:v>Circuits → Combinational Logic → Karnaugh Map to Circuit</x:v>
      </x:c>
      <x:c r="G440" s="99" t="str">
        <x:v>Karnaugh map</x:v>
      </x:c>
      <x:c r="H440" s="99" t="str">
        <x:v>Mastery check: solve and explain without notes.</x:v>
      </x:c>
      <x:c r="I440" s="98" t="str">
        <x:v>Not Started</x:v>
      </x:c>
      <x:c r="J440" s="98"/>
      <x:c r="K440" s="98" t="str">
        <x:v>None</x:v>
      </x:c>
      <x:c r="L440" s="99"/>
      <x:c r="M440" s="99"/>
      <x:c r="N440" s="99"/>
    </x:row>
    <x:row r="441" ht="34.5" customHeight="1">
      <x:c r="A441" s="34" t="n">
        <x:v>46278</x:v>
      </x:c>
      <x:c r="B441" s="98" t="str">
        <x:v>Final Revision</x:v>
      </x:c>
      <x:c r="C441" s="98" t="n">
        <x:v>8</x:v>
      </x:c>
      <x:c r="D441" s="98" t="n">
        <x:v>79</x:v>
      </x:c>
      <x:c r="E441" s="98" t="n">
        <x:v>77</x:v>
      </x:c>
      <x:c r="F441" s="99" t="str">
        <x:v>Circuits → Combinational Logic → Karnaugh Map to Circuit</x:v>
      </x:c>
      <x:c r="G441" s="99" t="str">
        <x:v>Karnaugh map</x:v>
      </x:c>
      <x:c r="H441" s="99" t="str">
        <x:v>Mastery check: solve and explain without notes.</x:v>
      </x:c>
      <x:c r="I441" s="98" t="str">
        <x:v>Not Started</x:v>
      </x:c>
      <x:c r="J441" s="98"/>
      <x:c r="K441" s="98" t="str">
        <x:v>None</x:v>
      </x:c>
      <x:c r="L441" s="99"/>
      <x:c r="M441" s="99"/>
      <x:c r="N441" s="99"/>
    </x:row>
    <x:row r="442" ht="34.5" customHeight="1">
      <x:c r="A442" s="34" t="n">
        <x:v>46278</x:v>
      </x:c>
      <x:c r="B442" s="98" t="str">
        <x:v>Final Revision</x:v>
      </x:c>
      <x:c r="C442" s="98" t="n">
        <x:v>8</x:v>
      </x:c>
      <x:c r="D442" s="98" t="n">
        <x:v>80</x:v>
      </x:c>
      <x:c r="E442" s="98" t="n">
        <x:v>78</x:v>
      </x:c>
      <x:c r="F442" s="99" t="str">
        <x:v>Circuits → Combinational Logic → Karnaugh Map to Circuit</x:v>
      </x:c>
      <x:c r="G442" s="99" t="str">
        <x:v>K-map implemented with a multiplexer</x:v>
      </x:c>
      <x:c r="H442" s="99" t="str">
        <x:v>Mastery check: solve and explain without notes.</x:v>
      </x:c>
      <x:c r="I442" s="98" t="str">
        <x:v>Not Started</x:v>
      </x:c>
      <x:c r="J442" s="98"/>
      <x:c r="K442" s="98" t="str">
        <x:v>None</x:v>
      </x:c>
      <x:c r="L442" s="99"/>
      <x:c r="M442" s="99"/>
      <x:c r="N442" s="99"/>
    </x:row>
    <x:row r="443" ht="34.5" customHeight="1">
      <x:c r="A443" s="34" t="n">
        <x:v>46279</x:v>
      </x:c>
      <x:c r="B443" s="98" t="str">
        <x:v>Final Revision</x:v>
      </x:c>
      <x:c r="C443" s="98" t="n">
        <x:v>9</x:v>
      </x:c>
      <x:c r="D443" s="98" t="n">
        <x:v>81</x:v>
      </x:c>
      <x:c r="E443" s="98" t="n">
        <x:v>79</x:v>
      </x:c>
      <x:c r="F443" s="99" t="str">
        <x:v>Circuits → Sequential Logic → Latches and Flip-Flops</x:v>
      </x:c>
      <x:c r="G443" s="99" t="str">
        <x:v>D flip-flop</x:v>
      </x:c>
      <x:c r="H443" s="99" t="str">
        <x:v>Mastery check: solve and explain without notes.</x:v>
      </x:c>
      <x:c r="I443" s="98" t="str">
        <x:v>Not Started</x:v>
      </x:c>
      <x:c r="J443" s="98"/>
      <x:c r="K443" s="98" t="str">
        <x:v>None</x:v>
      </x:c>
      <x:c r="L443" s="99"/>
      <x:c r="M443" s="99"/>
      <x:c r="N443" s="99"/>
    </x:row>
    <x:row r="444" ht="34.5" customHeight="1">
      <x:c r="A444" s="34" t="n">
        <x:v>46279</x:v>
      </x:c>
      <x:c r="B444" s="98" t="str">
        <x:v>Final Revision</x:v>
      </x:c>
      <x:c r="C444" s="98" t="n">
        <x:v>9</x:v>
      </x:c>
      <x:c r="D444" s="98" t="n">
        <x:v>82</x:v>
      </x:c>
      <x:c r="E444" s="98" t="n">
        <x:v>80</x:v>
      </x:c>
      <x:c r="F444" s="99" t="str">
        <x:v>Circuits → Sequential Logic → Latches and Flip-Flops</x:v>
      </x:c>
      <x:c r="G444" s="99" t="str">
        <x:v>D flip-flops</x:v>
      </x:c>
      <x:c r="H444" s="99" t="str">
        <x:v>Mastery check: solve and explain without notes.</x:v>
      </x:c>
      <x:c r="I444" s="98" t="str">
        <x:v>Not Started</x:v>
      </x:c>
      <x:c r="J444" s="98"/>
      <x:c r="K444" s="98" t="str">
        <x:v>None</x:v>
      </x:c>
      <x:c r="L444" s="99"/>
      <x:c r="M444" s="99"/>
      <x:c r="N444" s="99"/>
    </x:row>
    <x:row r="445" ht="34.5" customHeight="1">
      <x:c r="A445" s="34" t="n">
        <x:v>46279</x:v>
      </x:c>
      <x:c r="B445" s="98" t="str">
        <x:v>Final Revision</x:v>
      </x:c>
      <x:c r="C445" s="98" t="n">
        <x:v>9</x:v>
      </x:c>
      <x:c r="D445" s="98" t="n">
        <x:v>83</x:v>
      </x:c>
      <x:c r="E445" s="98" t="n">
        <x:v>81</x:v>
      </x:c>
      <x:c r="F445" s="99" t="str">
        <x:v>Circuits → Sequential Logic → Latches and Flip-Flops</x:v>
      </x:c>
      <x:c r="G445" s="99" t="str">
        <x:v>DFF with reset</x:v>
      </x:c>
      <x:c r="H445" s="99" t="str">
        <x:v>Mastery check: solve and explain without notes.</x:v>
      </x:c>
      <x:c r="I445" s="98" t="str">
        <x:v>Not Started</x:v>
      </x:c>
      <x:c r="J445" s="98"/>
      <x:c r="K445" s="98" t="str">
        <x:v>None</x:v>
      </x:c>
      <x:c r="L445" s="99"/>
      <x:c r="M445" s="99"/>
      <x:c r="N445" s="99"/>
    </x:row>
    <x:row r="446" ht="34.5" customHeight="1">
      <x:c r="A446" s="34" t="n">
        <x:v>46279</x:v>
      </x:c>
      <x:c r="B446" s="98" t="str">
        <x:v>Final Revision</x:v>
      </x:c>
      <x:c r="C446" s="98" t="n">
        <x:v>9</x:v>
      </x:c>
      <x:c r="D446" s="98" t="n">
        <x:v>84</x:v>
      </x:c>
      <x:c r="E446" s="98" t="n">
        <x:v>82</x:v>
      </x:c>
      <x:c r="F446" s="99" t="str">
        <x:v>Circuits → Sequential Logic → Latches and Flip-Flops</x:v>
      </x:c>
      <x:c r="G446" s="99" t="str">
        <x:v>DFF with reset value</x:v>
      </x:c>
      <x:c r="H446" s="99" t="str">
        <x:v>Mastery check: solve and explain without notes.</x:v>
      </x:c>
      <x:c r="I446" s="98" t="str">
        <x:v>Not Started</x:v>
      </x:c>
      <x:c r="J446" s="98"/>
      <x:c r="K446" s="98" t="str">
        <x:v>None</x:v>
      </x:c>
      <x:c r="L446" s="99"/>
      <x:c r="M446" s="99"/>
      <x:c r="N446" s="99"/>
    </x:row>
    <x:row r="447" ht="34.5" customHeight="1">
      <x:c r="A447" s="34" t="n">
        <x:v>46279</x:v>
      </x:c>
      <x:c r="B447" s="98" t="str">
        <x:v>Final Revision</x:v>
      </x:c>
      <x:c r="C447" s="98" t="n">
        <x:v>9</x:v>
      </x:c>
      <x:c r="D447" s="98" t="n">
        <x:v>85</x:v>
      </x:c>
      <x:c r="E447" s="98" t="n">
        <x:v>83</x:v>
      </x:c>
      <x:c r="F447" s="99" t="str">
        <x:v>Circuits → Sequential Logic → Latches and Flip-Flops</x:v>
      </x:c>
      <x:c r="G447" s="99" t="str">
        <x:v>DFF with asynchronous reset</x:v>
      </x:c>
      <x:c r="H447" s="99" t="str">
        <x:v>Mastery check: solve and explain without notes.</x:v>
      </x:c>
      <x:c r="I447" s="98" t="str">
        <x:v>Not Started</x:v>
      </x:c>
      <x:c r="J447" s="98"/>
      <x:c r="K447" s="98" t="str">
        <x:v>None</x:v>
      </x:c>
      <x:c r="L447" s="99"/>
      <x:c r="M447" s="99"/>
      <x:c r="N447" s="99"/>
    </x:row>
    <x:row r="448" ht="34.5" customHeight="1">
      <x:c r="A448" s="34" t="n">
        <x:v>46279</x:v>
      </x:c>
      <x:c r="B448" s="98" t="str">
        <x:v>Final Revision</x:v>
      </x:c>
      <x:c r="C448" s="98" t="n">
        <x:v>9</x:v>
      </x:c>
      <x:c r="D448" s="98" t="n">
        <x:v>86</x:v>
      </x:c>
      <x:c r="E448" s="98" t="n">
        <x:v>84</x:v>
      </x:c>
      <x:c r="F448" s="99" t="str">
        <x:v>Circuits → Sequential Logic → Latches and Flip-Flops</x:v>
      </x:c>
      <x:c r="G448" s="99" t="str">
        <x:v>DFF with byte enable</x:v>
      </x:c>
      <x:c r="H448" s="99" t="str">
        <x:v>Mastery check: solve and explain without notes.</x:v>
      </x:c>
      <x:c r="I448" s="98" t="str">
        <x:v>Not Started</x:v>
      </x:c>
      <x:c r="J448" s="98"/>
      <x:c r="K448" s="98" t="str">
        <x:v>None</x:v>
      </x:c>
      <x:c r="L448" s="99"/>
      <x:c r="M448" s="99"/>
      <x:c r="N448" s="99"/>
    </x:row>
    <x:row r="449" ht="34.5" customHeight="1">
      <x:c r="A449" s="34" t="n">
        <x:v>46279</x:v>
      </x:c>
      <x:c r="B449" s="98" t="str">
        <x:v>Final Revision</x:v>
      </x:c>
      <x:c r="C449" s="98" t="n">
        <x:v>9</x:v>
      </x:c>
      <x:c r="D449" s="98" t="n">
        <x:v>87</x:v>
      </x:c>
      <x:c r="E449" s="98" t="n">
        <x:v>85</x:v>
      </x:c>
      <x:c r="F449" s="99" t="str">
        <x:v>Circuits → Sequential Logic → Latches and Flip-Flops</x:v>
      </x:c>
      <x:c r="G449" s="99" t="str">
        <x:v>D Latch</x:v>
      </x:c>
      <x:c r="H449" s="99" t="str">
        <x:v>Mastery check: solve and explain without notes.</x:v>
      </x:c>
      <x:c r="I449" s="98" t="str">
        <x:v>Not Started</x:v>
      </x:c>
      <x:c r="J449" s="98"/>
      <x:c r="K449" s="98" t="str">
        <x:v>None</x:v>
      </x:c>
      <x:c r="L449" s="99"/>
      <x:c r="M449" s="99"/>
      <x:c r="N449" s="99"/>
    </x:row>
    <x:row r="450" ht="34.5" customHeight="1">
      <x:c r="A450" s="34" t="n">
        <x:v>46279</x:v>
      </x:c>
      <x:c r="B450" s="98" t="str">
        <x:v>Final Revision</x:v>
      </x:c>
      <x:c r="C450" s="98" t="n">
        <x:v>9</x:v>
      </x:c>
      <x:c r="D450" s="98" t="n">
        <x:v>88</x:v>
      </x:c>
      <x:c r="E450" s="98" t="n">
        <x:v>86</x:v>
      </x:c>
      <x:c r="F450" s="99" t="str">
        <x:v>Circuits → Sequential Logic → Latches and Flip-Flops</x:v>
      </x:c>
      <x:c r="G450" s="99" t="str">
        <x:v>DFF</x:v>
      </x:c>
      <x:c r="H450" s="99" t="str">
        <x:v>Mastery check: solve and explain without notes.</x:v>
      </x:c>
      <x:c r="I450" s="98" t="str">
        <x:v>Not Started</x:v>
      </x:c>
      <x:c r="J450" s="98"/>
      <x:c r="K450" s="98" t="str">
        <x:v>None</x:v>
      </x:c>
      <x:c r="L450" s="99"/>
      <x:c r="M450" s="99"/>
      <x:c r="N450" s="99"/>
    </x:row>
    <x:row r="451" ht="34.5" customHeight="1">
      <x:c r="A451" s="34" t="n">
        <x:v>46279</x:v>
      </x:c>
      <x:c r="B451" s="98" t="str">
        <x:v>Final Revision</x:v>
      </x:c>
      <x:c r="C451" s="98" t="n">
        <x:v>9</x:v>
      </x:c>
      <x:c r="D451" s="98" t="n">
        <x:v>89</x:v>
      </x:c>
      <x:c r="E451" s="98" t="n">
        <x:v>87</x:v>
      </x:c>
      <x:c r="F451" s="99" t="str">
        <x:v>Circuits → Sequential Logic → Latches and Flip-Flops</x:v>
      </x:c>
      <x:c r="G451" s="99" t="str">
        <x:v>DFF</x:v>
      </x:c>
      <x:c r="H451" s="99" t="str">
        <x:v>Mastery check: solve and explain without notes.</x:v>
      </x:c>
      <x:c r="I451" s="98" t="str">
        <x:v>Not Started</x:v>
      </x:c>
      <x:c r="J451" s="98"/>
      <x:c r="K451" s="98" t="str">
        <x:v>None</x:v>
      </x:c>
      <x:c r="L451" s="99"/>
      <x:c r="M451" s="99"/>
      <x:c r="N451" s="99"/>
    </x:row>
    <x:row r="452" ht="34.5" customHeight="1">
      <x:c r="A452" s="34" t="n">
        <x:v>46279</x:v>
      </x:c>
      <x:c r="B452" s="98" t="str">
        <x:v>Final Revision</x:v>
      </x:c>
      <x:c r="C452" s="98" t="n">
        <x:v>9</x:v>
      </x:c>
      <x:c r="D452" s="98" t="n">
        <x:v>90</x:v>
      </x:c>
      <x:c r="E452" s="98" t="n">
        <x:v>88</x:v>
      </x:c>
      <x:c r="F452" s="99" t="str">
        <x:v>Circuits → Sequential Logic → Latches and Flip-Flops</x:v>
      </x:c>
      <x:c r="G452" s="99" t="str">
        <x:v>DFF+gate</x:v>
      </x:c>
      <x:c r="H452" s="99" t="str">
        <x:v>Mastery check: solve and explain without notes.</x:v>
      </x:c>
      <x:c r="I452" s="98" t="str">
        <x:v>Not Started</x:v>
      </x:c>
      <x:c r="J452" s="98"/>
      <x:c r="K452" s="98" t="str">
        <x:v>None</x:v>
      </x:c>
      <x:c r="L452" s="99"/>
      <x:c r="M452" s="99"/>
      <x:c r="N452" s="99"/>
    </x:row>
    <x:row r="453" ht="34.5" customHeight="1">
      <x:c r="A453" s="34" t="n">
        <x:v>46280</x:v>
      </x:c>
      <x:c r="B453" s="98" t="str">
        <x:v>Final Revision</x:v>
      </x:c>
      <x:c r="C453" s="98" t="n">
        <x:v>10</x:v>
      </x:c>
      <x:c r="D453" s="98" t="n">
        <x:v>91</x:v>
      </x:c>
      <x:c r="E453" s="98" t="n">
        <x:v>89</x:v>
      </x:c>
      <x:c r="F453" s="99" t="str">
        <x:v>Circuits → Sequential Logic → Latches and Flip-Flops</x:v>
      </x:c>
      <x:c r="G453" s="99" t="str">
        <x:v>Mux and DFF</x:v>
      </x:c>
      <x:c r="H453" s="99" t="str">
        <x:v>Mastery check: solve and explain without notes.</x:v>
      </x:c>
      <x:c r="I453" s="98" t="str">
        <x:v>Not Started</x:v>
      </x:c>
      <x:c r="J453" s="98"/>
      <x:c r="K453" s="98" t="str">
        <x:v>None</x:v>
      </x:c>
      <x:c r="L453" s="99"/>
      <x:c r="M453" s="99"/>
      <x:c r="N453" s="99"/>
    </x:row>
    <x:row r="454" ht="34.5" customHeight="1">
      <x:c r="A454" s="34" t="n">
        <x:v>46280</x:v>
      </x:c>
      <x:c r="B454" s="98" t="str">
        <x:v>Final Revision</x:v>
      </x:c>
      <x:c r="C454" s="98" t="n">
        <x:v>10</x:v>
      </x:c>
      <x:c r="D454" s="98" t="n">
        <x:v>92</x:v>
      </x:c>
      <x:c r="E454" s="98" t="n">
        <x:v>90</x:v>
      </x:c>
      <x:c r="F454" s="99" t="str">
        <x:v>Circuits → Sequential Logic → Latches and Flip-Flops</x:v>
      </x:c>
      <x:c r="G454" s="99" t="str">
        <x:v>Mux and DFF</x:v>
      </x:c>
      <x:c r="H454" s="99" t="str">
        <x:v>Mastery check: solve and explain without notes.</x:v>
      </x:c>
      <x:c r="I454" s="98" t="str">
        <x:v>Not Started</x:v>
      </x:c>
      <x:c r="J454" s="98"/>
      <x:c r="K454" s="98" t="str">
        <x:v>None</x:v>
      </x:c>
      <x:c r="L454" s="99"/>
      <x:c r="M454" s="99"/>
      <x:c r="N454" s="99"/>
    </x:row>
    <x:row r="455" ht="34.5" customHeight="1">
      <x:c r="A455" s="34" t="n">
        <x:v>46280</x:v>
      </x:c>
      <x:c r="B455" s="98" t="str">
        <x:v>Final Revision</x:v>
      </x:c>
      <x:c r="C455" s="98" t="n">
        <x:v>10</x:v>
      </x:c>
      <x:c r="D455" s="98" t="n">
        <x:v>93</x:v>
      </x:c>
      <x:c r="E455" s="98" t="n">
        <x:v>91</x:v>
      </x:c>
      <x:c r="F455" s="99" t="str">
        <x:v>Circuits → Sequential Logic → Latches and Flip-Flops</x:v>
      </x:c>
      <x:c r="G455" s="99" t="str">
        <x:v>DFFs and gates</x:v>
      </x:c>
      <x:c r="H455" s="99" t="str">
        <x:v>Mastery check: solve and explain without notes.</x:v>
      </x:c>
      <x:c r="I455" s="98" t="str">
        <x:v>Not Started</x:v>
      </x:c>
      <x:c r="J455" s="98"/>
      <x:c r="K455" s="98" t="str">
        <x:v>None</x:v>
      </x:c>
      <x:c r="L455" s="99"/>
      <x:c r="M455" s="99"/>
      <x:c r="N455" s="99"/>
    </x:row>
    <x:row r="456" ht="34.5" customHeight="1">
      <x:c r="A456" s="34" t="n">
        <x:v>46280</x:v>
      </x:c>
      <x:c r="B456" s="98" t="str">
        <x:v>Final Revision</x:v>
      </x:c>
      <x:c r="C456" s="98" t="n">
        <x:v>10</x:v>
      </x:c>
      <x:c r="D456" s="98" t="n">
        <x:v>94</x:v>
      </x:c>
      <x:c r="E456" s="98" t="n">
        <x:v>92</x:v>
      </x:c>
      <x:c r="F456" s="99" t="str">
        <x:v>Circuits → Sequential Logic → Latches and Flip-Flops</x:v>
      </x:c>
      <x:c r="G456" s="99" t="str">
        <x:v>Create circuit from truth table</x:v>
      </x:c>
      <x:c r="H456" s="99" t="str">
        <x:v>Mastery check: solve and explain without notes.</x:v>
      </x:c>
      <x:c r="I456" s="98" t="str">
        <x:v>Not Started</x:v>
      </x:c>
      <x:c r="J456" s="98"/>
      <x:c r="K456" s="98" t="str">
        <x:v>None</x:v>
      </x:c>
      <x:c r="L456" s="99"/>
      <x:c r="M456" s="99"/>
      <x:c r="N456" s="99"/>
    </x:row>
    <x:row r="457" ht="34.5" customHeight="1">
      <x:c r="A457" s="34" t="n">
        <x:v>46280</x:v>
      </x:c>
      <x:c r="B457" s="98" t="str">
        <x:v>Final Revision</x:v>
      </x:c>
      <x:c r="C457" s="98" t="n">
        <x:v>10</x:v>
      </x:c>
      <x:c r="D457" s="98" t="n">
        <x:v>95</x:v>
      </x:c>
      <x:c r="E457" s="98" t="n">
        <x:v>93</x:v>
      </x:c>
      <x:c r="F457" s="99" t="str">
        <x:v>Circuits → Sequential Logic → Latches and Flip-Flops</x:v>
      </x:c>
      <x:c r="G457" s="99" t="str">
        <x:v>Detect an edge</x:v>
      </x:c>
      <x:c r="H457" s="99" t="str">
        <x:v>Mastery check: solve and explain without notes.</x:v>
      </x:c>
      <x:c r="I457" s="98" t="str">
        <x:v>Not Started</x:v>
      </x:c>
      <x:c r="J457" s="98"/>
      <x:c r="K457" s="98" t="str">
        <x:v>None</x:v>
      </x:c>
      <x:c r="L457" s="99"/>
      <x:c r="M457" s="99"/>
      <x:c r="N457" s="99"/>
    </x:row>
    <x:row r="458" ht="34.5" customHeight="1">
      <x:c r="A458" s="34" t="n">
        <x:v>46280</x:v>
      </x:c>
      <x:c r="B458" s="98" t="str">
        <x:v>Final Revision</x:v>
      </x:c>
      <x:c r="C458" s="98" t="n">
        <x:v>10</x:v>
      </x:c>
      <x:c r="D458" s="98" t="n">
        <x:v>96</x:v>
      </x:c>
      <x:c r="E458" s="98" t="n">
        <x:v>94</x:v>
      </x:c>
      <x:c r="F458" s="99" t="str">
        <x:v>Circuits → Sequential Logic → Latches and Flip-Flops</x:v>
      </x:c>
      <x:c r="G458" s="99" t="str">
        <x:v>Detect both edges</x:v>
      </x:c>
      <x:c r="H458" s="99" t="str">
        <x:v>Mastery check: solve and explain without notes.</x:v>
      </x:c>
      <x:c r="I458" s="98" t="str">
        <x:v>Not Started</x:v>
      </x:c>
      <x:c r="J458" s="98"/>
      <x:c r="K458" s="98" t="str">
        <x:v>None</x:v>
      </x:c>
      <x:c r="L458" s="99"/>
      <x:c r="M458" s="99"/>
      <x:c r="N458" s="99"/>
    </x:row>
    <x:row r="459" ht="34.5" customHeight="1">
      <x:c r="A459" s="34" t="n">
        <x:v>46280</x:v>
      </x:c>
      <x:c r="B459" s="98" t="str">
        <x:v>Final Revision</x:v>
      </x:c>
      <x:c r="C459" s="98" t="n">
        <x:v>10</x:v>
      </x:c>
      <x:c r="D459" s="98" t="n">
        <x:v>97</x:v>
      </x:c>
      <x:c r="E459" s="98" t="n">
        <x:v>95</x:v>
      </x:c>
      <x:c r="F459" s="99" t="str">
        <x:v>Circuits → Sequential Logic → Latches and Flip-Flops</x:v>
      </x:c>
      <x:c r="G459" s="99" t="str">
        <x:v>Edge capture register</x:v>
      </x:c>
      <x:c r="H459" s="99" t="str">
        <x:v>Mastery check: solve and explain without notes.</x:v>
      </x:c>
      <x:c r="I459" s="98" t="str">
        <x:v>Not Started</x:v>
      </x:c>
      <x:c r="J459" s="98"/>
      <x:c r="K459" s="98" t="str">
        <x:v>None</x:v>
      </x:c>
      <x:c r="L459" s="99"/>
      <x:c r="M459" s="99"/>
      <x:c r="N459" s="99"/>
    </x:row>
    <x:row r="460" ht="34.5" customHeight="1">
      <x:c r="A460" s="34" t="n">
        <x:v>46280</x:v>
      </x:c>
      <x:c r="B460" s="98" t="str">
        <x:v>Final Revision</x:v>
      </x:c>
      <x:c r="C460" s="98" t="n">
        <x:v>10</x:v>
      </x:c>
      <x:c r="D460" s="98" t="n">
        <x:v>98</x:v>
      </x:c>
      <x:c r="E460" s="98" t="n">
        <x:v>96</x:v>
      </x:c>
      <x:c r="F460" s="99" t="str">
        <x:v>Circuits → Sequential Logic → Latches and Flip-Flops</x:v>
      </x:c>
      <x:c r="G460" s="99" t="str">
        <x:v>Dual-edge triggered flip-flop</x:v>
      </x:c>
      <x:c r="H460" s="99" t="str">
        <x:v>Mastery check: solve and explain without notes.</x:v>
      </x:c>
      <x:c r="I460" s="98" t="str">
        <x:v>Not Started</x:v>
      </x:c>
      <x:c r="J460" s="98"/>
      <x:c r="K460" s="98" t="str">
        <x:v>None</x:v>
      </x:c>
      <x:c r="L460" s="99"/>
      <x:c r="M460" s="99"/>
      <x:c r="N460" s="99"/>
    </x:row>
    <x:row r="461" ht="34.5" customHeight="1">
      <x:c r="A461" s="34" t="n">
        <x:v>46280</x:v>
      </x:c>
      <x:c r="B461" s="98" t="str">
        <x:v>Final Revision</x:v>
      </x:c>
      <x:c r="C461" s="98" t="n">
        <x:v>10</x:v>
      </x:c>
      <x:c r="D461" s="98" t="n">
        <x:v>99</x:v>
      </x:c>
      <x:c r="E461" s="98" t="n">
        <x:v>97</x:v>
      </x:c>
      <x:c r="F461" s="99" t="str">
        <x:v>Circuits → Sequential Logic → Counters</x:v>
      </x:c>
      <x:c r="G461" s="99" t="str">
        <x:v>Four-bit binary counter</x:v>
      </x:c>
      <x:c r="H461" s="99" t="str">
        <x:v>Mastery check: solve and explain without notes.</x:v>
      </x:c>
      <x:c r="I461" s="98" t="str">
        <x:v>Not Started</x:v>
      </x:c>
      <x:c r="J461" s="98"/>
      <x:c r="K461" s="98" t="str">
        <x:v>None</x:v>
      </x:c>
      <x:c r="L461" s="99"/>
      <x:c r="M461" s="99"/>
      <x:c r="N461" s="99"/>
    </x:row>
    <x:row r="462" ht="34.5" customHeight="1">
      <x:c r="A462" s="34" t="n">
        <x:v>46280</x:v>
      </x:c>
      <x:c r="B462" s="98" t="str">
        <x:v>Final Revision</x:v>
      </x:c>
      <x:c r="C462" s="98" t="n">
        <x:v>10</x:v>
      </x:c>
      <x:c r="D462" s="98" t="n">
        <x:v>100</x:v>
      </x:c>
      <x:c r="E462" s="98" t="n">
        <x:v>98</x:v>
      </x:c>
      <x:c r="F462" s="99" t="str">
        <x:v>Circuits → Sequential Logic → Counters</x:v>
      </x:c>
      <x:c r="G462" s="99" t="str">
        <x:v>Decade counter</x:v>
      </x:c>
      <x:c r="H462" s="99" t="str">
        <x:v>Mastery check: solve and explain without notes.</x:v>
      </x:c>
      <x:c r="I462" s="98" t="str">
        <x:v>Not Started</x:v>
      </x:c>
      <x:c r="J462" s="98"/>
      <x:c r="K462" s="98" t="str">
        <x:v>None</x:v>
      </x:c>
      <x:c r="L462" s="99"/>
      <x:c r="M462" s="99"/>
      <x:c r="N462" s="99"/>
    </x:row>
    <x:row r="463" ht="34.5" customHeight="1">
      <x:c r="A463" s="34" t="n">
        <x:v>46281</x:v>
      </x:c>
      <x:c r="B463" s="98" t="str">
        <x:v>Final Revision</x:v>
      </x:c>
      <x:c r="C463" s="98" t="n">
        <x:v>11</x:v>
      </x:c>
      <x:c r="D463" s="98" t="n">
        <x:v>101</x:v>
      </x:c>
      <x:c r="E463" s="98" t="n">
        <x:v>99</x:v>
      </x:c>
      <x:c r="F463" s="99" t="str">
        <x:v>Circuits → Sequential Logic → Counters</x:v>
      </x:c>
      <x:c r="G463" s="99" t="str">
        <x:v>Decade counter again</x:v>
      </x:c>
      <x:c r="H463" s="99" t="str">
        <x:v>Mastery check: solve and explain without notes.</x:v>
      </x:c>
      <x:c r="I463" s="98" t="str">
        <x:v>Not Started</x:v>
      </x:c>
      <x:c r="J463" s="98"/>
      <x:c r="K463" s="98" t="str">
        <x:v>None</x:v>
      </x:c>
      <x:c r="L463" s="99"/>
      <x:c r="M463" s="99"/>
      <x:c r="N463" s="99"/>
    </x:row>
    <x:row r="464" ht="34.5" customHeight="1">
      <x:c r="A464" s="34" t="n">
        <x:v>46281</x:v>
      </x:c>
      <x:c r="B464" s="98" t="str">
        <x:v>Final Revision</x:v>
      </x:c>
      <x:c r="C464" s="98" t="n">
        <x:v>11</x:v>
      </x:c>
      <x:c r="D464" s="98" t="n">
        <x:v>102</x:v>
      </x:c>
      <x:c r="E464" s="98" t="n">
        <x:v>100</x:v>
      </x:c>
      <x:c r="F464" s="99" t="str">
        <x:v>Circuits → Sequential Logic → Counters</x:v>
      </x:c>
      <x:c r="G464" s="99" t="str">
        <x:v>Slow decade counter</x:v>
      </x:c>
      <x:c r="H464" s="99" t="str">
        <x:v>Mastery check: solve and explain without notes.</x:v>
      </x:c>
      <x:c r="I464" s="98" t="str">
        <x:v>Not Started</x:v>
      </x:c>
      <x:c r="J464" s="98"/>
      <x:c r="K464" s="98" t="str">
        <x:v>None</x:v>
      </x:c>
      <x:c r="L464" s="99"/>
      <x:c r="M464" s="99"/>
      <x:c r="N464" s="99"/>
    </x:row>
    <x:row r="465" ht="34.5" customHeight="1">
      <x:c r="A465" s="34" t="n">
        <x:v>46281</x:v>
      </x:c>
      <x:c r="B465" s="98" t="str">
        <x:v>Final Revision</x:v>
      </x:c>
      <x:c r="C465" s="98" t="n">
        <x:v>11</x:v>
      </x:c>
      <x:c r="D465" s="98" t="n">
        <x:v>103</x:v>
      </x:c>
      <x:c r="E465" s="98" t="n">
        <x:v>143</x:v>
      </x:c>
      <x:c r="F465" s="99" t="str">
        <x:v>Circuits → Sequential Logic → Counters</x:v>
      </x:c>
      <x:c r="G465" s="99" t="str">
        <x:v>Counter 1-12</x:v>
      </x:c>
      <x:c r="H465" s="99" t="str">
        <x:v>Mastery check: solve and explain without notes.</x:v>
      </x:c>
      <x:c r="I465" s="98" t="str">
        <x:v>Not Started</x:v>
      </x:c>
      <x:c r="J465" s="98"/>
      <x:c r="K465" s="98" t="str">
        <x:v>None</x:v>
      </x:c>
      <x:c r="L465" s="99"/>
      <x:c r="M465" s="99"/>
      <x:c r="N465" s="99"/>
    </x:row>
    <x:row r="466" ht="34.5" customHeight="1">
      <x:c r="A466" s="34" t="n">
        <x:v>46281</x:v>
      </x:c>
      <x:c r="B466" s="98" t="str">
        <x:v>Final Revision</x:v>
      </x:c>
      <x:c r="C466" s="98" t="n">
        <x:v>11</x:v>
      </x:c>
      <x:c r="D466" s="98" t="n">
        <x:v>104</x:v>
      </x:c>
      <x:c r="E466" s="98" t="n">
        <x:v>144</x:v>
      </x:c>
      <x:c r="F466" s="99" t="str">
        <x:v>Circuits → Sequential Logic → Counters</x:v>
      </x:c>
      <x:c r="G466" s="99" t="str">
        <x:v>Counter 1000</x:v>
      </x:c>
      <x:c r="H466" s="99" t="str">
        <x:v>Mastery check: solve and explain without notes.</x:v>
      </x:c>
      <x:c r="I466" s="98" t="str">
        <x:v>Not Started</x:v>
      </x:c>
      <x:c r="J466" s="98"/>
      <x:c r="K466" s="98" t="str">
        <x:v>None</x:v>
      </x:c>
      <x:c r="L466" s="99"/>
      <x:c r="M466" s="99"/>
      <x:c r="N466" s="99"/>
    </x:row>
    <x:row r="467" ht="34.5" customHeight="1">
      <x:c r="A467" s="34" t="n">
        <x:v>46281</x:v>
      </x:c>
      <x:c r="B467" s="98" t="str">
        <x:v>Final Revision</x:v>
      </x:c>
      <x:c r="C467" s="98" t="n">
        <x:v>11</x:v>
      </x:c>
      <x:c r="D467" s="98" t="n">
        <x:v>105</x:v>
      </x:c>
      <x:c r="E467" s="98" t="n">
        <x:v>145</x:v>
      </x:c>
      <x:c r="F467" s="99" t="str">
        <x:v>Circuits → Sequential Logic → Counters</x:v>
      </x:c>
      <x:c r="G467" s="99" t="str">
        <x:v>4-digit decimal counter</x:v>
      </x:c>
      <x:c r="H467" s="99" t="str">
        <x:v>Mastery check: solve and explain without notes.</x:v>
      </x:c>
      <x:c r="I467" s="98" t="str">
        <x:v>Not Started</x:v>
      </x:c>
      <x:c r="J467" s="98"/>
      <x:c r="K467" s="98" t="str">
        <x:v>None</x:v>
      </x:c>
      <x:c r="L467" s="99"/>
      <x:c r="M467" s="99"/>
      <x:c r="N467" s="99"/>
    </x:row>
    <x:row r="468" ht="34.5" customHeight="1">
      <x:c r="A468" s="34" t="n">
        <x:v>46281</x:v>
      </x:c>
      <x:c r="B468" s="98" t="str">
        <x:v>Final Revision</x:v>
      </x:c>
      <x:c r="C468" s="98" t="n">
        <x:v>11</x:v>
      </x:c>
      <x:c r="D468" s="98" t="n">
        <x:v>106</x:v>
      </x:c>
      <x:c r="E468" s="98" t="n">
        <x:v>146</x:v>
      </x:c>
      <x:c r="F468" s="99" t="str">
        <x:v>Circuits → Sequential Logic → Counters</x:v>
      </x:c>
      <x:c r="G468" s="99" t="str">
        <x:v>12-hour clock</x:v>
      </x:c>
      <x:c r="H468" s="99" t="str">
        <x:v>Mastery check: solve and explain without notes.</x:v>
      </x:c>
      <x:c r="I468" s="98" t="str">
        <x:v>Not Started</x:v>
      </x:c>
      <x:c r="J468" s="98"/>
      <x:c r="K468" s="98" t="str">
        <x:v>None</x:v>
      </x:c>
      <x:c r="L468" s="99"/>
      <x:c r="M468" s="99"/>
      <x:c r="N468" s="99"/>
    </x:row>
    <x:row r="469" ht="34.5" customHeight="1">
      <x:c r="A469" s="34" t="n">
        <x:v>46281</x:v>
      </x:c>
      <x:c r="B469" s="98" t="str">
        <x:v>Final Revision</x:v>
      </x:c>
      <x:c r="C469" s="98" t="n">
        <x:v>11</x:v>
      </x:c>
      <x:c r="D469" s="98" t="n">
        <x:v>107</x:v>
      </x:c>
      <x:c r="E469" s="98" t="n">
        <x:v>101</x:v>
      </x:c>
      <x:c r="F469" s="99" t="str">
        <x:v>Circuits → Sequential Logic → Shift Registers</x:v>
      </x:c>
      <x:c r="G469" s="99" t="str">
        <x:v>4-bit shift register</x:v>
      </x:c>
      <x:c r="H469" s="99" t="str">
        <x:v>Mastery check: solve and explain without notes.</x:v>
      </x:c>
      <x:c r="I469" s="98" t="str">
        <x:v>Not Started</x:v>
      </x:c>
      <x:c r="J469" s="98"/>
      <x:c r="K469" s="98" t="str">
        <x:v>None</x:v>
      </x:c>
      <x:c r="L469" s="99"/>
      <x:c r="M469" s="99"/>
      <x:c r="N469" s="99"/>
    </x:row>
    <x:row r="470" ht="34.5" customHeight="1">
      <x:c r="A470" s="34" t="n">
        <x:v>46281</x:v>
      </x:c>
      <x:c r="B470" s="98" t="str">
        <x:v>Final Revision</x:v>
      </x:c>
      <x:c r="C470" s="98" t="n">
        <x:v>11</x:v>
      </x:c>
      <x:c r="D470" s="98" t="n">
        <x:v>108</x:v>
      </x:c>
      <x:c r="E470" s="98" t="n">
        <x:v>102</x:v>
      </x:c>
      <x:c r="F470" s="99" t="str">
        <x:v>Circuits → Sequential Logic → Shift Registers</x:v>
      </x:c>
      <x:c r="G470" s="99" t="str">
        <x:v>Left/right rotator</x:v>
      </x:c>
      <x:c r="H470" s="99" t="str">
        <x:v>Mastery check: solve and explain without notes.</x:v>
      </x:c>
      <x:c r="I470" s="98" t="str">
        <x:v>Not Started</x:v>
      </x:c>
      <x:c r="J470" s="98"/>
      <x:c r="K470" s="98" t="str">
        <x:v>None</x:v>
      </x:c>
      <x:c r="L470" s="99"/>
      <x:c r="M470" s="99"/>
      <x:c r="N470" s="99"/>
    </x:row>
    <x:row r="471" ht="34.5" customHeight="1">
      <x:c r="A471" s="34" t="n">
        <x:v>46281</x:v>
      </x:c>
      <x:c r="B471" s="98" t="str">
        <x:v>Final Revision</x:v>
      </x:c>
      <x:c r="C471" s="98" t="n">
        <x:v>11</x:v>
      </x:c>
      <x:c r="D471" s="98" t="n">
        <x:v>109</x:v>
      </x:c>
      <x:c r="E471" s="98" t="n">
        <x:v>103</x:v>
      </x:c>
      <x:c r="F471" s="99" t="str">
        <x:v>Circuits → Sequential Logic → Shift Registers</x:v>
      </x:c>
      <x:c r="G471" s="99" t="str">
        <x:v>Left/right arithmetic shift by 1 or 8</x:v>
      </x:c>
      <x:c r="H471" s="99" t="str">
        <x:v>Mastery check: solve and explain without notes.</x:v>
      </x:c>
      <x:c r="I471" s="98" t="str">
        <x:v>Not Started</x:v>
      </x:c>
      <x:c r="J471" s="98"/>
      <x:c r="K471" s="98" t="str">
        <x:v>None</x:v>
      </x:c>
      <x:c r="L471" s="99"/>
      <x:c r="M471" s="99"/>
      <x:c r="N471" s="99"/>
    </x:row>
    <x:row r="472" ht="34.5" customHeight="1">
      <x:c r="A472" s="34" t="n">
        <x:v>46281</x:v>
      </x:c>
      <x:c r="B472" s="98" t="str">
        <x:v>Final Revision</x:v>
      </x:c>
      <x:c r="C472" s="98" t="n">
        <x:v>11</x:v>
      </x:c>
      <x:c r="D472" s="98" t="n">
        <x:v>110</x:v>
      </x:c>
      <x:c r="E472" s="98" t="n">
        <x:v>104</x:v>
      </x:c>
      <x:c r="F472" s="99" t="str">
        <x:v>Circuits → Sequential Logic → Shift Registers</x:v>
      </x:c>
      <x:c r="G472" s="99" t="str">
        <x:v>5-bit LFSR</x:v>
      </x:c>
      <x:c r="H472" s="99" t="str">
        <x:v>Mastery check: solve and explain without notes.</x:v>
      </x:c>
      <x:c r="I472" s="98" t="str">
        <x:v>Not Started</x:v>
      </x:c>
      <x:c r="J472" s="98"/>
      <x:c r="K472" s="98" t="str">
        <x:v>None</x:v>
      </x:c>
      <x:c r="L472" s="99"/>
      <x:c r="M472" s="99"/>
      <x:c r="N472" s="99"/>
    </x:row>
    <x:row r="473" ht="34.5" customHeight="1">
      <x:c r="A473" s="34" t="n">
        <x:v>46282</x:v>
      </x:c>
      <x:c r="B473" s="98" t="str">
        <x:v>Final Revision</x:v>
      </x:c>
      <x:c r="C473" s="98" t="n">
        <x:v>12</x:v>
      </x:c>
      <x:c r="D473" s="98" t="n">
        <x:v>111</x:v>
      </x:c>
      <x:c r="E473" s="98" t="n">
        <x:v>105</x:v>
      </x:c>
      <x:c r="F473" s="99" t="str">
        <x:v>Circuits → Sequential Logic → Shift Registers</x:v>
      </x:c>
      <x:c r="G473" s="99" t="str">
        <x:v>3-bit LFSR</x:v>
      </x:c>
      <x:c r="H473" s="99" t="str">
        <x:v>Mastery check: solve and explain without notes.</x:v>
      </x:c>
      <x:c r="I473" s="98" t="str">
        <x:v>Not Started</x:v>
      </x:c>
      <x:c r="J473" s="98"/>
      <x:c r="K473" s="98" t="str">
        <x:v>None</x:v>
      </x:c>
      <x:c r="L473" s="99"/>
      <x:c r="M473" s="99"/>
      <x:c r="N473" s="99"/>
    </x:row>
    <x:row r="474" ht="34.5" customHeight="1">
      <x:c r="A474" s="34" t="n">
        <x:v>46282</x:v>
      </x:c>
      <x:c r="B474" s="98" t="str">
        <x:v>Final Revision</x:v>
      </x:c>
      <x:c r="C474" s="98" t="n">
        <x:v>12</x:v>
      </x:c>
      <x:c r="D474" s="98" t="n">
        <x:v>112</x:v>
      </x:c>
      <x:c r="E474" s="98" t="n">
        <x:v>106</x:v>
      </x:c>
      <x:c r="F474" s="99" t="str">
        <x:v>Circuits → Sequential Logic → Shift Registers</x:v>
      </x:c>
      <x:c r="G474" s="99" t="str">
        <x:v>32-bit LFSR</x:v>
      </x:c>
      <x:c r="H474" s="99" t="str">
        <x:v>Mastery check: solve and explain without notes.</x:v>
      </x:c>
      <x:c r="I474" s="98" t="str">
        <x:v>Not Started</x:v>
      </x:c>
      <x:c r="J474" s="98"/>
      <x:c r="K474" s="98" t="str">
        <x:v>None</x:v>
      </x:c>
      <x:c r="L474" s="99"/>
      <x:c r="M474" s="99"/>
      <x:c r="N474" s="99"/>
    </x:row>
    <x:row r="475" ht="34.5" customHeight="1">
      <x:c r="A475" s="34" t="n">
        <x:v>46282</x:v>
      </x:c>
      <x:c r="B475" s="98" t="str">
        <x:v>Final Revision</x:v>
      </x:c>
      <x:c r="C475" s="98" t="n">
        <x:v>12</x:v>
      </x:c>
      <x:c r="D475" s="98" t="n">
        <x:v>113</x:v>
      </x:c>
      <x:c r="E475" s="98" t="n">
        <x:v>107</x:v>
      </x:c>
      <x:c r="F475" s="99" t="str">
        <x:v>Circuits → Sequential Logic → Shift Registers</x:v>
      </x:c>
      <x:c r="G475" s="99" t="str">
        <x:v>Shift register</x:v>
      </x:c>
      <x:c r="H475" s="99" t="str">
        <x:v>Mastery check: solve and explain without notes.</x:v>
      </x:c>
      <x:c r="I475" s="98" t="str">
        <x:v>Not Started</x:v>
      </x:c>
      <x:c r="J475" s="98"/>
      <x:c r="K475" s="98" t="str">
        <x:v>None</x:v>
      </x:c>
      <x:c r="L475" s="99"/>
      <x:c r="M475" s="99"/>
      <x:c r="N475" s="99"/>
    </x:row>
    <x:row r="476" ht="34.5" customHeight="1">
      <x:c r="A476" s="34" t="n">
        <x:v>46282</x:v>
      </x:c>
      <x:c r="B476" s="98" t="str">
        <x:v>Final Revision</x:v>
      </x:c>
      <x:c r="C476" s="98" t="n">
        <x:v>12</x:v>
      </x:c>
      <x:c r="D476" s="98" t="n">
        <x:v>114</x:v>
      </x:c>
      <x:c r="E476" s="98" t="n">
        <x:v>108</x:v>
      </x:c>
      <x:c r="F476" s="99" t="str">
        <x:v>Circuits → Sequential Logic → Shift Registers</x:v>
      </x:c>
      <x:c r="G476" s="99" t="str">
        <x:v>Shift register</x:v>
      </x:c>
      <x:c r="H476" s="99" t="str">
        <x:v>Mastery check: solve and explain without notes.</x:v>
      </x:c>
      <x:c r="I476" s="98" t="str">
        <x:v>Not Started</x:v>
      </x:c>
      <x:c r="J476" s="98"/>
      <x:c r="K476" s="98" t="str">
        <x:v>None</x:v>
      </x:c>
      <x:c r="L476" s="99"/>
      <x:c r="M476" s="99"/>
      <x:c r="N476" s="99"/>
    </x:row>
    <x:row r="477" ht="34.5" customHeight="1">
      <x:c r="A477" s="34" t="n">
        <x:v>46282</x:v>
      </x:c>
      <x:c r="B477" s="98" t="str">
        <x:v>Final Revision</x:v>
      </x:c>
      <x:c r="C477" s="98" t="n">
        <x:v>12</x:v>
      </x:c>
      <x:c r="D477" s="98" t="n">
        <x:v>115</x:v>
      </x:c>
      <x:c r="E477" s="98" t="n">
        <x:v>109</x:v>
      </x:c>
      <x:c r="F477" s="99" t="str">
        <x:v>Circuits → Sequential Logic → Shift Registers</x:v>
      </x:c>
      <x:c r="G477" s="99" t="str">
        <x:v>3-input LUT</x:v>
      </x:c>
      <x:c r="H477" s="99" t="str">
        <x:v>Mastery check: solve and explain without notes.</x:v>
      </x:c>
      <x:c r="I477" s="98" t="str">
        <x:v>Not Started</x:v>
      </x:c>
      <x:c r="J477" s="98"/>
      <x:c r="K477" s="98" t="str">
        <x:v>None</x:v>
      </x:c>
      <x:c r="L477" s="99"/>
      <x:c r="M477" s="99"/>
      <x:c r="N477" s="99"/>
    </x:row>
    <x:row r="478" ht="34.5" customHeight="1">
      <x:c r="A478" s="34" t="n">
        <x:v>46282</x:v>
      </x:c>
      <x:c r="B478" s="98" t="str">
        <x:v>Final Revision</x:v>
      </x:c>
      <x:c r="C478" s="98" t="n">
        <x:v>12</x:v>
      </x:c>
      <x:c r="D478" s="98" t="n">
        <x:v>116</x:v>
      </x:c>
      <x:c r="E478" s="98" t="n">
        <x:v>175</x:v>
      </x:c>
      <x:c r="F478" s="99" t="str">
        <x:v>Circuits → Sequential Logic → More Circuits</x:v>
      </x:c>
      <x:c r="G478" s="99" t="str">
        <x:v>Rule 90</x:v>
      </x:c>
      <x:c r="H478" s="99" t="str">
        <x:v>Mastery check: solve and explain without notes.</x:v>
      </x:c>
      <x:c r="I478" s="98" t="str">
        <x:v>Not Started</x:v>
      </x:c>
      <x:c r="J478" s="98"/>
      <x:c r="K478" s="98" t="str">
        <x:v>None</x:v>
      </x:c>
      <x:c r="L478" s="99"/>
      <x:c r="M478" s="99"/>
      <x:c r="N478" s="99"/>
    </x:row>
    <x:row r="479" ht="34.5" customHeight="1">
      <x:c r="A479" s="34" t="n">
        <x:v>46282</x:v>
      </x:c>
      <x:c r="B479" s="98" t="str">
        <x:v>Final Revision</x:v>
      </x:c>
      <x:c r="C479" s="98" t="n">
        <x:v>12</x:v>
      </x:c>
      <x:c r="D479" s="98" t="n">
        <x:v>117</x:v>
      </x:c>
      <x:c r="E479" s="98" t="n">
        <x:v>176</x:v>
      </x:c>
      <x:c r="F479" s="99" t="str">
        <x:v>Circuits → Sequential Logic → More Circuits</x:v>
      </x:c>
      <x:c r="G479" s="99" t="str">
        <x:v>Rule 110</x:v>
      </x:c>
      <x:c r="H479" s="99" t="str">
        <x:v>Mastery check: solve and explain without notes.</x:v>
      </x:c>
      <x:c r="I479" s="98" t="str">
        <x:v>Not Started</x:v>
      </x:c>
      <x:c r="J479" s="98"/>
      <x:c r="K479" s="98" t="str">
        <x:v>None</x:v>
      </x:c>
      <x:c r="L479" s="99"/>
      <x:c r="M479" s="99"/>
      <x:c r="N479" s="99"/>
    </x:row>
    <x:row r="480" ht="34.5" customHeight="1">
      <x:c r="A480" s="34" t="n">
        <x:v>46282</x:v>
      </x:c>
      <x:c r="B480" s="98" t="str">
        <x:v>Final Revision</x:v>
      </x:c>
      <x:c r="C480" s="98" t="n">
        <x:v>12</x:v>
      </x:c>
      <x:c r="D480" s="98" t="n">
        <x:v>118</x:v>
      </x:c>
      <x:c r="E480" s="98" t="n">
        <x:v>179</x:v>
      </x:c>
      <x:c r="F480" s="99" t="str">
        <x:v>Circuits → Sequential Logic → More Circuits</x:v>
      </x:c>
      <x:c r="G480" s="99" t="str">
        <x:v>Conway's Game of Life 16x16</x:v>
      </x:c>
      <x:c r="H480" s="99" t="str">
        <x:v>Mastery check: solve and explain without notes.</x:v>
      </x:c>
      <x:c r="I480" s="98" t="str">
        <x:v>Not Started</x:v>
      </x:c>
      <x:c r="J480" s="98"/>
      <x:c r="K480" s="98" t="str">
        <x:v>None</x:v>
      </x:c>
      <x:c r="L480" s="99"/>
      <x:c r="M480" s="99"/>
      <x:c r="N480" s="99"/>
    </x:row>
    <x:row r="481" ht="34.5" customHeight="1">
      <x:c r="A481" s="34" t="n">
        <x:v>46282</x:v>
      </x:c>
      <x:c r="B481" s="98" t="str">
        <x:v>Final Revision</x:v>
      </x:c>
      <x:c r="C481" s="98" t="n">
        <x:v>12</x:v>
      </x:c>
      <x:c r="D481" s="98" t="n">
        <x:v>119</x:v>
      </x:c>
      <x:c r="E481" s="98" t="n">
        <x:v>110</x:v>
      </x:c>
      <x:c r="F481" s="99" t="str">
        <x:v>Circuits → Sequential Logic → Finite State Machines</x:v>
      </x:c>
      <x:c r="G481" s="99" t="str">
        <x:v>Simple FSM 1 (asynchronous reset)</x:v>
      </x:c>
      <x:c r="H481" s="99" t="str">
        <x:v>Mastery check: solve and explain without notes.</x:v>
      </x:c>
      <x:c r="I481" s="98" t="str">
        <x:v>Not Started</x:v>
      </x:c>
      <x:c r="J481" s="98"/>
      <x:c r="K481" s="98" t="str">
        <x:v>None</x:v>
      </x:c>
      <x:c r="L481" s="99"/>
      <x:c r="M481" s="99"/>
      <x:c r="N481" s="99"/>
    </x:row>
    <x:row r="482" ht="34.5" customHeight="1">
      <x:c r="A482" s="34" t="n">
        <x:v>46282</x:v>
      </x:c>
      <x:c r="B482" s="98" t="str">
        <x:v>Final Revision</x:v>
      </x:c>
      <x:c r="C482" s="98" t="n">
        <x:v>12</x:v>
      </x:c>
      <x:c r="D482" s="98" t="n">
        <x:v>120</x:v>
      </x:c>
      <x:c r="E482" s="98" t="n">
        <x:v>111</x:v>
      </x:c>
      <x:c r="F482" s="99" t="str">
        <x:v>Circuits → Sequential Logic → Finite State Machines</x:v>
      </x:c>
      <x:c r="G482" s="99" t="str">
        <x:v>Simple FSM 1 (synchronous reset)</x:v>
      </x:c>
      <x:c r="H482" s="99" t="str">
        <x:v>Mastery check: solve and explain without notes.</x:v>
      </x:c>
      <x:c r="I482" s="98" t="str">
        <x:v>Not Started</x:v>
      </x:c>
      <x:c r="J482" s="98"/>
      <x:c r="K482" s="98" t="str">
        <x:v>None</x:v>
      </x:c>
      <x:c r="L482" s="99"/>
      <x:c r="M482" s="99"/>
      <x:c r="N482" s="99"/>
    </x:row>
    <x:row r="483" ht="34.5" customHeight="1">
      <x:c r="A483" s="34" t="n">
        <x:v>46283</x:v>
      </x:c>
      <x:c r="B483" s="98" t="str">
        <x:v>Final Revision</x:v>
      </x:c>
      <x:c r="C483" s="98" t="n">
        <x:v>13</x:v>
      </x:c>
      <x:c r="D483" s="98" t="n">
        <x:v>121</x:v>
      </x:c>
      <x:c r="E483" s="98" t="n">
        <x:v>112</x:v>
      </x:c>
      <x:c r="F483" s="99" t="str">
        <x:v>Circuits → Sequential Logic → Finite State Machines</x:v>
      </x:c>
      <x:c r="G483" s="99" t="str">
        <x:v>Simple FSM 2 (asynchronous reset)</x:v>
      </x:c>
      <x:c r="H483" s="99" t="str">
        <x:v>Mastery check: solve and explain without notes.</x:v>
      </x:c>
      <x:c r="I483" s="98" t="str">
        <x:v>Not Started</x:v>
      </x:c>
      <x:c r="J483" s="98"/>
      <x:c r="K483" s="98" t="str">
        <x:v>None</x:v>
      </x:c>
      <x:c r="L483" s="99"/>
      <x:c r="M483" s="99"/>
      <x:c r="N483" s="99"/>
    </x:row>
    <x:row r="484" ht="34.5" customHeight="1">
      <x:c r="A484" s="34" t="n">
        <x:v>46283</x:v>
      </x:c>
      <x:c r="B484" s="98" t="str">
        <x:v>Final Revision</x:v>
      </x:c>
      <x:c r="C484" s="98" t="n">
        <x:v>13</x:v>
      </x:c>
      <x:c r="D484" s="98" t="n">
        <x:v>122</x:v>
      </x:c>
      <x:c r="E484" s="98" t="n">
        <x:v>113</x:v>
      </x:c>
      <x:c r="F484" s="99" t="str">
        <x:v>Circuits → Sequential Logic → Finite State Machines</x:v>
      </x:c>
      <x:c r="G484" s="99" t="str">
        <x:v>Simple FSM 2 (synchronous reset)</x:v>
      </x:c>
      <x:c r="H484" s="99" t="str">
        <x:v>Mastery check: solve and explain without notes.</x:v>
      </x:c>
      <x:c r="I484" s="98" t="str">
        <x:v>Not Started</x:v>
      </x:c>
      <x:c r="J484" s="98"/>
      <x:c r="K484" s="98" t="str">
        <x:v>None</x:v>
      </x:c>
      <x:c r="L484" s="99"/>
      <x:c r="M484" s="99"/>
      <x:c r="N484" s="99"/>
    </x:row>
    <x:row r="485" ht="34.5" customHeight="1">
      <x:c r="A485" s="34" t="n">
        <x:v>46283</x:v>
      </x:c>
      <x:c r="B485" s="98" t="str">
        <x:v>Final Revision</x:v>
      </x:c>
      <x:c r="C485" s="98" t="n">
        <x:v>13</x:v>
      </x:c>
      <x:c r="D485" s="98" t="n">
        <x:v>123</x:v>
      </x:c>
      <x:c r="E485" s="98" t="n">
        <x:v>114</x:v>
      </x:c>
      <x:c r="F485" s="99" t="str">
        <x:v>Circuits → Sequential Logic → Finite State Machines</x:v>
      </x:c>
      <x:c r="G485" s="99" t="str">
        <x:v>Simple state transitions 3</x:v>
      </x:c>
      <x:c r="H485" s="99" t="str">
        <x:v>Mastery check: solve and explain without notes.</x:v>
      </x:c>
      <x:c r="I485" s="98" t="str">
        <x:v>Not Started</x:v>
      </x:c>
      <x:c r="J485" s="98"/>
      <x:c r="K485" s="98" t="str">
        <x:v>None</x:v>
      </x:c>
      <x:c r="L485" s="99"/>
      <x:c r="M485" s="99"/>
      <x:c r="N485" s="99"/>
    </x:row>
    <x:row r="486" ht="34.5" customHeight="1">
      <x:c r="A486" s="34" t="n">
        <x:v>46283</x:v>
      </x:c>
      <x:c r="B486" s="98" t="str">
        <x:v>Final Revision</x:v>
      </x:c>
      <x:c r="C486" s="98" t="n">
        <x:v>13</x:v>
      </x:c>
      <x:c r="D486" s="98" t="n">
        <x:v>124</x:v>
      </x:c>
      <x:c r="E486" s="98" t="n">
        <x:v>115</x:v>
      </x:c>
      <x:c r="F486" s="99" t="str">
        <x:v>Circuits → Sequential Logic → Finite State Machines</x:v>
      </x:c>
      <x:c r="G486" s="99" t="str">
        <x:v>Simple one-hot state transitions 3</x:v>
      </x:c>
      <x:c r="H486" s="99" t="str">
        <x:v>Mastery check: solve and explain without notes.</x:v>
      </x:c>
      <x:c r="I486" s="98" t="str">
        <x:v>Not Started</x:v>
      </x:c>
      <x:c r="J486" s="98"/>
      <x:c r="K486" s="98" t="str">
        <x:v>None</x:v>
      </x:c>
      <x:c r="L486" s="99"/>
      <x:c r="M486" s="99"/>
      <x:c r="N486" s="99"/>
    </x:row>
    <x:row r="487" ht="34.5" customHeight="1">
      <x:c r="A487" s="34" t="n">
        <x:v>46283</x:v>
      </x:c>
      <x:c r="B487" s="98" t="str">
        <x:v>Final Revision</x:v>
      </x:c>
      <x:c r="C487" s="98" t="n">
        <x:v>13</x:v>
      </x:c>
      <x:c r="D487" s="98" t="n">
        <x:v>125</x:v>
      </x:c>
      <x:c r="E487" s="98" t="n">
        <x:v>116</x:v>
      </x:c>
      <x:c r="F487" s="99" t="str">
        <x:v>Circuits → Sequential Logic → Finite State Machines</x:v>
      </x:c>
      <x:c r="G487" s="99" t="str">
        <x:v>Simple FSM 3 (asynchronous reset)</x:v>
      </x:c>
      <x:c r="H487" s="99" t="str">
        <x:v>Mastery check: solve and explain without notes.</x:v>
      </x:c>
      <x:c r="I487" s="98" t="str">
        <x:v>Not Started</x:v>
      </x:c>
      <x:c r="J487" s="98"/>
      <x:c r="K487" s="98" t="str">
        <x:v>None</x:v>
      </x:c>
      <x:c r="L487" s="99"/>
      <x:c r="M487" s="99"/>
      <x:c r="N487" s="99"/>
    </x:row>
    <x:row r="488" ht="34.5" customHeight="1">
      <x:c r="A488" s="34" t="n">
        <x:v>46283</x:v>
      </x:c>
      <x:c r="B488" s="98" t="str">
        <x:v>Final Revision</x:v>
      </x:c>
      <x:c r="C488" s="98" t="n">
        <x:v>13</x:v>
      </x:c>
      <x:c r="D488" s="98" t="n">
        <x:v>126</x:v>
      </x:c>
      <x:c r="E488" s="98" t="n">
        <x:v>117</x:v>
      </x:c>
      <x:c r="F488" s="99" t="str">
        <x:v>Circuits → Sequential Logic → Finite State Machines</x:v>
      </x:c>
      <x:c r="G488" s="99" t="str">
        <x:v>Simple FSM 3 (synchronous reset)</x:v>
      </x:c>
      <x:c r="H488" s="99" t="str">
        <x:v>Mastery check: solve and explain without notes.</x:v>
      </x:c>
      <x:c r="I488" s="98" t="str">
        <x:v>Not Started</x:v>
      </x:c>
      <x:c r="J488" s="98"/>
      <x:c r="K488" s="98" t="str">
        <x:v>None</x:v>
      </x:c>
      <x:c r="L488" s="99"/>
      <x:c r="M488" s="99"/>
      <x:c r="N488" s="99"/>
    </x:row>
    <x:row r="489" ht="34.5" customHeight="1">
      <x:c r="A489" s="34" t="n">
        <x:v>46283</x:v>
      </x:c>
      <x:c r="B489" s="98" t="str">
        <x:v>Final Revision</x:v>
      </x:c>
      <x:c r="C489" s="98" t="n">
        <x:v>13</x:v>
      </x:c>
      <x:c r="D489" s="98" t="n">
        <x:v>127</x:v>
      </x:c>
      <x:c r="E489" s="98" t="n">
        <x:v>118</x:v>
      </x:c>
      <x:c r="F489" s="99" t="str">
        <x:v>Circuits → Sequential Logic → Finite State Machines</x:v>
      </x:c>
      <x:c r="G489" s="99" t="str">
        <x:v>Design a Moore FSM</x:v>
      </x:c>
      <x:c r="H489" s="99" t="str">
        <x:v>Mastery check: solve and explain without notes.</x:v>
      </x:c>
      <x:c r="I489" s="98" t="str">
        <x:v>Not Started</x:v>
      </x:c>
      <x:c r="J489" s="98"/>
      <x:c r="K489" s="98" t="str">
        <x:v>None</x:v>
      </x:c>
      <x:c r="L489" s="99"/>
      <x:c r="M489" s="99"/>
      <x:c r="N489" s="99"/>
    </x:row>
    <x:row r="490" ht="34.5" customHeight="1">
      <x:c r="A490" s="34" t="n">
        <x:v>46283</x:v>
      </x:c>
      <x:c r="B490" s="98" t="str">
        <x:v>Final Revision</x:v>
      </x:c>
      <x:c r="C490" s="98" t="n">
        <x:v>13</x:v>
      </x:c>
      <x:c r="D490" s="98" t="n">
        <x:v>128</x:v>
      </x:c>
      <x:c r="E490" s="98" t="n">
        <x:v>119</x:v>
      </x:c>
      <x:c r="F490" s="99" t="str">
        <x:v>Circuits → Sequential Logic → Finite State Machines</x:v>
      </x:c>
      <x:c r="G490" s="99" t="str">
        <x:v>Lemmings 1</x:v>
      </x:c>
      <x:c r="H490" s="99" t="str">
        <x:v>Mastery check: solve and explain without notes.</x:v>
      </x:c>
      <x:c r="I490" s="98" t="str">
        <x:v>Not Started</x:v>
      </x:c>
      <x:c r="J490" s="98"/>
      <x:c r="K490" s="98" t="str">
        <x:v>None</x:v>
      </x:c>
      <x:c r="L490" s="99"/>
      <x:c r="M490" s="99"/>
      <x:c r="N490" s="99"/>
    </x:row>
    <x:row r="491" ht="34.5" customHeight="1">
      <x:c r="A491" s="34" t="n">
        <x:v>46283</x:v>
      </x:c>
      <x:c r="B491" s="98" t="str">
        <x:v>Final Revision</x:v>
      </x:c>
      <x:c r="C491" s="98" t="n">
        <x:v>13</x:v>
      </x:c>
      <x:c r="D491" s="98" t="n">
        <x:v>129</x:v>
      </x:c>
      <x:c r="E491" s="98" t="n">
        <x:v>159</x:v>
      </x:c>
      <x:c r="F491" s="99" t="str">
        <x:v>Circuits → Sequential Logic → Finite State Machines</x:v>
      </x:c>
      <x:c r="G491" s="99" t="str">
        <x:v>Lemmings 2</x:v>
      </x:c>
      <x:c r="H491" s="99" t="str">
        <x:v>Mastery check: solve and explain without notes.</x:v>
      </x:c>
      <x:c r="I491" s="98" t="str">
        <x:v>Not Started</x:v>
      </x:c>
      <x:c r="J491" s="98"/>
      <x:c r="K491" s="98" t="str">
        <x:v>None</x:v>
      </x:c>
      <x:c r="L491" s="99"/>
      <x:c r="M491" s="99"/>
      <x:c r="N491" s="99"/>
    </x:row>
    <x:row r="492" ht="34.5" customHeight="1">
      <x:c r="A492" s="34" t="n">
        <x:v>46283</x:v>
      </x:c>
      <x:c r="B492" s="98" t="str">
        <x:v>Final Revision</x:v>
      </x:c>
      <x:c r="C492" s="98" t="n">
        <x:v>13</x:v>
      </x:c>
      <x:c r="D492" s="98" t="n">
        <x:v>130</x:v>
      </x:c>
      <x:c r="E492" s="98" t="n">
        <x:v>160</x:v>
      </x:c>
      <x:c r="F492" s="99" t="str">
        <x:v>Circuits → Sequential Logic → Finite State Machines</x:v>
      </x:c>
      <x:c r="G492" s="99" t="str">
        <x:v>Lemmings 3</x:v>
      </x:c>
      <x:c r="H492" s="99" t="str">
        <x:v>Mastery check: solve and explain without notes.</x:v>
      </x:c>
      <x:c r="I492" s="98" t="str">
        <x:v>Not Started</x:v>
      </x:c>
      <x:c r="J492" s="98"/>
      <x:c r="K492" s="98" t="str">
        <x:v>None</x:v>
      </x:c>
      <x:c r="L492" s="99"/>
      <x:c r="M492" s="99"/>
      <x:c r="N492" s="99"/>
    </x:row>
    <x:row r="493" ht="34.5" customHeight="1">
      <x:c r="A493" s="34" t="n">
        <x:v>46284</x:v>
      </x:c>
      <x:c r="B493" s="98" t="str">
        <x:v>Final Revision</x:v>
      </x:c>
      <x:c r="C493" s="98" t="n">
        <x:v>14</x:v>
      </x:c>
      <x:c r="D493" s="98" t="n">
        <x:v>131</x:v>
      </x:c>
      <x:c r="E493" s="98" t="n">
        <x:v>161</x:v>
      </x:c>
      <x:c r="F493" s="99" t="str">
        <x:v>Circuits → Sequential Logic → Finite State Machines</x:v>
      </x:c>
      <x:c r="G493" s="99" t="str">
        <x:v>Lemmings 4</x:v>
      </x:c>
      <x:c r="H493" s="99" t="str">
        <x:v>Mastery check: solve and explain without notes.</x:v>
      </x:c>
      <x:c r="I493" s="98" t="str">
        <x:v>Not Started</x:v>
      </x:c>
      <x:c r="J493" s="98"/>
      <x:c r="K493" s="98" t="str">
        <x:v>None</x:v>
      </x:c>
      <x:c r="L493" s="99"/>
      <x:c r="M493" s="99"/>
      <x:c r="N493" s="99"/>
    </x:row>
    <x:row r="494" ht="34.5" customHeight="1">
      <x:c r="A494" s="34" t="n">
        <x:v>46284</x:v>
      </x:c>
      <x:c r="B494" s="98" t="str">
        <x:v>Final Revision</x:v>
      </x:c>
      <x:c r="C494" s="98" t="n">
        <x:v>14</x:v>
      </x:c>
      <x:c r="D494" s="98" t="n">
        <x:v>132</x:v>
      </x:c>
      <x:c r="E494" s="98" t="n">
        <x:v>162</x:v>
      </x:c>
      <x:c r="F494" s="99" t="str">
        <x:v>Circuits → Sequential Logic → Finite State Machines</x:v>
      </x:c>
      <x:c r="G494" s="99" t="str">
        <x:v>One-hot FSM</x:v>
      </x:c>
      <x:c r="H494" s="99" t="str">
        <x:v>Mastery check: solve and explain without notes.</x:v>
      </x:c>
      <x:c r="I494" s="98" t="str">
        <x:v>Not Started</x:v>
      </x:c>
      <x:c r="J494" s="98"/>
      <x:c r="K494" s="98" t="str">
        <x:v>None</x:v>
      </x:c>
      <x:c r="L494" s="99"/>
      <x:c r="M494" s="99"/>
      <x:c r="N494" s="99"/>
    </x:row>
    <x:row r="495" ht="34.5" customHeight="1">
      <x:c r="A495" s="34" t="n">
        <x:v>46284</x:v>
      </x:c>
      <x:c r="B495" s="98" t="str">
        <x:v>Final Revision</x:v>
      </x:c>
      <x:c r="C495" s="98" t="n">
        <x:v>14</x:v>
      </x:c>
      <x:c r="D495" s="98" t="n">
        <x:v>133</x:v>
      </x:c>
      <x:c r="E495" s="98" t="n">
        <x:v>166</x:v>
      </x:c>
      <x:c r="F495" s="99" t="str">
        <x:v>Circuits → Sequential Logic → Finite State Machines</x:v>
      </x:c>
      <x:c r="G495" s="99" t="str">
        <x:v>PS/2 packet parser</x:v>
      </x:c>
      <x:c r="H495" s="99" t="str">
        <x:v>Mastery check: solve and explain without notes.</x:v>
      </x:c>
      <x:c r="I495" s="98" t="str">
        <x:v>Not Started</x:v>
      </x:c>
      <x:c r="J495" s="98"/>
      <x:c r="K495" s="98" t="str">
        <x:v>None</x:v>
      </x:c>
      <x:c r="L495" s="99"/>
      <x:c r="M495" s="99"/>
      <x:c r="N495" s="99"/>
    </x:row>
    <x:row r="496" ht="34.5" customHeight="1">
      <x:c r="A496" s="34" t="n">
        <x:v>46284</x:v>
      </x:c>
      <x:c r="B496" s="98" t="str">
        <x:v>Final Revision</x:v>
      </x:c>
      <x:c r="C496" s="98" t="n">
        <x:v>14</x:v>
      </x:c>
      <x:c r="D496" s="98" t="n">
        <x:v>134</x:v>
      </x:c>
      <x:c r="E496" s="98" t="n">
        <x:v>167</x:v>
      </x:c>
      <x:c r="F496" s="99" t="str">
        <x:v>Circuits → Sequential Logic → Finite State Machines</x:v>
      </x:c>
      <x:c r="G496" s="99" t="str">
        <x:v>PS/2 packet parser and datapath</x:v>
      </x:c>
      <x:c r="H496" s="99" t="str">
        <x:v>Mastery check: solve and explain without notes.</x:v>
      </x:c>
      <x:c r="I496" s="98" t="str">
        <x:v>Not Started</x:v>
      </x:c>
      <x:c r="J496" s="98"/>
      <x:c r="K496" s="98" t="str">
        <x:v>None</x:v>
      </x:c>
      <x:c r="L496" s="99"/>
      <x:c r="M496" s="99"/>
      <x:c r="N496" s="99"/>
    </x:row>
    <x:row r="497" ht="34.5" customHeight="1">
      <x:c r="A497" s="34" t="n">
        <x:v>46284</x:v>
      </x:c>
      <x:c r="B497" s="98" t="str">
        <x:v>Final Revision</x:v>
      </x:c>
      <x:c r="C497" s="98" t="n">
        <x:v>14</x:v>
      </x:c>
      <x:c r="D497" s="98" t="n">
        <x:v>135</x:v>
      </x:c>
      <x:c r="E497" s="98" t="n">
        <x:v>163</x:v>
      </x:c>
      <x:c r="F497" s="99" t="str">
        <x:v>Circuits → Sequential Logic → Finite State Machines</x:v>
      </x:c>
      <x:c r="G497" s="99" t="str">
        <x:v>Serial receiver</x:v>
      </x:c>
      <x:c r="H497" s="99" t="str">
        <x:v>Mastery check: solve and explain without notes.</x:v>
      </x:c>
      <x:c r="I497" s="98" t="str">
        <x:v>Not Started</x:v>
      </x:c>
      <x:c r="J497" s="98"/>
      <x:c r="K497" s="98" t="str">
        <x:v>None</x:v>
      </x:c>
      <x:c r="L497" s="99"/>
      <x:c r="M497" s="99"/>
      <x:c r="N497" s="99"/>
    </x:row>
    <x:row r="498" ht="34.5" customHeight="1">
      <x:c r="A498" s="34" t="n">
        <x:v>46284</x:v>
      </x:c>
      <x:c r="B498" s="98" t="str">
        <x:v>Final Revision</x:v>
      </x:c>
      <x:c r="C498" s="98" t="n">
        <x:v>14</x:v>
      </x:c>
      <x:c r="D498" s="98" t="n">
        <x:v>136</x:v>
      </x:c>
      <x:c r="E498" s="98" t="n">
        <x:v>164</x:v>
      </x:c>
      <x:c r="F498" s="99" t="str">
        <x:v>Circuits → Sequential Logic → Finite State Machines</x:v>
      </x:c>
      <x:c r="G498" s="99" t="str">
        <x:v>Serial receiver and datapath</x:v>
      </x:c>
      <x:c r="H498" s="99" t="str">
        <x:v>Mastery check: solve and explain without notes.</x:v>
      </x:c>
      <x:c r="I498" s="98" t="str">
        <x:v>Not Started</x:v>
      </x:c>
      <x:c r="J498" s="98"/>
      <x:c r="K498" s="98" t="str">
        <x:v>None</x:v>
      </x:c>
      <x:c r="L498" s="99"/>
      <x:c r="M498" s="99"/>
      <x:c r="N498" s="99"/>
    </x:row>
    <x:row r="499" ht="34.5" customHeight="1">
      <x:c r="A499" s="34" t="n">
        <x:v>46284</x:v>
      </x:c>
      <x:c r="B499" s="98" t="str">
        <x:v>Final Revision</x:v>
      </x:c>
      <x:c r="C499" s="98" t="n">
        <x:v>14</x:v>
      </x:c>
      <x:c r="D499" s="98" t="n">
        <x:v>137</x:v>
      </x:c>
      <x:c r="E499" s="98" t="n">
        <x:v>165</x:v>
      </x:c>
      <x:c r="F499" s="99" t="str">
        <x:v>Circuits → Sequential Logic → Finite State Machines</x:v>
      </x:c>
      <x:c r="G499" s="99" t="str">
        <x:v>Serial receiver with parity checking</x:v>
      </x:c>
      <x:c r="H499" s="99" t="str">
        <x:v>Mastery check: solve and explain without notes.</x:v>
      </x:c>
      <x:c r="I499" s="98" t="str">
        <x:v>Not Started</x:v>
      </x:c>
      <x:c r="J499" s="98"/>
      <x:c r="K499" s="98" t="str">
        <x:v>None</x:v>
      </x:c>
      <x:c r="L499" s="99"/>
      <x:c r="M499" s="99"/>
      <x:c r="N499" s="99"/>
    </x:row>
    <x:row r="500" ht="34.5" customHeight="1">
      <x:c r="A500" s="34" t="n">
        <x:v>46284</x:v>
      </x:c>
      <x:c r="B500" s="98" t="str">
        <x:v>Final Revision</x:v>
      </x:c>
      <x:c r="C500" s="98" t="n">
        <x:v>14</x:v>
      </x:c>
      <x:c r="D500" s="98" t="n">
        <x:v>138</x:v>
      </x:c>
      <x:c r="E500" s="98" t="n">
        <x:v>168</x:v>
      </x:c>
      <x:c r="F500" s="99" t="str">
        <x:v>Circuits → Sequential Logic → Finite State Machines</x:v>
      </x:c>
      <x:c r="G500" s="99" t="str">
        <x:v>Sequence recognition</x:v>
      </x:c>
      <x:c r="H500" s="99" t="str">
        <x:v>Mastery check: solve and explain without notes.</x:v>
      </x:c>
      <x:c r="I500" s="98" t="str">
        <x:v>Not Started</x:v>
      </x:c>
      <x:c r="J500" s="98"/>
      <x:c r="K500" s="98" t="str">
        <x:v>None</x:v>
      </x:c>
      <x:c r="L500" s="99"/>
      <x:c r="M500" s="99"/>
      <x:c r="N500" s="99"/>
    </x:row>
    <x:row r="501" ht="34.5" customHeight="1">
      <x:c r="A501" s="34" t="n">
        <x:v>46284</x:v>
      </x:c>
      <x:c r="B501" s="98" t="str">
        <x:v>Final Revision</x:v>
      </x:c>
      <x:c r="C501" s="98" t="n">
        <x:v>14</x:v>
      </x:c>
      <x:c r="D501" s="98" t="n">
        <x:v>139</x:v>
      </x:c>
      <x:c r="E501" s="98" t="n">
        <x:v>142</x:v>
      </x:c>
      <x:c r="F501" s="99" t="str">
        <x:v>Circuits → Sequential Logic → Finite State Machines</x:v>
      </x:c>
      <x:c r="G501" s="99" t="str">
        <x:v>Q8: Design a Mealy FSM</x:v>
      </x:c>
      <x:c r="H501" s="99" t="str">
        <x:v>Mastery check: solve and explain without notes.</x:v>
      </x:c>
      <x:c r="I501" s="98" t="str">
        <x:v>Not Started</x:v>
      </x:c>
      <x:c r="J501" s="98"/>
      <x:c r="K501" s="98" t="str">
        <x:v>None</x:v>
      </x:c>
      <x:c r="L501" s="99"/>
      <x:c r="M501" s="99"/>
      <x:c r="N501" s="99"/>
    </x:row>
    <x:row r="502" ht="34.5" customHeight="1">
      <x:c r="A502" s="34" t="n">
        <x:v>46284</x:v>
      </x:c>
      <x:c r="B502" s="98" t="str">
        <x:v>Final Revision</x:v>
      </x:c>
      <x:c r="C502" s="98" t="n">
        <x:v>14</x:v>
      </x:c>
      <x:c r="D502" s="98" t="n">
        <x:v>140</x:v>
      </x:c>
      <x:c r="E502" s="98" t="n">
        <x:v>169</x:v>
      </x:c>
      <x:c r="F502" s="99" t="str">
        <x:v>Circuits → Sequential Logic → Finite State Machines</x:v>
      </x:c>
      <x:c r="G502" s="99" t="str">
        <x:v>Q5a: Serial two's complementer (Moore FSM)</x:v>
      </x:c>
      <x:c r="H502" s="99" t="str">
        <x:v>Mastery check: solve and explain without notes.</x:v>
      </x:c>
      <x:c r="I502" s="98" t="str">
        <x:v>Not Started</x:v>
      </x:c>
      <x:c r="J502" s="98"/>
      <x:c r="K502" s="98" t="str">
        <x:v>None</x:v>
      </x:c>
      <x:c r="L502" s="99"/>
      <x:c r="M502" s="99"/>
      <x:c r="N502" s="99"/>
    </x:row>
    <x:row r="503" ht="34.5" customHeight="1">
      <x:c r="A503" s="34" t="n">
        <x:v>46285</x:v>
      </x:c>
      <x:c r="B503" s="98" t="str">
        <x:v>Final Revision</x:v>
      </x:c>
      <x:c r="C503" s="98" t="n">
        <x:v>15</x:v>
      </x:c>
      <x:c r="D503" s="98" t="n">
        <x:v>141</x:v>
      </x:c>
      <x:c r="E503" s="98" t="n">
        <x:v>170</x:v>
      </x:c>
      <x:c r="F503" s="99" t="str">
        <x:v>Circuits → Sequential Logic → Finite State Machines</x:v>
      </x:c>
      <x:c r="G503" s="99" t="str">
        <x:v>Q5b: Serial two's complementer (Mealy FSM)</x:v>
      </x:c>
      <x:c r="H503" s="99" t="str">
        <x:v>Mastery check: solve and explain without notes.</x:v>
      </x:c>
      <x:c r="I503" s="98" t="str">
        <x:v>Not Started</x:v>
      </x:c>
      <x:c r="J503" s="98"/>
      <x:c r="K503" s="98" t="str">
        <x:v>None</x:v>
      </x:c>
      <x:c r="L503" s="99"/>
      <x:c r="M503" s="99"/>
      <x:c r="N503" s="99"/>
    </x:row>
    <x:row r="504" ht="34.5" customHeight="1">
      <x:c r="A504" s="34" t="n">
        <x:v>46285</x:v>
      </x:c>
      <x:c r="B504" s="98" t="str">
        <x:v>Final Revision</x:v>
      </x:c>
      <x:c r="C504" s="98" t="n">
        <x:v>15</x:v>
      </x:c>
      <x:c r="D504" s="98" t="n">
        <x:v>142</x:v>
      </x:c>
      <x:c r="E504" s="98" t="n">
        <x:v>155</x:v>
      </x:c>
      <x:c r="F504" s="99" t="str">
        <x:v>Circuits → Sequential Logic → Finite State Machines</x:v>
      </x:c>
      <x:c r="G504" s="99" t="str">
        <x:v>Q3a: FSM</x:v>
      </x:c>
      <x:c r="H504" s="99" t="str">
        <x:v>Mastery check: solve and explain without notes.</x:v>
      </x:c>
      <x:c r="I504" s="98" t="str">
        <x:v>Not Started</x:v>
      </x:c>
      <x:c r="J504" s="98"/>
      <x:c r="K504" s="98" t="str">
        <x:v>None</x:v>
      </x:c>
      <x:c r="L504" s="99"/>
      <x:c r="M504" s="99"/>
      <x:c r="N504" s="99"/>
    </x:row>
    <x:row r="505" ht="34.5" customHeight="1">
      <x:c r="A505" s="34" t="n">
        <x:v>46285</x:v>
      </x:c>
      <x:c r="B505" s="98" t="str">
        <x:v>Final Revision</x:v>
      </x:c>
      <x:c r="C505" s="98" t="n">
        <x:v>15</x:v>
      </x:c>
      <x:c r="D505" s="98" t="n">
        <x:v>143</x:v>
      </x:c>
      <x:c r="E505" s="98" t="n">
        <x:v>156</x:v>
      </x:c>
      <x:c r="F505" s="99" t="str">
        <x:v>Circuits → Sequential Logic → Finite State Machines</x:v>
      </x:c>
      <x:c r="G505" s="99" t="str">
        <x:v>Q3b: FSM</x:v>
      </x:c>
      <x:c r="H505" s="99" t="str">
        <x:v>Mastery check: solve and explain without notes.</x:v>
      </x:c>
      <x:c r="I505" s="98" t="str">
        <x:v>Not Started</x:v>
      </x:c>
      <x:c r="J505" s="98"/>
      <x:c r="K505" s="98" t="str">
        <x:v>None</x:v>
      </x:c>
      <x:c r="L505" s="99"/>
      <x:c r="M505" s="99"/>
      <x:c r="N505" s="99"/>
    </x:row>
    <x:row r="506" ht="34.5" customHeight="1">
      <x:c r="A506" s="34" t="n">
        <x:v>46285</x:v>
      </x:c>
      <x:c r="B506" s="98" t="str">
        <x:v>Final Revision</x:v>
      </x:c>
      <x:c r="C506" s="98" t="n">
        <x:v>15</x:v>
      </x:c>
      <x:c r="D506" s="98" t="n">
        <x:v>144</x:v>
      </x:c>
      <x:c r="E506" s="98" t="n">
        <x:v>157</x:v>
      </x:c>
      <x:c r="F506" s="99" t="str">
        <x:v>Circuits → Sequential Logic → Finite State Machines</x:v>
      </x:c>
      <x:c r="G506" s="99" t="str">
        <x:v>Q3c: FSM logic</x:v>
      </x:c>
      <x:c r="H506" s="99" t="str">
        <x:v>Mastery check: solve and explain without notes.</x:v>
      </x:c>
      <x:c r="I506" s="98" t="str">
        <x:v>Not Started</x:v>
      </x:c>
      <x:c r="J506" s="98"/>
      <x:c r="K506" s="98" t="str">
        <x:v>None</x:v>
      </x:c>
      <x:c r="L506" s="99"/>
      <x:c r="M506" s="99"/>
      <x:c r="N506" s="99"/>
    </x:row>
    <x:row r="507" ht="34.5" customHeight="1">
      <x:c r="A507" s="34" t="n">
        <x:v>46285</x:v>
      </x:c>
      <x:c r="B507" s="98" t="str">
        <x:v>Final Revision</x:v>
      </x:c>
      <x:c r="C507" s="98" t="n">
        <x:v>15</x:v>
      </x:c>
      <x:c r="D507" s="98" t="n">
        <x:v>145</x:v>
      </x:c>
      <x:c r="E507" s="98" t="n">
        <x:v>171</x:v>
      </x:c>
      <x:c r="F507" s="99" t="str">
        <x:v>Circuits → Sequential Logic → Finite State Machines</x:v>
      </x:c>
      <x:c r="G507" s="99" t="str">
        <x:v>Q6b: FSM next-state logic</x:v>
      </x:c>
      <x:c r="H507" s="99" t="str">
        <x:v>Mastery check: solve and explain without notes.</x:v>
      </x:c>
      <x:c r="I507" s="98" t="str">
        <x:v>Not Started</x:v>
      </x:c>
      <x:c r="J507" s="98"/>
      <x:c r="K507" s="98" t="str">
        <x:v>None</x:v>
      </x:c>
      <x:c r="L507" s="99"/>
      <x:c r="M507" s="99"/>
      <x:c r="N507" s="99"/>
    </x:row>
    <x:row r="508" ht="34.5" customHeight="1">
      <x:c r="A508" s="34" t="n">
        <x:v>46285</x:v>
      </x:c>
      <x:c r="B508" s="98" t="str">
        <x:v>Final Revision</x:v>
      </x:c>
      <x:c r="C508" s="98" t="n">
        <x:v>15</x:v>
      </x:c>
      <x:c r="D508" s="98" t="n">
        <x:v>146</x:v>
      </x:c>
      <x:c r="E508" s="98" t="n">
        <x:v>158</x:v>
      </x:c>
      <x:c r="F508" s="99" t="str">
        <x:v>Circuits → Sequential Logic → Finite State Machines</x:v>
      </x:c>
      <x:c r="G508" s="99" t="str">
        <x:v>Q6c: FSM one-hot next-state logic</x:v>
      </x:c>
      <x:c r="H508" s="99" t="str">
        <x:v>Mastery check: solve and explain without notes.</x:v>
      </x:c>
      <x:c r="I508" s="98" t="str">
        <x:v>Not Started</x:v>
      </x:c>
      <x:c r="J508" s="98"/>
      <x:c r="K508" s="98" t="str">
        <x:v>None</x:v>
      </x:c>
      <x:c r="L508" s="99"/>
      <x:c r="M508" s="99"/>
      <x:c r="N508" s="99"/>
    </x:row>
    <x:row r="509" ht="34.5" customHeight="1">
      <x:c r="A509" s="34" t="n">
        <x:v>46285</x:v>
      </x:c>
      <x:c r="B509" s="98" t="str">
        <x:v>Final Revision</x:v>
      </x:c>
      <x:c r="C509" s="98" t="n">
        <x:v>15</x:v>
      </x:c>
      <x:c r="D509" s="98" t="n">
        <x:v>147</x:v>
      </x:c>
      <x:c r="E509" s="98" t="n">
        <x:v>172</x:v>
      </x:c>
      <x:c r="F509" s="99" t="str">
        <x:v>Circuits → Sequential Logic → Finite State Machines</x:v>
      </x:c>
      <x:c r="G509" s="99" t="str">
        <x:v>Q6: FSM</x:v>
      </x:c>
      <x:c r="H509" s="99" t="str">
        <x:v>Mastery check: solve and explain without notes.</x:v>
      </x:c>
      <x:c r="I509" s="98" t="str">
        <x:v>Not Started</x:v>
      </x:c>
      <x:c r="J509" s="98"/>
      <x:c r="K509" s="98" t="str">
        <x:v>None</x:v>
      </x:c>
      <x:c r="L509" s="99"/>
      <x:c r="M509" s="99"/>
      <x:c r="N509" s="99"/>
    </x:row>
    <x:row r="510" ht="34.5" customHeight="1">
      <x:c r="A510" s="34" t="n">
        <x:v>46285</x:v>
      </x:c>
      <x:c r="B510" s="98" t="str">
        <x:v>Final Revision</x:v>
      </x:c>
      <x:c r="C510" s="98" t="n">
        <x:v>15</x:v>
      </x:c>
      <x:c r="D510" s="98" t="n">
        <x:v>148</x:v>
      </x:c>
      <x:c r="E510" s="98" t="n">
        <x:v>173</x:v>
      </x:c>
      <x:c r="F510" s="99" t="str">
        <x:v>Circuits → Sequential Logic → Finite State Machines</x:v>
      </x:c>
      <x:c r="G510" s="99" t="str">
        <x:v>Q2a: FSM</x:v>
      </x:c>
      <x:c r="H510" s="99" t="str">
        <x:v>Mastery check: solve and explain without notes.</x:v>
      </x:c>
      <x:c r="I510" s="98" t="str">
        <x:v>Not Started</x:v>
      </x:c>
      <x:c r="J510" s="98"/>
      <x:c r="K510" s="98" t="str">
        <x:v>None</x:v>
      </x:c>
      <x:c r="L510" s="99"/>
      <x:c r="M510" s="99"/>
      <x:c r="N510" s="99"/>
    </x:row>
    <x:row r="511" ht="34.5" customHeight="1">
      <x:c r="A511" s="34" t="n">
        <x:v>46285</x:v>
      </x:c>
      <x:c r="B511" s="98" t="str">
        <x:v>Final Revision</x:v>
      </x:c>
      <x:c r="C511" s="98" t="n">
        <x:v>15</x:v>
      </x:c>
      <x:c r="D511" s="98" t="n">
        <x:v>149</x:v>
      </x:c>
      <x:c r="E511" s="98" t="n">
        <x:v>174</x:v>
      </x:c>
      <x:c r="F511" s="99" t="str">
        <x:v>Circuits → Sequential Logic → Finite State Machines</x:v>
      </x:c>
      <x:c r="G511" s="99" t="str">
        <x:v>Q2b: One-hot FSM equations</x:v>
      </x:c>
      <x:c r="H511" s="99" t="str">
        <x:v>Mastery check: solve and explain without notes.</x:v>
      </x:c>
      <x:c r="I511" s="98" t="str">
        <x:v>Not Started</x:v>
      </x:c>
      <x:c r="J511" s="98"/>
      <x:c r="K511" s="98" t="str">
        <x:v>None</x:v>
      </x:c>
      <x:c r="L511" s="99"/>
      <x:c r="M511" s="99"/>
      <x:c r="N511" s="99"/>
    </x:row>
    <x:row r="512" ht="34.5" customHeight="1">
      <x:c r="A512" s="34" t="n">
        <x:v>46285</x:v>
      </x:c>
      <x:c r="B512" s="98" t="str">
        <x:v>Final Revision</x:v>
      </x:c>
      <x:c r="C512" s="98" t="n">
        <x:v>15</x:v>
      </x:c>
      <x:c r="D512" s="98" t="n">
        <x:v>150</x:v>
      </x:c>
      <x:c r="E512" s="98" t="n">
        <x:v>177</x:v>
      </x:c>
      <x:c r="F512" s="99" t="str">
        <x:v>Circuits → Sequential Logic → Finite State Machines</x:v>
      </x:c>
      <x:c r="G512" s="99" t="str">
        <x:v>Q2a: FSM</x:v>
      </x:c>
      <x:c r="H512" s="99" t="str">
        <x:v>Mastery check: solve and explain without notes.</x:v>
      </x:c>
      <x:c r="I512" s="98" t="str">
        <x:v>Not Started</x:v>
      </x:c>
      <x:c r="J512" s="98"/>
      <x:c r="K512" s="98" t="str">
        <x:v>None</x:v>
      </x:c>
      <x:c r="L512" s="99"/>
      <x:c r="M512" s="99"/>
      <x:c r="N512" s="99"/>
    </x:row>
    <x:row r="513" ht="34.5" customHeight="1">
      <x:c r="A513" s="34" t="n">
        <x:v>46286</x:v>
      </x:c>
      <x:c r="B513" s="98" t="str">
        <x:v>Final Revision</x:v>
      </x:c>
      <x:c r="C513" s="98" t="n">
        <x:v>16</x:v>
      </x:c>
      <x:c r="D513" s="98" t="n">
        <x:v>151</x:v>
      </x:c>
      <x:c r="E513" s="98" t="n">
        <x:v>121</x:v>
      </x:c>
      <x:c r="F513" s="99" t="str">
        <x:v>Circuits → Sequential Logic → Finite State Machines</x:v>
      </x:c>
      <x:c r="G513" s="99" t="str">
        <x:v>Q2b: Another FSM</x:v>
      </x:c>
      <x:c r="H513" s="99" t="str">
        <x:v>Mastery check: solve and explain without notes.</x:v>
      </x:c>
      <x:c r="I513" s="98" t="str">
        <x:v>Not Started</x:v>
      </x:c>
      <x:c r="J513" s="98"/>
      <x:c r="K513" s="98" t="str">
        <x:v>None</x:v>
      </x:c>
      <x:c r="L513" s="99"/>
      <x:c r="M513" s="99"/>
      <x:c r="N513" s="99"/>
    </x:row>
    <x:row r="514" ht="34.5" customHeight="1">
      <x:c r="A514" s="34" t="n">
        <x:v>46286</x:v>
      </x:c>
      <x:c r="B514" s="98" t="str">
        <x:v>Final Revision</x:v>
      </x:c>
      <x:c r="C514" s="98" t="n">
        <x:v>16</x:v>
      </x:c>
      <x:c r="D514" s="98" t="n">
        <x:v>152</x:v>
      </x:c>
      <x:c r="E514" s="98" t="n">
        <x:v>147</x:v>
      </x:c>
      <x:c r="F514" s="99" t="str">
        <x:v>Circuits → Building Larger Circuits</x:v>
      </x:c>
      <x:c r="G514" s="99" t="str">
        <x:v>Counter with period 1000</x:v>
      </x:c>
      <x:c r="H514" s="99" t="str">
        <x:v>Mastery check: solve and explain without notes.</x:v>
      </x:c>
      <x:c r="I514" s="98" t="str">
        <x:v>Not Started</x:v>
      </x:c>
      <x:c r="J514" s="98"/>
      <x:c r="K514" s="98" t="str">
        <x:v>None</x:v>
      </x:c>
      <x:c r="L514" s="99"/>
      <x:c r="M514" s="99"/>
      <x:c r="N514" s="99"/>
    </x:row>
    <x:row r="515" ht="34.5" customHeight="1">
      <x:c r="A515" s="34" t="n">
        <x:v>46286</x:v>
      </x:c>
      <x:c r="B515" s="98" t="str">
        <x:v>Final Revision</x:v>
      </x:c>
      <x:c r="C515" s="98" t="n">
        <x:v>16</x:v>
      </x:c>
      <x:c r="D515" s="98" t="n">
        <x:v>153</x:v>
      </x:c>
      <x:c r="E515" s="98" t="n">
        <x:v>148</x:v>
      </x:c>
      <x:c r="F515" s="99" t="str">
        <x:v>Circuits → Building Larger Circuits</x:v>
      </x:c>
      <x:c r="G515" s="99" t="str">
        <x:v>4-bit shift register and down counter</x:v>
      </x:c>
      <x:c r="H515" s="99" t="str">
        <x:v>Mastery check: solve and explain without notes.</x:v>
      </x:c>
      <x:c r="I515" s="98" t="str">
        <x:v>Not Started</x:v>
      </x:c>
      <x:c r="J515" s="98"/>
      <x:c r="K515" s="98" t="str">
        <x:v>None</x:v>
      </x:c>
      <x:c r="L515" s="99"/>
      <x:c r="M515" s="99"/>
      <x:c r="N515" s="99"/>
    </x:row>
    <x:row r="516" ht="34.5" customHeight="1">
      <x:c r="A516" s="34" t="n">
        <x:v>46286</x:v>
      </x:c>
      <x:c r="B516" s="98" t="str">
        <x:v>Final Revision</x:v>
      </x:c>
      <x:c r="C516" s="98" t="n">
        <x:v>16</x:v>
      </x:c>
      <x:c r="D516" s="98" t="n">
        <x:v>154</x:v>
      </x:c>
      <x:c r="E516" s="98" t="n">
        <x:v>149</x:v>
      </x:c>
      <x:c r="F516" s="99" t="str">
        <x:v>Circuits → Building Larger Circuits</x:v>
      </x:c>
      <x:c r="G516" s="99" t="str">
        <x:v>FSM: Sequence 1101 recognizer</x:v>
      </x:c>
      <x:c r="H516" s="99" t="str">
        <x:v>Mastery check: solve and explain without notes.</x:v>
      </x:c>
      <x:c r="I516" s="98" t="str">
        <x:v>Not Started</x:v>
      </x:c>
      <x:c r="J516" s="98"/>
      <x:c r="K516" s="98" t="str">
        <x:v>None</x:v>
      </x:c>
      <x:c r="L516" s="99"/>
      <x:c r="M516" s="99"/>
      <x:c r="N516" s="99"/>
    </x:row>
    <x:row r="517" ht="34.5" customHeight="1">
      <x:c r="A517" s="34" t="n">
        <x:v>46286</x:v>
      </x:c>
      <x:c r="B517" s="98" t="str">
        <x:v>Final Revision</x:v>
      </x:c>
      <x:c r="C517" s="98" t="n">
        <x:v>16</x:v>
      </x:c>
      <x:c r="D517" s="98" t="n">
        <x:v>155</x:v>
      </x:c>
      <x:c r="E517" s="98" t="n">
        <x:v>150</x:v>
      </x:c>
      <x:c r="F517" s="99" t="str">
        <x:v>Circuits → Building Larger Circuits</x:v>
      </x:c>
      <x:c r="G517" s="99" t="str">
        <x:v>FSM: Enable shift register</x:v>
      </x:c>
      <x:c r="H517" s="99" t="str">
        <x:v>Mastery check: solve and explain without notes.</x:v>
      </x:c>
      <x:c r="I517" s="98" t="str">
        <x:v>Not Started</x:v>
      </x:c>
      <x:c r="J517" s="98"/>
      <x:c r="K517" s="98" t="str">
        <x:v>None</x:v>
      </x:c>
      <x:c r="L517" s="99"/>
      <x:c r="M517" s="99"/>
      <x:c r="N517" s="99"/>
    </x:row>
    <x:row r="518" ht="34.5" customHeight="1">
      <x:c r="A518" s="34" t="n">
        <x:v>46286</x:v>
      </x:c>
      <x:c r="B518" s="98" t="str">
        <x:v>Final Revision</x:v>
      </x:c>
      <x:c r="C518" s="98" t="n">
        <x:v>16</x:v>
      </x:c>
      <x:c r="D518" s="98" t="n">
        <x:v>156</x:v>
      </x:c>
      <x:c r="E518" s="98" t="n">
        <x:v>153</x:v>
      </x:c>
      <x:c r="F518" s="99" t="str">
        <x:v>Circuits → Building Larger Circuits</x:v>
      </x:c>
      <x:c r="G518" s="99" t="str">
        <x:v>FSM: The complete FSM</x:v>
      </x:c>
      <x:c r="H518" s="99" t="str">
        <x:v>Mastery check: solve and explain without notes.</x:v>
      </x:c>
      <x:c r="I518" s="98" t="str">
        <x:v>Not Started</x:v>
      </x:c>
      <x:c r="J518" s="98"/>
      <x:c r="K518" s="98" t="str">
        <x:v>None</x:v>
      </x:c>
      <x:c r="L518" s="99"/>
      <x:c r="M518" s="99"/>
      <x:c r="N518" s="99"/>
    </x:row>
    <x:row r="519" ht="34.5" customHeight="1">
      <x:c r="A519" s="34" t="n">
        <x:v>46286</x:v>
      </x:c>
      <x:c r="B519" s="98" t="str">
        <x:v>Final Revision</x:v>
      </x:c>
      <x:c r="C519" s="98" t="n">
        <x:v>16</x:v>
      </x:c>
      <x:c r="D519" s="98" t="n">
        <x:v>157</x:v>
      </x:c>
      <x:c r="E519" s="98" t="n">
        <x:v>154</x:v>
      </x:c>
      <x:c r="F519" s="99" t="str">
        <x:v>Circuits → Building Larger Circuits</x:v>
      </x:c>
      <x:c r="G519" s="99" t="str">
        <x:v>The complete timer</x:v>
      </x:c>
      <x:c r="H519" s="99" t="str">
        <x:v>Mastery check: solve and explain without notes.</x:v>
      </x:c>
      <x:c r="I519" s="98" t="str">
        <x:v>Not Started</x:v>
      </x:c>
      <x:c r="J519" s="98"/>
      <x:c r="K519" s="98" t="str">
        <x:v>None</x:v>
      </x:c>
      <x:c r="L519" s="99"/>
      <x:c r="M519" s="99"/>
      <x:c r="N519" s="99"/>
    </x:row>
    <x:row r="520" ht="34.5" customHeight="1">
      <x:c r="A520" s="34" t="n">
        <x:v>46286</x:v>
      </x:c>
      <x:c r="B520" s="98" t="str">
        <x:v>Final Revision</x:v>
      </x:c>
      <x:c r="C520" s="98" t="n">
        <x:v>16</x:v>
      </x:c>
      <x:c r="D520" s="98" t="n">
        <x:v>158</x:v>
      </x:c>
      <x:c r="E520" s="98" t="n">
        <x:v>178</x:v>
      </x:c>
      <x:c r="F520" s="99" t="str">
        <x:v>Circuits → Building Larger Circuits</x:v>
      </x:c>
      <x:c r="G520" s="99" t="str">
        <x:v>FSM: One-hot logic equations</x:v>
      </x:c>
      <x:c r="H520" s="99" t="str">
        <x:v>Mastery check: solve and explain without notes.</x:v>
      </x:c>
      <x:c r="I520" s="98" t="str">
        <x:v>Not Started</x:v>
      </x:c>
      <x:c r="J520" s="98"/>
      <x:c r="K520" s="98" t="str">
        <x:v>None</x:v>
      </x:c>
      <x:c r="L520" s="99"/>
      <x:c r="M520" s="99"/>
      <x:c r="N520" s="99"/>
    </x:row>
    <x:row r="521" ht="34.5" customHeight="1">
      <x:c r="A521" s="34" t="n">
        <x:v>46286</x:v>
      </x:c>
      <x:c r="B521" s="98" t="str">
        <x:v>Final Revision</x:v>
      </x:c>
      <x:c r="C521" s="98" t="n">
        <x:v>16</x:v>
      </x:c>
      <x:c r="D521" s="98" t="n">
        <x:v>159</x:v>
      </x:c>
      <x:c r="E521" s="98" t="n">
        <x:v>122</x:v>
      </x:c>
      <x:c r="F521" s="99" t="str">
        <x:v>Verification: Reading Simulations → Finding bugs in code</x:v>
      </x:c>
      <x:c r="G521" s="99" t="str">
        <x:v>Mux</x:v>
      </x:c>
      <x:c r="H521" s="99" t="str">
        <x:v>Mastery check: solve and explain without notes.</x:v>
      </x:c>
      <x:c r="I521" s="98" t="str">
        <x:v>Not Started</x:v>
      </x:c>
      <x:c r="J521" s="98"/>
      <x:c r="K521" s="98" t="str">
        <x:v>None</x:v>
      </x:c>
      <x:c r="L521" s="99"/>
      <x:c r="M521" s="99"/>
      <x:c r="N521" s="99"/>
    </x:row>
    <x:row r="522" ht="34.5" customHeight="1">
      <x:c r="A522" s="34" t="n">
        <x:v>46286</x:v>
      </x:c>
      <x:c r="B522" s="98" t="str">
        <x:v>Final Revision</x:v>
      </x:c>
      <x:c r="C522" s="98" t="n">
        <x:v>16</x:v>
      </x:c>
      <x:c r="D522" s="98" t="n">
        <x:v>160</x:v>
      </x:c>
      <x:c r="E522" s="98" t="n">
        <x:v>123</x:v>
      </x:c>
      <x:c r="F522" s="99" t="str">
        <x:v>Verification: Reading Simulations → Finding bugs in code</x:v>
      </x:c>
      <x:c r="G522" s="99" t="str">
        <x:v>NAND</x:v>
      </x:c>
      <x:c r="H522" s="99" t="str">
        <x:v>Mastery check: solve and explain without notes.</x:v>
      </x:c>
      <x:c r="I522" s="98" t="str">
        <x:v>Not Started</x:v>
      </x:c>
      <x:c r="J522" s="98"/>
      <x:c r="K522" s="98" t="str">
        <x:v>None</x:v>
      </x:c>
      <x:c r="L522" s="99"/>
      <x:c r="M522" s="99"/>
      <x:c r="N522" s="99"/>
    </x:row>
    <x:row r="523" ht="34.5" customHeight="1">
      <x:c r="A523" s="34" t="n">
        <x:v>46287</x:v>
      </x:c>
      <x:c r="B523" s="98" t="str">
        <x:v>Final Revision</x:v>
      </x:c>
      <x:c r="C523" s="98" t="n">
        <x:v>17</x:v>
      </x:c>
      <x:c r="D523" s="98" t="n">
        <x:v>161</x:v>
      </x:c>
      <x:c r="E523" s="98" t="n">
        <x:v>124</x:v>
      </x:c>
      <x:c r="F523" s="99" t="str">
        <x:v>Verification: Reading Simulations → Finding bugs in code</x:v>
      </x:c>
      <x:c r="G523" s="99" t="str">
        <x:v>Mux</x:v>
      </x:c>
      <x:c r="H523" s="99" t="str">
        <x:v>Mastery check: solve and explain without notes.</x:v>
      </x:c>
      <x:c r="I523" s="98" t="str">
        <x:v>Not Started</x:v>
      </x:c>
      <x:c r="J523" s="98"/>
      <x:c r="K523" s="98" t="str">
        <x:v>None</x:v>
      </x:c>
      <x:c r="L523" s="99"/>
      <x:c r="M523" s="99"/>
      <x:c r="N523" s="99"/>
    </x:row>
    <x:row r="524" ht="34.5" customHeight="1">
      <x:c r="A524" s="34" t="n">
        <x:v>46287</x:v>
      </x:c>
      <x:c r="B524" s="98" t="str">
        <x:v>Final Revision</x:v>
      </x:c>
      <x:c r="C524" s="98" t="n">
        <x:v>17</x:v>
      </x:c>
      <x:c r="D524" s="98" t="n">
        <x:v>162</x:v>
      </x:c>
      <x:c r="E524" s="98" t="n">
        <x:v>125</x:v>
      </x:c>
      <x:c r="F524" s="99" t="str">
        <x:v>Verification: Reading Simulations → Finding bugs in code</x:v>
      </x:c>
      <x:c r="G524" s="99" t="str">
        <x:v>Add/sub</x:v>
      </x:c>
      <x:c r="H524" s="99" t="str">
        <x:v>Mastery check: solve and explain without notes.</x:v>
      </x:c>
      <x:c r="I524" s="98" t="str">
        <x:v>Not Started</x:v>
      </x:c>
      <x:c r="J524" s="98"/>
      <x:c r="K524" s="98" t="str">
        <x:v>None</x:v>
      </x:c>
      <x:c r="L524" s="99"/>
      <x:c r="M524" s="99"/>
      <x:c r="N524" s="99"/>
    </x:row>
    <x:row r="525" ht="34.5" customHeight="1">
      <x:c r="A525" s="34" t="n">
        <x:v>46287</x:v>
      </x:c>
      <x:c r="B525" s="98" t="str">
        <x:v>Final Revision</x:v>
      </x:c>
      <x:c r="C525" s="98" t="n">
        <x:v>17</x:v>
      </x:c>
      <x:c r="D525" s="98" t="n">
        <x:v>163</x:v>
      </x:c>
      <x:c r="E525" s="98" t="n">
        <x:v>126</x:v>
      </x:c>
      <x:c r="F525" s="99" t="str">
        <x:v>Verification: Reading Simulations → Finding bugs in code</x:v>
      </x:c>
      <x:c r="G525" s="99" t="str">
        <x:v>Case statement</x:v>
      </x:c>
      <x:c r="H525" s="99" t="str">
        <x:v>Mastery check: solve and explain without notes.</x:v>
      </x:c>
      <x:c r="I525" s="98" t="str">
        <x:v>Not Started</x:v>
      </x:c>
      <x:c r="J525" s="98"/>
      <x:c r="K525" s="98" t="str">
        <x:v>None</x:v>
      </x:c>
      <x:c r="L525" s="99"/>
      <x:c r="M525" s="99"/>
      <x:c r="N525" s="99"/>
    </x:row>
    <x:row r="526" ht="34.5" customHeight="1">
      <x:c r="A526" s="34" t="n">
        <x:v>46287</x:v>
      </x:c>
      <x:c r="B526" s="98" t="str">
        <x:v>Final Revision</x:v>
      </x:c>
      <x:c r="C526" s="98" t="n">
        <x:v>17</x:v>
      </x:c>
      <x:c r="D526" s="98" t="n">
        <x:v>164</x:v>
      </x:c>
      <x:c r="E526" s="98" t="n">
        <x:v>127</x:v>
      </x:c>
      <x:c r="F526" s="99" t="str">
        <x:v>Verification: Reading Simulations → Build a circuit from a simulation waveform</x:v>
      </x:c>
      <x:c r="G526" s="99" t="str">
        <x:v>Combinational circuit 1</x:v>
      </x:c>
      <x:c r="H526" s="99" t="str">
        <x:v>Mastery check: solve and explain without notes.</x:v>
      </x:c>
      <x:c r="I526" s="98" t="str">
        <x:v>Not Started</x:v>
      </x:c>
      <x:c r="J526" s="98"/>
      <x:c r="K526" s="98" t="str">
        <x:v>None</x:v>
      </x:c>
      <x:c r="L526" s="99"/>
      <x:c r="M526" s="99"/>
      <x:c r="N526" s="99"/>
    </x:row>
    <x:row r="527" ht="34.5" customHeight="1">
      <x:c r="A527" s="34" t="n">
        <x:v>46287</x:v>
      </x:c>
      <x:c r="B527" s="98" t="str">
        <x:v>Final Revision</x:v>
      </x:c>
      <x:c r="C527" s="98" t="n">
        <x:v>17</x:v>
      </x:c>
      <x:c r="D527" s="98" t="n">
        <x:v>165</x:v>
      </x:c>
      <x:c r="E527" s="98" t="n">
        <x:v>128</x:v>
      </x:c>
      <x:c r="F527" s="99" t="str">
        <x:v>Verification: Reading Simulations → Build a circuit from a simulation waveform</x:v>
      </x:c>
      <x:c r="G527" s="99" t="str">
        <x:v>Combinational circuit 2</x:v>
      </x:c>
      <x:c r="H527" s="99" t="str">
        <x:v>Mastery check: solve and explain without notes.</x:v>
      </x:c>
      <x:c r="I527" s="98" t="str">
        <x:v>Not Started</x:v>
      </x:c>
      <x:c r="J527" s="98"/>
      <x:c r="K527" s="98" t="str">
        <x:v>None</x:v>
      </x:c>
      <x:c r="L527" s="99"/>
      <x:c r="M527" s="99"/>
      <x:c r="N527" s="99"/>
    </x:row>
    <x:row r="528" ht="34.5" customHeight="1">
      <x:c r="A528" s="34" t="n">
        <x:v>46287</x:v>
      </x:c>
      <x:c r="B528" s="98" t="str">
        <x:v>Final Revision</x:v>
      </x:c>
      <x:c r="C528" s="98" t="n">
        <x:v>17</x:v>
      </x:c>
      <x:c r="D528" s="98" t="n">
        <x:v>166</x:v>
      </x:c>
      <x:c r="E528" s="98" t="n">
        <x:v>129</x:v>
      </x:c>
      <x:c r="F528" s="99" t="str">
        <x:v>Verification: Reading Simulations → Build a circuit from a simulation waveform</x:v>
      </x:c>
      <x:c r="G528" s="99" t="str">
        <x:v>Combinational circuit 3</x:v>
      </x:c>
      <x:c r="H528" s="99" t="str">
        <x:v>Mastery check: solve and explain without notes.</x:v>
      </x:c>
      <x:c r="I528" s="98" t="str">
        <x:v>Not Started</x:v>
      </x:c>
      <x:c r="J528" s="98"/>
      <x:c r="K528" s="98" t="str">
        <x:v>None</x:v>
      </x:c>
      <x:c r="L528" s="99"/>
      <x:c r="M528" s="99"/>
      <x:c r="N528" s="99"/>
    </x:row>
    <x:row r="529" ht="34.5" customHeight="1">
      <x:c r="A529" s="34" t="n">
        <x:v>46287</x:v>
      </x:c>
      <x:c r="B529" s="98" t="str">
        <x:v>Final Revision</x:v>
      </x:c>
      <x:c r="C529" s="98" t="n">
        <x:v>17</x:v>
      </x:c>
      <x:c r="D529" s="98" t="n">
        <x:v>167</x:v>
      </x:c>
      <x:c r="E529" s="98" t="n">
        <x:v>130</x:v>
      </x:c>
      <x:c r="F529" s="99" t="str">
        <x:v>Verification: Reading Simulations → Build a circuit from a simulation waveform</x:v>
      </x:c>
      <x:c r="G529" s="99" t="str">
        <x:v>Combinational circuit 4</x:v>
      </x:c>
      <x:c r="H529" s="99" t="str">
        <x:v>Mastery check: solve and explain without notes.</x:v>
      </x:c>
      <x:c r="I529" s="98" t="str">
        <x:v>Not Started</x:v>
      </x:c>
      <x:c r="J529" s="98"/>
      <x:c r="K529" s="98" t="str">
        <x:v>None</x:v>
      </x:c>
      <x:c r="L529" s="99"/>
      <x:c r="M529" s="99"/>
      <x:c r="N529" s="99"/>
    </x:row>
    <x:row r="530" ht="34.5" customHeight="1">
      <x:c r="A530" s="34" t="n">
        <x:v>46287</x:v>
      </x:c>
      <x:c r="B530" s="98" t="str">
        <x:v>Final Revision</x:v>
      </x:c>
      <x:c r="C530" s="98" t="n">
        <x:v>17</x:v>
      </x:c>
      <x:c r="D530" s="98" t="n">
        <x:v>168</x:v>
      </x:c>
      <x:c r="E530" s="98" t="n">
        <x:v>131</x:v>
      </x:c>
      <x:c r="F530" s="99" t="str">
        <x:v>Verification: Reading Simulations → Build a circuit from a simulation waveform</x:v>
      </x:c>
      <x:c r="G530" s="99" t="str">
        <x:v>Combinational circuit 5</x:v>
      </x:c>
      <x:c r="H530" s="99" t="str">
        <x:v>Mastery check: solve and explain without notes.</x:v>
      </x:c>
      <x:c r="I530" s="98" t="str">
        <x:v>Not Started</x:v>
      </x:c>
      <x:c r="J530" s="98"/>
      <x:c r="K530" s="98" t="str">
        <x:v>None</x:v>
      </x:c>
      <x:c r="L530" s="99"/>
      <x:c r="M530" s="99"/>
      <x:c r="N530" s="99"/>
    </x:row>
    <x:row r="531" ht="34.5" customHeight="1">
      <x:c r="A531" s="34" t="n">
        <x:v>46287</x:v>
      </x:c>
      <x:c r="B531" s="98" t="str">
        <x:v>Final Revision</x:v>
      </x:c>
      <x:c r="C531" s="98" t="n">
        <x:v>17</x:v>
      </x:c>
      <x:c r="D531" s="98" t="n">
        <x:v>169</x:v>
      </x:c>
      <x:c r="E531" s="98" t="n">
        <x:v>132</x:v>
      </x:c>
      <x:c r="F531" s="99" t="str">
        <x:v>Verification: Reading Simulations → Build a circuit from a simulation waveform</x:v>
      </x:c>
      <x:c r="G531" s="99" t="str">
        <x:v>Combinational circuit 6</x:v>
      </x:c>
      <x:c r="H531" s="99" t="str">
        <x:v>Mastery check: solve and explain without notes.</x:v>
      </x:c>
      <x:c r="I531" s="98" t="str">
        <x:v>Not Started</x:v>
      </x:c>
      <x:c r="J531" s="98"/>
      <x:c r="K531" s="98" t="str">
        <x:v>None</x:v>
      </x:c>
      <x:c r="L531" s="99"/>
      <x:c r="M531" s="99"/>
      <x:c r="N531" s="99"/>
    </x:row>
    <x:row r="532" ht="34.5" customHeight="1">
      <x:c r="A532" s="34" t="n">
        <x:v>46287</x:v>
      </x:c>
      <x:c r="B532" s="98" t="str">
        <x:v>Final Revision</x:v>
      </x:c>
      <x:c r="C532" s="98" t="n">
        <x:v>17</x:v>
      </x:c>
      <x:c r="D532" s="98" t="n">
        <x:v>170</x:v>
      </x:c>
      <x:c r="E532" s="98" t="n">
        <x:v>133</x:v>
      </x:c>
      <x:c r="F532" s="99" t="str">
        <x:v>Verification: Reading Simulations → Build a circuit from a simulation waveform</x:v>
      </x:c>
      <x:c r="G532" s="99" t="str">
        <x:v>Sequential circuit 7</x:v>
      </x:c>
      <x:c r="H532" s="99" t="str">
        <x:v>Mastery check: solve and explain without notes.</x:v>
      </x:c>
      <x:c r="I532" s="98" t="str">
        <x:v>Not Started</x:v>
      </x:c>
      <x:c r="J532" s="98"/>
      <x:c r="K532" s="98" t="str">
        <x:v>None</x:v>
      </x:c>
      <x:c r="L532" s="99"/>
      <x:c r="M532" s="99"/>
      <x:c r="N532" s="99"/>
    </x:row>
    <x:row r="533" ht="34.5" customHeight="1">
      <x:c r="A533" s="34" t="n">
        <x:v>46288</x:v>
      </x:c>
      <x:c r="B533" s="98" t="str">
        <x:v>Final Revision</x:v>
      </x:c>
      <x:c r="C533" s="98" t="n">
        <x:v>18</x:v>
      </x:c>
      <x:c r="D533" s="98" t="n">
        <x:v>171</x:v>
      </x:c>
      <x:c r="E533" s="98" t="n">
        <x:v>134</x:v>
      </x:c>
      <x:c r="F533" s="99" t="str">
        <x:v>Verification: Reading Simulations → Build a circuit from a simulation waveform</x:v>
      </x:c>
      <x:c r="G533" s="99" t="str">
        <x:v>Sequential circuit 8</x:v>
      </x:c>
      <x:c r="H533" s="99" t="str">
        <x:v>Mastery check: solve and explain without notes.</x:v>
      </x:c>
      <x:c r="I533" s="98" t="str">
        <x:v>Not Started</x:v>
      </x:c>
      <x:c r="J533" s="98"/>
      <x:c r="K533" s="98" t="str">
        <x:v>None</x:v>
      </x:c>
      <x:c r="L533" s="99"/>
      <x:c r="M533" s="99"/>
      <x:c r="N533" s="99"/>
    </x:row>
    <x:row r="534" ht="34.5" customHeight="1">
      <x:c r="A534" s="34" t="n">
        <x:v>46288</x:v>
      </x:c>
      <x:c r="B534" s="98" t="str">
        <x:v>Final Revision</x:v>
      </x:c>
      <x:c r="C534" s="98" t="n">
        <x:v>18</x:v>
      </x:c>
      <x:c r="D534" s="98" t="n">
        <x:v>172</x:v>
      </x:c>
      <x:c r="E534" s="98" t="n">
        <x:v>135</x:v>
      </x:c>
      <x:c r="F534" s="99" t="str">
        <x:v>Verification: Reading Simulations → Build a circuit from a simulation waveform</x:v>
      </x:c>
      <x:c r="G534" s="99" t="str">
        <x:v>Sequential circuit 9</x:v>
      </x:c>
      <x:c r="H534" s="99" t="str">
        <x:v>Mastery check: solve and explain without notes.</x:v>
      </x:c>
      <x:c r="I534" s="98" t="str">
        <x:v>Not Started</x:v>
      </x:c>
      <x:c r="J534" s="98"/>
      <x:c r="K534" s="98" t="str">
        <x:v>None</x:v>
      </x:c>
      <x:c r="L534" s="99"/>
      <x:c r="M534" s="99"/>
      <x:c r="N534" s="99"/>
    </x:row>
    <x:row r="535" ht="34.5" customHeight="1">
      <x:c r="A535" s="34" t="n">
        <x:v>46288</x:v>
      </x:c>
      <x:c r="B535" s="98" t="str">
        <x:v>Final Revision</x:v>
      </x:c>
      <x:c r="C535" s="98" t="n">
        <x:v>18</x:v>
      </x:c>
      <x:c r="D535" s="98" t="n">
        <x:v>173</x:v>
      </x:c>
      <x:c r="E535" s="98" t="n">
        <x:v>136</x:v>
      </x:c>
      <x:c r="F535" s="99" t="str">
        <x:v>Verification: Reading Simulations → Build a circuit from a simulation waveform</x:v>
      </x:c>
      <x:c r="G535" s="99" t="str">
        <x:v>Sequential circuit 10</x:v>
      </x:c>
      <x:c r="H535" s="99" t="str">
        <x:v>Mastery check: solve and explain without notes.</x:v>
      </x:c>
      <x:c r="I535" s="98" t="str">
        <x:v>Not Started</x:v>
      </x:c>
      <x:c r="J535" s="98"/>
      <x:c r="K535" s="98" t="str">
        <x:v>None</x:v>
      </x:c>
      <x:c r="L535" s="99"/>
      <x:c r="M535" s="99"/>
      <x:c r="N535" s="99"/>
    </x:row>
    <x:row r="536" ht="34.5" customHeight="1">
      <x:c r="A536" s="34" t="n">
        <x:v>46288</x:v>
      </x:c>
      <x:c r="B536" s="98" t="str">
        <x:v>Final Revision</x:v>
      </x:c>
      <x:c r="C536" s="98" t="n">
        <x:v>18</x:v>
      </x:c>
      <x:c r="D536" s="98" t="n">
        <x:v>174</x:v>
      </x:c>
      <x:c r="E536" s="98" t="n">
        <x:v>137</x:v>
      </x:c>
      <x:c r="F536" s="99" t="str">
        <x:v>Verification: Writing Testbenches</x:v>
      </x:c>
      <x:c r="G536" s="99" t="str">
        <x:v>Clock</x:v>
      </x:c>
      <x:c r="H536" s="99" t="str">
        <x:v>Mastery check: solve and explain without notes.</x:v>
      </x:c>
      <x:c r="I536" s="98" t="str">
        <x:v>Not Started</x:v>
      </x:c>
      <x:c r="J536" s="98"/>
      <x:c r="K536" s="98" t="str">
        <x:v>None</x:v>
      </x:c>
      <x:c r="L536" s="99"/>
      <x:c r="M536" s="99"/>
      <x:c r="N536" s="99"/>
    </x:row>
    <x:row r="537" ht="34.5" customHeight="1">
      <x:c r="A537" s="34" t="n">
        <x:v>46288</x:v>
      </x:c>
      <x:c r="B537" s="98" t="str">
        <x:v>Final Revision</x:v>
      </x:c>
      <x:c r="C537" s="98" t="n">
        <x:v>18</x:v>
      </x:c>
      <x:c r="D537" s="98" t="n">
        <x:v>175</x:v>
      </x:c>
      <x:c r="E537" s="98" t="n">
        <x:v>138</x:v>
      </x:c>
      <x:c r="F537" s="99" t="str">
        <x:v>Verification: Writing Testbenches</x:v>
      </x:c>
      <x:c r="G537" s="99" t="str">
        <x:v>Testbench1</x:v>
      </x:c>
      <x:c r="H537" s="99" t="str">
        <x:v>Mastery check: solve and explain without notes.</x:v>
      </x:c>
      <x:c r="I537" s="98" t="str">
        <x:v>Not Started</x:v>
      </x:c>
      <x:c r="J537" s="98"/>
      <x:c r="K537" s="98" t="str">
        <x:v>None</x:v>
      </x:c>
      <x:c r="L537" s="99"/>
      <x:c r="M537" s="99"/>
      <x:c r="N537" s="99"/>
    </x:row>
    <x:row r="538" ht="34.5" customHeight="1">
      <x:c r="A538" s="34" t="n">
        <x:v>46288</x:v>
      </x:c>
      <x:c r="B538" s="98" t="str">
        <x:v>Final Revision</x:v>
      </x:c>
      <x:c r="C538" s="98" t="n">
        <x:v>18</x:v>
      </x:c>
      <x:c r="D538" s="98" t="n">
        <x:v>176</x:v>
      </x:c>
      <x:c r="E538" s="98" t="n">
        <x:v>139</x:v>
      </x:c>
      <x:c r="F538" s="99" t="str">
        <x:v>Verification: Writing Testbenches</x:v>
      </x:c>
      <x:c r="G538" s="99" t="str">
        <x:v>AND gate</x:v>
      </x:c>
      <x:c r="H538" s="99" t="str">
        <x:v>Mastery check: solve and explain without notes.</x:v>
      </x:c>
      <x:c r="I538" s="98" t="str">
        <x:v>Not Started</x:v>
      </x:c>
      <x:c r="J538" s="98"/>
      <x:c r="K538" s="98" t="str">
        <x:v>None</x:v>
      </x:c>
      <x:c r="L538" s="99"/>
      <x:c r="M538" s="99"/>
      <x:c r="N538" s="99"/>
    </x:row>
    <x:row r="539" ht="34.5" customHeight="1">
      <x:c r="A539" s="34" t="n">
        <x:v>46288</x:v>
      </x:c>
      <x:c r="B539" s="98" t="str">
        <x:v>Final Revision</x:v>
      </x:c>
      <x:c r="C539" s="98" t="n">
        <x:v>18</x:v>
      </x:c>
      <x:c r="D539" s="98" t="n">
        <x:v>177</x:v>
      </x:c>
      <x:c r="E539" s="98" t="n">
        <x:v>140</x:v>
      </x:c>
      <x:c r="F539" s="99" t="str">
        <x:v>Verification: Writing Testbenches</x:v>
      </x:c>
      <x:c r="G539" s="99" t="str">
        <x:v>Testbench2</x:v>
      </x:c>
      <x:c r="H539" s="99" t="str">
        <x:v>Mastery check: solve and explain without notes.</x:v>
      </x:c>
      <x:c r="I539" s="98" t="str">
        <x:v>Not Started</x:v>
      </x:c>
      <x:c r="J539" s="98"/>
      <x:c r="K539" s="98" t="str">
        <x:v>None</x:v>
      </x:c>
      <x:c r="L539" s="99"/>
      <x:c r="M539" s="99"/>
      <x:c r="N539" s="99"/>
    </x:row>
    <x:row r="540" ht="34.5" customHeight="1">
      <x:c r="A540" s="34" t="n">
        <x:v>46288</x:v>
      </x:c>
      <x:c r="B540" s="98" t="str">
        <x:v>Final Revision</x:v>
      </x:c>
      <x:c r="C540" s="98" t="n">
        <x:v>18</x:v>
      </x:c>
      <x:c r="D540" s="98" t="n">
        <x:v>178</x:v>
      </x:c>
      <x:c r="E540" s="98" t="n">
        <x:v>141</x:v>
      </x:c>
      <x:c r="F540" s="99" t="str">
        <x:v>Verification: Writing Testbenches</x:v>
      </x:c>
      <x:c r="G540" s="99" t="str">
        <x:v>T flip-flop</x:v>
      </x:c>
      <x:c r="H540" s="99" t="str">
        <x:v>Mastery check: solve and explain without notes.</x:v>
      </x:c>
      <x:c r="I540" s="98" t="str">
        <x:v>Not Started</x:v>
      </x:c>
      <x:c r="J540" s="98"/>
      <x:c r="K540" s="98" t="str">
        <x:v>None</x:v>
      </x:c>
      <x:c r="L540" s="99"/>
      <x:c r="M540" s="99"/>
      <x:c r="N540" s="99"/>
    </x:row>
  </x:sheetData>
  <x:mergeCells>
    <x:mergeCell ref="A1:N2"/>
    <x:mergeCell ref="A3:N3"/>
    <x:mergeCell ref="A4:N4"/>
  </x:mergeCells>
  <x:conditionalFormatting sqref="I7:I540">
    <x:cfRule type="containsText" dxfId="6" priority="1" operator="containsText" text="Done"/>
    <x:cfRule type="containsText" dxfId="7" priority="2" operator="containsText" text="Needs Review"/>
    <x:cfRule type="containsText" dxfId="8" priority="3" operator="containsText" text="Not Started"/>
  </x:conditionalFormatting>
  <x:conditionalFormatting sqref="J7:J540">
    <x:cfRule type="colorScale" priority="4">
      <x:colorScale>
        <x:cfvo type="min"/>
        <x:cfvo type="percentile" val="50"/>
        <x:cfvo type="max"/>
        <x:color rgb="FFF4CCCC"/>
        <x:color rgb="FFFFF2CC"/>
        <x:color rgb="FFC6EFCE"/>
      </x:colorScale>
    </x:cfRule>
  </x:conditionalFormatting>
  <x:conditionalFormatting sqref="B7:B540">
    <x:cfRule type="containsText" dxfId="9" priority="5" operator="containsText" text="Revision 1"/>
    <x:cfRule type="containsText" dxfId="10" priority="6" operator="containsText" text="Revision 2"/>
    <x:cfRule type="containsText" dxfId="11" priority="7" operator="containsText" text="Final Revision"/>
  </x:conditionalFormatting>
  <x:dataValidations count="3">
    <x:dataValidation type="list" sqref="I7:I540">
      <x:formula1>"Not Started,Done,Needs Review"</x:formula1>
    </x:dataValidation>
    <x:dataValidation type="whole" operator="between" sqref="J7:J540">
      <x:formula1>1</x:formula1>
      <x:formula2>5</x:formula2>
    </x:dataValidation>
    <x:dataValidation type="list" sqref="K7:K540">
      <x:formula1>"None,Syntax,Width / signedness,Combinational logic,Reset / timing,Nonblocking assignment,FSM / state,Testbench / waveform,Other"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601da8b7134a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6.110000133514404" hidden="0" customWidth="1"/>
    <x:col min="3" max="3" width="10" hidden="0" customWidth="1"/>
    <x:col min="4" max="4" width="8.890000343322754" hidden="0" customWidth="1"/>
    <x:col min="5" max="5" width="27.780000686645508" hidden="0" customWidth="1"/>
    <x:col min="6" max="6" width="57.779998779296875" hidden="0" customWidth="1"/>
    <x:col min="7" max="7" width="6.110000133514404" hidden="0" customWidth="1"/>
    <x:col min="8" max="8" width="8" hidden="0" customWidth="1"/>
    <x:col min="9" max="9" width="8.329999923706055" hidden="0" customWidth="1"/>
    <x:col min="10" max="10" width="33.33000183105469" hidden="0" customWidth="1"/>
    <x:col min="11" max="11" width="26.670000076293945" hidden="0" customWidth="1"/>
  </x:cols>
  <x:sheetData>
    <x:row r="1" ht="24" customHeight="1">
      <x:c r="A1" s="4" t="str">
        <x:v>Daily 10-Question Calendar</x:v>
      </x:c>
      <x:c r="B1" s="4" t="str">
        <x:v>Daily 10-Question Calendar</x:v>
      </x:c>
      <x:c r="C1" s="4" t="str">
        <x:v>Daily 10-Question Calendar</x:v>
      </x:c>
      <x:c r="D1" s="4" t="str">
        <x:v>Daily 10-Question Calendar</x:v>
      </x:c>
      <x:c r="E1" s="4" t="str">
        <x:v>Daily 10-Question Calendar</x:v>
      </x:c>
      <x:c r="F1" s="4" t="str">
        <x:v>Daily 10-Question Calendar</x:v>
      </x:c>
      <x:c r="G1" s="4" t="str">
        <x:v>Daily 10-Question Calendar</x:v>
      </x:c>
      <x:c r="H1" s="4" t="str">
        <x:v>Daily 10-Question Calendar</x:v>
      </x:c>
      <x:c r="I1" s="4" t="str">
        <x:v>Daily 10-Question Calendar</x:v>
      </x:c>
      <x:c r="J1" s="4" t="str">
        <x:v>Daily 10-Question Calendar</x:v>
      </x:c>
      <x:c r="K1" s="4" t="str">
        <x:v>Daily 10-Question Calendar</x:v>
      </x:c>
    </x:row>
    <x:row r="2" ht="24" customHeight="1">
      <x:c r="A2" s="4" t="str">
        <x:v>Daily 10-Question Calendar</x:v>
      </x:c>
      <x:c r="B2" s="4" t="str">
        <x:v>Daily 10-Question Calendar</x:v>
      </x:c>
      <x:c r="C2" s="4" t="str">
        <x:v>Daily 10-Question Calendar</x:v>
      </x:c>
      <x:c r="D2" s="4" t="str">
        <x:v>Daily 10-Question Calendar</x:v>
      </x:c>
      <x:c r="E2" s="4" t="str">
        <x:v>Daily 10-Question Calendar</x:v>
      </x:c>
      <x:c r="F2" s="4" t="str">
        <x:v>Daily 10-Question Calendar</x:v>
      </x:c>
      <x:c r="G2" s="4" t="str">
        <x:v>Daily 10-Question Calendar</x:v>
      </x:c>
      <x:c r="H2" s="4" t="str">
        <x:v>Daily 10-Question Calendar</x:v>
      </x:c>
      <x:c r="I2" s="4" t="str">
        <x:v>Daily 10-Question Calendar</x:v>
      </x:c>
      <x:c r="J2" s="4" t="str">
        <x:v>Daily 10-Question Calendar</x:v>
      </x:c>
      <x:c r="K2" s="4" t="str">
        <x:v>Daily 10-Question Calendar</x:v>
      </x:c>
    </x:row>
    <x:row r="3" ht="21" customHeight="1">
      <x:c r="A3" s="9" t="str">
        <x:v>72 dated sessions · each row names the exact questions assigned that day · no overlapping revision rounds</x:v>
      </x:c>
      <x:c r="B3" s="9" t="str">
        <x:v>72 dated sessions · each row names the exact questions assigned that day · no overlapping revision rounds</x:v>
      </x:c>
      <x:c r="C3" s="9" t="str">
        <x:v>72 dated sessions · each row names the exact questions assigned that day · no overlapping revision rounds</x:v>
      </x:c>
      <x:c r="D3" s="9" t="str">
        <x:v>72 dated sessions · each row names the exact questions assigned that day · no overlapping revision rounds</x:v>
      </x:c>
      <x:c r="E3" s="9" t="str">
        <x:v>72 dated sessions · each row names the exact questions assigned that day · no overlapping revision rounds</x:v>
      </x:c>
      <x:c r="F3" s="9" t="str">
        <x:v>72 dated sessions · each row names the exact questions assigned that day · no overlapping revision rounds</x:v>
      </x:c>
      <x:c r="G3" s="9" t="str">
        <x:v>72 dated sessions · each row names the exact questions assigned that day · no overlapping revision rounds</x:v>
      </x:c>
      <x:c r="H3" s="9" t="str">
        <x:v>72 dated sessions · each row names the exact questions assigned that day · no overlapping revision rounds</x:v>
      </x:c>
      <x:c r="I3" s="9" t="str">
        <x:v>72 dated sessions · each row names the exact questions assigned that day · no overlapping revision rounds</x:v>
      </x:c>
      <x:c r="J3" s="9" t="str">
        <x:v>72 dated sessions · each row names the exact questions assigned that day · no overlapping revision rounds</x:v>
      </x:c>
      <x:c r="K3" s="9" t="str">
        <x:v>72 dated sessions · each row names the exact questions assigned that day · no overlapping revision rounds</x:v>
      </x:c>
    </x:row>
    <x:row r="6">
      <x:c r="A6" s="33" t="str">
        <x:v>Phase</x:v>
      </x:c>
      <x:c r="B6" s="33" t="str">
        <x:v>Day</x:v>
      </x:c>
      <x:c r="C6" s="33" t="str">
        <x:v>Date</x:v>
      </x:c>
      <x:c r="D6" s="33" t="str">
        <x:v>Website #</x:v>
      </x:c>
      <x:c r="E6" s="33" t="str">
        <x:v>Archive IDs</x:v>
      </x:c>
      <x:c r="F6" s="33" t="str">
        <x:v>Problems</x:v>
      </x:c>
      <x:c r="G6" s="33" t="str">
        <x:v>Count</x:v>
      </x:c>
      <x:c r="H6" s="33" t="str">
        <x:v>Completed</x:v>
      </x:c>
      <x:c r="I6" s="33" t="str">
        <x:v>Progress</x:v>
      </x:c>
      <x:c r="J6" s="33" t="str">
        <x:v>Goal</x:v>
      </x:c>
      <x:c r="K6" s="33" t="str">
        <x:v>Daily notes</x:v>
      </x:c>
    </x:row>
    <x:row r="7" ht="66" customHeight="1">
      <x:c r="A7" s="98" t="str">
        <x:v>Pass 1</x:v>
      </x:c>
      <x:c r="B7" s="98" t="n">
        <x:v>1</x:v>
      </x:c>
      <x:c r="C7" s="34" t="n">
        <x:v>46217</x:v>
      </x:c>
      <x:c r="D7" s="98" t="str">
        <x:v>1–10</x:v>
      </x:c>
      <x:c r="E7" s="99" t="str">
        <x:v>151, 152, 001, 002, 003, 004, 005, 006, 007, 008</x:v>
      </x:c>
      <x:c r="F7" s="99" t="str">
        <x:v>Getting Started • Output Zero • Simple wire • Four wires • Inverter • AND gate • NOR gate • XNOR gate • Declaring wires • 7458 chip</x:v>
      </x:c>
      <x:c r="G7" s="98" t="n">
        <x:v>10</x:v>
      </x:c>
      <x:c r="H7" s="98" t="n">
        <x:f>COUNTIFS('Learning Plan'!$A$7:$A$184,C7,'Learning Plan'!$J$7:$J$184,"Done")</x:f>
        <x:v>0</x:v>
      </x:c>
      <x:c r="I7" s="100" t="n">
        <x:f>H7/G7</x:f>
        <x:v>0</x:v>
      </x:c>
      <x:c r="J7" s="99" t="str">
        <x:v>Solve from blank; check the saved solution only after the attempt.</x:v>
      </x:c>
      <x:c r="K7" s="99"/>
    </x:row>
    <x:row r="8" ht="66" customHeight="1">
      <x:c r="A8" s="98" t="str">
        <x:v>Pass 1</x:v>
      </x:c>
      <x:c r="B8" s="98" t="n">
        <x:v>2</x:v>
      </x:c>
      <x:c r="C8" s="34" t="n">
        <x:v>46218</x:v>
      </x:c>
      <x:c r="D8" s="98" t="str">
        <x:v>11–20</x:v>
      </x:c>
      <x:c r="E8" s="99" t="str">
        <x:v>009, 010, 011, 012, 013, 014, 015, 016, 017, 018</x:v>
      </x:c>
      <x:c r="F8" s="99" t="str">
        <x:v>Vectors • Vectors in more detail • Vector part select • Bitwise operators • Four-input gates • Vector concatenation operator • Vector reversal 1 • Replication operator • More replication • Modules</x:v>
      </x:c>
      <x:c r="G8" s="98" t="n">
        <x:v>10</x:v>
      </x:c>
      <x:c r="H8" s="98" t="n">
        <x:f>COUNTIFS('Learning Plan'!$A$7:$A$184,C8,'Learning Plan'!$J$7:$J$184,"Done")</x:f>
        <x:v>0</x:v>
      </x:c>
      <x:c r="I8" s="100" t="n">
        <x:f>H8/G8</x:f>
        <x:v>0</x:v>
      </x:c>
      <x:c r="J8" s="99" t="str">
        <x:v>Solve from blank; check the saved solution only after the attempt.</x:v>
      </x:c>
      <x:c r="K8" s="99"/>
    </x:row>
    <x:row r="9" ht="66" customHeight="1">
      <x:c r="A9" s="98" t="str">
        <x:v>Pass 1</x:v>
      </x:c>
      <x:c r="B9" s="98" t="n">
        <x:v>3</x:v>
      </x:c>
      <x:c r="C9" s="34" t="n">
        <x:v>46219</x:v>
      </x:c>
      <x:c r="D9" s="98" t="str">
        <x:v>21–30</x:v>
      </x:c>
      <x:c r="E9" s="99" t="str">
        <x:v>019, 020, 021, 022, 023, 024, 025, 026, 027, 028</x:v>
      </x:c>
      <x:c r="F9" s="99" t="str">
        <x:v>Connecting ports by position • Connecting ports by name • Three modules • Modules and vectors • Adder 1 • Adder 2 • Carry-select adder • Adder-subtractor • Always blocks (combinational) • Always blocks (clocked)</x:v>
      </x:c>
      <x:c r="G9" s="98" t="n">
        <x:v>10</x:v>
      </x:c>
      <x:c r="H9" s="98" t="n">
        <x:f>COUNTIFS('Learning Plan'!$A$7:$A$184,C9,'Learning Plan'!$J$7:$J$184,"Done")</x:f>
        <x:v>0</x:v>
      </x:c>
      <x:c r="I9" s="100" t="n">
        <x:f>H9/G9</x:f>
        <x:v>0</x:v>
      </x:c>
      <x:c r="J9" s="99" t="str">
        <x:v>Solve from blank; check the saved solution only after the attempt.</x:v>
      </x:c>
      <x:c r="K9" s="99"/>
    </x:row>
    <x:row r="10" ht="66" customHeight="1">
      <x:c r="A10" s="98" t="str">
        <x:v>Pass 1</x:v>
      </x:c>
      <x:c r="B10" s="98" t="n">
        <x:v>4</x:v>
      </x:c>
      <x:c r="C10" s="34" t="n">
        <x:v>46220</x:v>
      </x:c>
      <x:c r="D10" s="98" t="str">
        <x:v>31–40</x:v>
      </x:c>
      <x:c r="E10" s="99" t="str">
        <x:v>029, 030, 031, 032, 033, 034, 035, 036, 037, 038</x:v>
      </x:c>
      <x:c r="F10" s="99" t="str">
        <x:v>If statement • If statement latches • Case statement • Priority encoder • Priority encoder with casez • Avoiding latches • Conditional ternary operator • Reduction operators • Reduction: Even wider gates • Combinational for-loop: Vector reversal 2</x:v>
      </x:c>
      <x:c r="G10" s="98" t="n">
        <x:v>10</x:v>
      </x:c>
      <x:c r="H10" s="98" t="n">
        <x:f>COUNTIFS('Learning Plan'!$A$7:$A$184,C10,'Learning Plan'!$J$7:$J$184,"Done")</x:f>
        <x:v>0</x:v>
      </x:c>
      <x:c r="I10" s="100" t="n">
        <x:f>H10/G10</x:f>
        <x:v>0</x:v>
      </x:c>
      <x:c r="J10" s="99" t="str">
        <x:v>Solve from blank; check the saved solution only after the attempt.</x:v>
      </x:c>
      <x:c r="K10" s="99"/>
    </x:row>
    <x:row r="11" ht="66" customHeight="1">
      <x:c r="A11" s="98" t="str">
        <x:v>Pass 1</x:v>
      </x:c>
      <x:c r="B11" s="98" t="n">
        <x:v>5</x:v>
      </x:c>
      <x:c r="C11" s="34" t="n">
        <x:v>46221</x:v>
      </x:c>
      <x:c r="D11" s="98" t="str">
        <x:v>41–50</x:v>
      </x:c>
      <x:c r="E11" s="99" t="str">
        <x:v>039, 040, 041, 042, 043, 044, 045, 046, 047, 048</x:v>
      </x:c>
      <x:c r="F11" s="99" t="str">
        <x:v>Combinational for-loop: 255-bit population count • Generate for-loop: 100-bit binary adder 2 • Generate for-loop: 100-digit BCD adder • Wire • GND • NOR • Another gate • Two gates • More logic gates • 7420 chip</x:v>
      </x:c>
      <x:c r="G11" s="98" t="n">
        <x:v>10</x:v>
      </x:c>
      <x:c r="H11" s="98" t="n">
        <x:f>COUNTIFS('Learning Plan'!$A$7:$A$184,C11,'Learning Plan'!$J$7:$J$184,"Done")</x:f>
        <x:v>0</x:v>
      </x:c>
      <x:c r="I11" s="100" t="n">
        <x:f>H11/G11</x:f>
        <x:v>0</x:v>
      </x:c>
      <x:c r="J11" s="99" t="str">
        <x:v>Solve from blank; check the saved solution only after the attempt.</x:v>
      </x:c>
      <x:c r="K11" s="99"/>
    </x:row>
    <x:row r="12" ht="66" customHeight="1">
      <x:c r="A12" s="98" t="str">
        <x:v>Pass 1</x:v>
      </x:c>
      <x:c r="B12" s="98" t="n">
        <x:v>6</x:v>
      </x:c>
      <x:c r="C12" s="34" t="n">
        <x:v>46222</x:v>
      </x:c>
      <x:c r="D12" s="98" t="str">
        <x:v>51–60</x:v>
      </x:c>
      <x:c r="E12" s="99" t="str">
        <x:v>049, 050, 051, 052, 053, 054, 055, 056, 057, 058</x:v>
      </x:c>
      <x:c r="F12" s="99" t="str">
        <x:v>Truth tables • Two-bit equality • Simple circuit A • Simple circuit B • Combine circuits A and B • Ring or vibrate? • Thermostat • 3-bit population count • Gates and vectors • Even longer vectors</x:v>
      </x:c>
      <x:c r="G12" s="98" t="n">
        <x:v>10</x:v>
      </x:c>
      <x:c r="H12" s="98" t="n">
        <x:f>COUNTIFS('Learning Plan'!$A$7:$A$184,C12,'Learning Plan'!$J$7:$J$184,"Done")</x:f>
        <x:v>0</x:v>
      </x:c>
      <x:c r="I12" s="100" t="n">
        <x:f>H12/G12</x:f>
        <x:v>0</x:v>
      </x:c>
      <x:c r="J12" s="99" t="str">
        <x:v>Solve from blank; check the saved solution only after the attempt.</x:v>
      </x:c>
      <x:c r="K12" s="99"/>
    </x:row>
    <x:row r="13" ht="66" customHeight="1">
      <x:c r="A13" s="98" t="str">
        <x:v>Pass 1</x:v>
      </x:c>
      <x:c r="B13" s="98" t="n">
        <x:v>7</x:v>
      </x:c>
      <x:c r="C13" s="34" t="n">
        <x:v>46223</x:v>
      </x:c>
      <x:c r="D13" s="98" t="str">
        <x:v>61–70</x:v>
      </x:c>
      <x:c r="E13" s="99" t="str">
        <x:v>059, 060, 061, 062, 063, 064, 065, 066, 067, 068</x:v>
      </x:c>
      <x:c r="F13" s="99" t="str">
        <x:v>2-to-1 multiplexer • 2-to-1 bus multiplexer • 9-to-1 multiplexer • 256-to-1 multiplexer • 256-to-1 4-bit multiplexer • Half adder • Full adder • 3-bit binary adder • Adder • Signed addition overflow</x:v>
      </x:c>
      <x:c r="G13" s="98" t="n">
        <x:v>10</x:v>
      </x:c>
      <x:c r="H13" s="98" t="n">
        <x:f>COUNTIFS('Learning Plan'!$A$7:$A$184,C13,'Learning Plan'!$J$7:$J$184,"Done")</x:f>
        <x:v>0</x:v>
      </x:c>
      <x:c r="I13" s="100" t="n">
        <x:f>H13/G13</x:f>
        <x:v>0</x:v>
      </x:c>
      <x:c r="J13" s="99" t="str">
        <x:v>Solve from blank; check the saved solution only after the attempt.</x:v>
      </x:c>
      <x:c r="K13" s="99"/>
    </x:row>
    <x:row r="14" ht="66" customHeight="1">
      <x:c r="A14" s="98" t="str">
        <x:v>Pass 1</x:v>
      </x:c>
      <x:c r="B14" s="98" t="n">
        <x:v>8</x:v>
      </x:c>
      <x:c r="C14" s="34" t="n">
        <x:v>46224</x:v>
      </x:c>
      <x:c r="D14" s="98" t="str">
        <x:v>71–80</x:v>
      </x:c>
      <x:c r="E14" s="99" t="str">
        <x:v>069, 070, 071, 072, 073, 074, 075, 076, 077, 078</x:v>
      </x:c>
      <x:c r="F14" s="99" t="str">
        <x:v>100-bit binary adder • 4-digit BCD adder • 3-variable • 4-variable • 4-variable • 4-variable • Minimum SOP and POS • Karnaugh map • Karnaugh map • K-map implemented with a multiplexer</x:v>
      </x:c>
      <x:c r="G14" s="98" t="n">
        <x:v>10</x:v>
      </x:c>
      <x:c r="H14" s="98" t="n">
        <x:f>COUNTIFS('Learning Plan'!$A$7:$A$184,C14,'Learning Plan'!$J$7:$J$184,"Done")</x:f>
        <x:v>0</x:v>
      </x:c>
      <x:c r="I14" s="100" t="n">
        <x:f>H14/G14</x:f>
        <x:v>0</x:v>
      </x:c>
      <x:c r="J14" s="99" t="str">
        <x:v>Solve from blank; check the saved solution only after the attempt.</x:v>
      </x:c>
      <x:c r="K14" s="99"/>
    </x:row>
    <x:row r="15" ht="66" customHeight="1">
      <x:c r="A15" s="98" t="str">
        <x:v>Pass 1</x:v>
      </x:c>
      <x:c r="B15" s="98" t="n">
        <x:v>9</x:v>
      </x:c>
      <x:c r="C15" s="34" t="n">
        <x:v>46225</x:v>
      </x:c>
      <x:c r="D15" s="98" t="str">
        <x:v>81–90</x:v>
      </x:c>
      <x:c r="E15" s="99" t="str">
        <x:v>079, 080, 081, 082, 083, 084, 085, 086, 087, 088</x:v>
      </x:c>
      <x:c r="F15" s="99" t="str">
        <x:v>D flip-flop • D flip-flops • DFF with reset • DFF with reset value • DFF with asynchronous reset • DFF with byte enable • D Latch • DFF • DFF • DFF+gate</x:v>
      </x:c>
      <x:c r="G15" s="98" t="n">
        <x:v>10</x:v>
      </x:c>
      <x:c r="H15" s="98" t="n">
        <x:f>COUNTIFS('Learning Plan'!$A$7:$A$184,C15,'Learning Plan'!$J$7:$J$184,"Done")</x:f>
        <x:v>0</x:v>
      </x:c>
      <x:c r="I15" s="100" t="n">
        <x:f>H15/G15</x:f>
        <x:v>0</x:v>
      </x:c>
      <x:c r="J15" s="99" t="str">
        <x:v>Solve from blank; check the saved solution only after the attempt.</x:v>
      </x:c>
      <x:c r="K15" s="99"/>
    </x:row>
    <x:row r="16" ht="66" customHeight="1">
      <x:c r="A16" s="98" t="str">
        <x:v>Pass 1</x:v>
      </x:c>
      <x:c r="B16" s="98" t="n">
        <x:v>10</x:v>
      </x:c>
      <x:c r="C16" s="34" t="n">
        <x:v>46226</x:v>
      </x:c>
      <x:c r="D16" s="98" t="str">
        <x:v>91–100</x:v>
      </x:c>
      <x:c r="E16" s="99" t="str">
        <x:v>089, 090, 091, 092, 093, 094, 095, 096, 097, 098</x:v>
      </x:c>
      <x:c r="F16" s="99" t="str">
        <x:v>Mux and DFF • Mux and DFF • DFFs and gates • Create circuit from truth table • Detect an edge • Detect both edges • Edge capture register • Dual-edge triggered flip-flop • Four-bit binary counter • Decade counter</x:v>
      </x:c>
      <x:c r="G16" s="98" t="n">
        <x:v>10</x:v>
      </x:c>
      <x:c r="H16" s="98" t="n">
        <x:f>COUNTIFS('Learning Plan'!$A$7:$A$184,C16,'Learning Plan'!$J$7:$J$184,"Done")</x:f>
        <x:v>0</x:v>
      </x:c>
      <x:c r="I16" s="100" t="n">
        <x:f>H16/G16</x:f>
        <x:v>0</x:v>
      </x:c>
      <x:c r="J16" s="99" t="str">
        <x:v>Solve from blank; check the saved solution only after the attempt.</x:v>
      </x:c>
      <x:c r="K16" s="99"/>
    </x:row>
    <x:row r="17" ht="66" customHeight="1">
      <x:c r="A17" s="98" t="str">
        <x:v>Pass 1</x:v>
      </x:c>
      <x:c r="B17" s="98" t="n">
        <x:v>11</x:v>
      </x:c>
      <x:c r="C17" s="34" t="n">
        <x:v>46227</x:v>
      </x:c>
      <x:c r="D17" s="98" t="str">
        <x:v>101–110</x:v>
      </x:c>
      <x:c r="E17" s="99" t="str">
        <x:v>099, 100, 143, 144, 145, 146, 101, 102, 103, 104</x:v>
      </x:c>
      <x:c r="F17" s="99" t="str">
        <x:v>Decade counter again • Slow decade counter • Counter 1-12 • Counter 1000 • 4-digit decimal counter • 12-hour clock • 4-bit shift register • Left/right rotator • Left/right arithmetic shift by 1 or 8 • 5-bit LFSR</x:v>
      </x:c>
      <x:c r="G17" s="98" t="n">
        <x:v>10</x:v>
      </x:c>
      <x:c r="H17" s="98" t="n">
        <x:f>COUNTIFS('Learning Plan'!$A$7:$A$184,C17,'Learning Plan'!$J$7:$J$184,"Done")</x:f>
        <x:v>0</x:v>
      </x:c>
      <x:c r="I17" s="100" t="n">
        <x:f>H17/G17</x:f>
        <x:v>0</x:v>
      </x:c>
      <x:c r="J17" s="99" t="str">
        <x:v>Solve from blank; check the saved solution only after the attempt.</x:v>
      </x:c>
      <x:c r="K17" s="99"/>
    </x:row>
    <x:row r="18" ht="66" customHeight="1">
      <x:c r="A18" s="98" t="str">
        <x:v>Pass 1</x:v>
      </x:c>
      <x:c r="B18" s="98" t="n">
        <x:v>12</x:v>
      </x:c>
      <x:c r="C18" s="34" t="n">
        <x:v>46228</x:v>
      </x:c>
      <x:c r="D18" s="98" t="str">
        <x:v>111–120</x:v>
      </x:c>
      <x:c r="E18" s="99" t="str">
        <x:v>105, 106, 107, 108, 109, 175, 176, 179, 110, 111</x:v>
      </x:c>
      <x:c r="F18" s="99" t="str">
        <x:v>3-bit LFSR • 32-bit LFSR • Shift register • Shift register • 3-input LUT • Rule 90 • Rule 110 • Conway's Game of Life 16x16 • Simple FSM 1 (asynchronous reset) • Simple FSM 1 (synchronous reset)</x:v>
      </x:c>
      <x:c r="G18" s="98" t="n">
        <x:v>10</x:v>
      </x:c>
      <x:c r="H18" s="98" t="n">
        <x:f>COUNTIFS('Learning Plan'!$A$7:$A$184,C18,'Learning Plan'!$J$7:$J$184,"Done")</x:f>
        <x:v>0</x:v>
      </x:c>
      <x:c r="I18" s="100" t="n">
        <x:f>H18/G18</x:f>
        <x:v>0</x:v>
      </x:c>
      <x:c r="J18" s="99" t="str">
        <x:v>Solve from blank; check the saved solution only after the attempt.</x:v>
      </x:c>
      <x:c r="K18" s="99"/>
    </x:row>
    <x:row r="19" ht="66" customHeight="1">
      <x:c r="A19" s="98" t="str">
        <x:v>Pass 1</x:v>
      </x:c>
      <x:c r="B19" s="98" t="n">
        <x:v>13</x:v>
      </x:c>
      <x:c r="C19" s="34" t="n">
        <x:v>46229</x:v>
      </x:c>
      <x:c r="D19" s="98" t="str">
        <x:v>121–130</x:v>
      </x:c>
      <x:c r="E19" s="99" t="str">
        <x:v>112, 113, 114, 115, 116, 117, 118, 119, 159, 160</x:v>
      </x:c>
      <x:c r="F19" s="99" t="str">
        <x:v>Simple FSM 2 (asynchronous reset) • Simple FSM 2 (synchronous reset) • Simple state transitions 3 • Simple one-hot state transitions 3 • Simple FSM 3 (asynchronous reset) • Simple FSM 3 (synchronous reset) • Design a Moore FSM • Lemmings 1 • Lemmings 2 • Lemmings 3</x:v>
      </x:c>
      <x:c r="G19" s="98" t="n">
        <x:v>10</x:v>
      </x:c>
      <x:c r="H19" s="98" t="n">
        <x:f>COUNTIFS('Learning Plan'!$A$7:$A$184,C19,'Learning Plan'!$J$7:$J$184,"Done")</x:f>
        <x:v>0</x:v>
      </x:c>
      <x:c r="I19" s="100" t="n">
        <x:f>H19/G19</x:f>
        <x:v>0</x:v>
      </x:c>
      <x:c r="J19" s="99" t="str">
        <x:v>Solve from blank; check the saved solution only after the attempt.</x:v>
      </x:c>
      <x:c r="K19" s="99"/>
    </x:row>
    <x:row r="20" ht="66" customHeight="1">
      <x:c r="A20" s="98" t="str">
        <x:v>Pass 1</x:v>
      </x:c>
      <x:c r="B20" s="98" t="n">
        <x:v>14</x:v>
      </x:c>
      <x:c r="C20" s="34" t="n">
        <x:v>46230</x:v>
      </x:c>
      <x:c r="D20" s="98" t="str">
        <x:v>131–140</x:v>
      </x:c>
      <x:c r="E20" s="99" t="str">
        <x:v>161, 162, 166, 167, 163, 164, 165, 168, 142, 169</x:v>
      </x:c>
      <x:c r="F20" s="99" t="str">
        <x:v>Lemmings 4 • One-hot FSM • PS/2 packet parser • PS/2 packet parser and datapath • Serial receiver • Serial receiver and datapath • Serial receiver with parity checking • Sequence recognition • Q8: Design a Mealy FSM • Q5a: Serial two's complementer (Moore FSM)</x:v>
      </x:c>
      <x:c r="G20" s="98" t="n">
        <x:v>10</x:v>
      </x:c>
      <x:c r="H20" s="98" t="n">
        <x:f>COUNTIFS('Learning Plan'!$A$7:$A$184,C20,'Learning Plan'!$J$7:$J$184,"Done")</x:f>
        <x:v>0</x:v>
      </x:c>
      <x:c r="I20" s="100" t="n">
        <x:f>H20/G20</x:f>
        <x:v>0</x:v>
      </x:c>
      <x:c r="J20" s="99" t="str">
        <x:v>Solve from blank; check the saved solution only after the attempt.</x:v>
      </x:c>
      <x:c r="K20" s="99"/>
    </x:row>
    <x:row r="21" ht="66" customHeight="1">
      <x:c r="A21" s="98" t="str">
        <x:v>Pass 1</x:v>
      </x:c>
      <x:c r="B21" s="98" t="n">
        <x:v>15</x:v>
      </x:c>
      <x:c r="C21" s="34" t="n">
        <x:v>46231</x:v>
      </x:c>
      <x:c r="D21" s="98" t="str">
        <x:v>141–150</x:v>
      </x:c>
      <x:c r="E21" s="99" t="str">
        <x:v>170, 155, 156, 157, 171, 158, 172, 173, 174, 177</x:v>
      </x:c>
      <x:c r="F21" s="99" t="str">
        <x:v>Q5b: Serial two's complementer (Mealy FSM) • Q3a: FSM • Q3b: FSM • Q3c: FSM logic • Q6b: FSM next-state logic • Q6c: FSM one-hot next-state logic • Q6: FSM • Q2a: FSM • Q2b: One-hot FSM equations • Q2a: FSM</x:v>
      </x:c>
      <x:c r="G21" s="98" t="n">
        <x:v>10</x:v>
      </x:c>
      <x:c r="H21" s="98" t="n">
        <x:f>COUNTIFS('Learning Plan'!$A$7:$A$184,C21,'Learning Plan'!$J$7:$J$184,"Done")</x:f>
        <x:v>0</x:v>
      </x:c>
      <x:c r="I21" s="100" t="n">
        <x:f>H21/G21</x:f>
        <x:v>0</x:v>
      </x:c>
      <x:c r="J21" s="99" t="str">
        <x:v>Solve from blank; check the saved solution only after the attempt.</x:v>
      </x:c>
      <x:c r="K21" s="99"/>
    </x:row>
    <x:row r="22" ht="66" customHeight="1">
      <x:c r="A22" s="98" t="str">
        <x:v>Pass 1</x:v>
      </x:c>
      <x:c r="B22" s="98" t="n">
        <x:v>16</x:v>
      </x:c>
      <x:c r="C22" s="34" t="n">
        <x:v>46232</x:v>
      </x:c>
      <x:c r="D22" s="98" t="str">
        <x:v>151–160</x:v>
      </x:c>
      <x:c r="E22" s="99" t="str">
        <x:v>121, 147, 148, 149, 150, 153, 154, 178, 122, 123</x:v>
      </x:c>
      <x:c r="F22" s="99" t="str">
        <x:v>Q2b: Another FSM • Counter with period 1000 • 4-bit shift register and down counter • FSM: Sequence 1101 recognizer • FSM: Enable shift register • FSM: The complete FSM • The complete timer • FSM: One-hot logic equations • Mux • NAND</x:v>
      </x:c>
      <x:c r="G22" s="98" t="n">
        <x:v>10</x:v>
      </x:c>
      <x:c r="H22" s="98" t="n">
        <x:f>COUNTIFS('Learning Plan'!$A$7:$A$184,C22,'Learning Plan'!$J$7:$J$184,"Done")</x:f>
        <x:v>0</x:v>
      </x:c>
      <x:c r="I22" s="100" t="n">
        <x:f>H22/G22</x:f>
        <x:v>0</x:v>
      </x:c>
      <x:c r="J22" s="99" t="str">
        <x:v>Solve from blank; check the saved solution only after the attempt.</x:v>
      </x:c>
      <x:c r="K22" s="99"/>
    </x:row>
    <x:row r="23" ht="66" customHeight="1">
      <x:c r="A23" s="98" t="str">
        <x:v>Pass 1</x:v>
      </x:c>
      <x:c r="B23" s="98" t="n">
        <x:v>17</x:v>
      </x:c>
      <x:c r="C23" s="34" t="n">
        <x:v>46233</x:v>
      </x:c>
      <x:c r="D23" s="98" t="str">
        <x:v>161–170</x:v>
      </x:c>
      <x:c r="E23" s="99" t="str">
        <x:v>124, 125, 126, 127, 128, 129, 130, 131, 132, 133</x:v>
      </x:c>
      <x:c r="F23" s="99" t="str">
        <x:v>Mux • Add/sub • Case statement • Combinational circuit 1 • Combinational circuit 2 • Combinational circuit 3 • Combinational circuit 4 • Combinational circuit 5 • Combinational circuit 6 • Sequential circuit 7</x:v>
      </x:c>
      <x:c r="G23" s="98" t="n">
        <x:v>10</x:v>
      </x:c>
      <x:c r="H23" s="98" t="n">
        <x:f>COUNTIFS('Learning Plan'!$A$7:$A$184,C23,'Learning Plan'!$J$7:$J$184,"Done")</x:f>
        <x:v>0</x:v>
      </x:c>
      <x:c r="I23" s="100" t="n">
        <x:f>H23/G23</x:f>
        <x:v>0</x:v>
      </x:c>
      <x:c r="J23" s="99" t="str">
        <x:v>Solve from blank; check the saved solution only after the attempt.</x:v>
      </x:c>
      <x:c r="K23" s="99"/>
    </x:row>
    <x:row r="24" ht="66" customHeight="1">
      <x:c r="A24" s="98" t="str">
        <x:v>Pass 1</x:v>
      </x:c>
      <x:c r="B24" s="98" t="n">
        <x:v>18</x:v>
      </x:c>
      <x:c r="C24" s="34" t="n">
        <x:v>46234</x:v>
      </x:c>
      <x:c r="D24" s="98" t="str">
        <x:v>171–178</x:v>
      </x:c>
      <x:c r="E24" s="99" t="str">
        <x:v>134, 135, 136, 137, 138, 139, 140, 141</x:v>
      </x:c>
      <x:c r="F24" s="99" t="str">
        <x:v>Sequential circuit 8 • Sequential circuit 9 • Sequential circuit 10 • Clock • Testbench1 • AND gate • Testbench2 • T flip-flop</x:v>
      </x:c>
      <x:c r="G24" s="98" t="n">
        <x:v>8</x:v>
      </x:c>
      <x:c r="H24" s="98" t="n">
        <x:f>COUNTIFS('Learning Plan'!$A$7:$A$184,C24,'Learning Plan'!$J$7:$J$184,"Done")</x:f>
        <x:v>0</x:v>
      </x:c>
      <x:c r="I24" s="100" t="n">
        <x:f>H24/G24</x:f>
        <x:v>0</x:v>
      </x:c>
      <x:c r="J24" s="99" t="str">
        <x:v>Solve from blank; check the saved solution only after the attempt.</x:v>
      </x:c>
      <x:c r="K24" s="99"/>
    </x:row>
    <x:row r="25" ht="66" customHeight="1">
      <x:c r="A25" s="98" t="str">
        <x:v>Revision 1</x:v>
      </x:c>
      <x:c r="B25" s="98" t="n">
        <x:v>1</x:v>
      </x:c>
      <x:c r="C25" s="34" t="n">
        <x:v>46235</x:v>
      </x:c>
      <x:c r="D25" s="98" t="str">
        <x:v>1–10</x:v>
      </x:c>
      <x:c r="E25" s="99" t="str">
        <x:v>151, 152, 001, 002, 003, 004, 005, 006, 007, 008</x:v>
      </x:c>
      <x:c r="F25" s="99" t="str">
        <x:v>Getting Started • Output Zero • Simple wire • Four wires • Inverter • AND gate • NOR gate • XNOR gate • Declaring wires • 7458 chip</x:v>
      </x:c>
      <x:c r="G25" s="98" t="n">
        <x:v>10</x:v>
      </x:c>
      <x:c r="H25" s="98" t="n">
        <x:f>COUNTIFS('Revision Calendar'!$A$7:$A$540,C25,'Revision Calendar'!$B$7:$B$540,A25,'Revision Calendar'!$I$7:$I$540,"Done")</x:f>
        <x:v>0</x:v>
      </x:c>
      <x:c r="I25" s="100" t="n">
        <x:f>H25/G25</x:f>
        <x:v>0</x:v>
      </x:c>
      <x:c r="J25" s="99" t="str">
        <x:v>Blind re-solve and repair the exact mistake from Pass 1.</x:v>
      </x:c>
      <x:c r="K25" s="99"/>
    </x:row>
    <x:row r="26" ht="66" customHeight="1">
      <x:c r="A26" s="98" t="str">
        <x:v>Revision 1</x:v>
      </x:c>
      <x:c r="B26" s="98" t="n">
        <x:v>2</x:v>
      </x:c>
      <x:c r="C26" s="34" t="n">
        <x:v>46236</x:v>
      </x:c>
      <x:c r="D26" s="98" t="str">
        <x:v>11–20</x:v>
      </x:c>
      <x:c r="E26" s="99" t="str">
        <x:v>009, 010, 011, 012, 013, 014, 015, 016, 017, 018</x:v>
      </x:c>
      <x:c r="F26" s="99" t="str">
        <x:v>Vectors • Vectors in more detail • Vector part select • Bitwise operators • Four-input gates • Vector concatenation operator • Vector reversal 1 • Replication operator • More replication • Modules</x:v>
      </x:c>
      <x:c r="G26" s="98" t="n">
        <x:v>10</x:v>
      </x:c>
      <x:c r="H26" s="98" t="n">
        <x:f>COUNTIFS('Revision Calendar'!$A$7:$A$540,C26,'Revision Calendar'!$B$7:$B$540,A26,'Revision Calendar'!$I$7:$I$540,"Done")</x:f>
        <x:v>0</x:v>
      </x:c>
      <x:c r="I26" s="100" t="n">
        <x:f>H26/G26</x:f>
        <x:v>0</x:v>
      </x:c>
      <x:c r="J26" s="99" t="str">
        <x:v>Blind re-solve and repair the exact mistake from Pass 1.</x:v>
      </x:c>
      <x:c r="K26" s="99"/>
    </x:row>
    <x:row r="27" ht="66" customHeight="1">
      <x:c r="A27" s="98" t="str">
        <x:v>Revision 1</x:v>
      </x:c>
      <x:c r="B27" s="98" t="n">
        <x:v>3</x:v>
      </x:c>
      <x:c r="C27" s="34" t="n">
        <x:v>46237</x:v>
      </x:c>
      <x:c r="D27" s="98" t="str">
        <x:v>21–30</x:v>
      </x:c>
      <x:c r="E27" s="99" t="str">
        <x:v>019, 020, 021, 022, 023, 024, 025, 026, 027, 028</x:v>
      </x:c>
      <x:c r="F27" s="99" t="str">
        <x:v>Connecting ports by position • Connecting ports by name • Three modules • Modules and vectors • Adder 1 • Adder 2 • Carry-select adder • Adder-subtractor • Always blocks (combinational) • Always blocks (clocked)</x:v>
      </x:c>
      <x:c r="G27" s="98" t="n">
        <x:v>10</x:v>
      </x:c>
      <x:c r="H27" s="98" t="n">
        <x:f>COUNTIFS('Revision Calendar'!$A$7:$A$540,C27,'Revision Calendar'!$B$7:$B$540,A27,'Revision Calendar'!$I$7:$I$540,"Done")</x:f>
        <x:v>0</x:v>
      </x:c>
      <x:c r="I27" s="100" t="n">
        <x:f>H27/G27</x:f>
        <x:v>0</x:v>
      </x:c>
      <x:c r="J27" s="99" t="str">
        <x:v>Blind re-solve and repair the exact mistake from Pass 1.</x:v>
      </x:c>
      <x:c r="K27" s="99"/>
    </x:row>
    <x:row r="28" ht="66" customHeight="1">
      <x:c r="A28" s="98" t="str">
        <x:v>Revision 1</x:v>
      </x:c>
      <x:c r="B28" s="98" t="n">
        <x:v>4</x:v>
      </x:c>
      <x:c r="C28" s="34" t="n">
        <x:v>46238</x:v>
      </x:c>
      <x:c r="D28" s="98" t="str">
        <x:v>31–40</x:v>
      </x:c>
      <x:c r="E28" s="99" t="str">
        <x:v>029, 030, 031, 032, 033, 034, 035, 036, 037, 038</x:v>
      </x:c>
      <x:c r="F28" s="99" t="str">
        <x:v>If statement • If statement latches • Case statement • Priority encoder • Priority encoder with casez • Avoiding latches • Conditional ternary operator • Reduction operators • Reduction: Even wider gates • Combinational for-loop: Vector reversal 2</x:v>
      </x:c>
      <x:c r="G28" s="98" t="n">
        <x:v>10</x:v>
      </x:c>
      <x:c r="H28" s="98" t="n">
        <x:f>COUNTIFS('Revision Calendar'!$A$7:$A$540,C28,'Revision Calendar'!$B$7:$B$540,A28,'Revision Calendar'!$I$7:$I$540,"Done")</x:f>
        <x:v>0</x:v>
      </x:c>
      <x:c r="I28" s="100" t="n">
        <x:f>H28/G28</x:f>
        <x:v>0</x:v>
      </x:c>
      <x:c r="J28" s="99" t="str">
        <x:v>Blind re-solve and repair the exact mistake from Pass 1.</x:v>
      </x:c>
      <x:c r="K28" s="99"/>
    </x:row>
    <x:row r="29" ht="66" customHeight="1">
      <x:c r="A29" s="98" t="str">
        <x:v>Revision 1</x:v>
      </x:c>
      <x:c r="B29" s="98" t="n">
        <x:v>5</x:v>
      </x:c>
      <x:c r="C29" s="34" t="n">
        <x:v>46239</x:v>
      </x:c>
      <x:c r="D29" s="98" t="str">
        <x:v>41–50</x:v>
      </x:c>
      <x:c r="E29" s="99" t="str">
        <x:v>039, 040, 041, 042, 043, 044, 045, 046, 047, 048</x:v>
      </x:c>
      <x:c r="F29" s="99" t="str">
        <x:v>Combinational for-loop: 255-bit population count • Generate for-loop: 100-bit binary adder 2 • Generate for-loop: 100-digit BCD adder • Wire • GND • NOR • Another gate • Two gates • More logic gates • 7420 chip</x:v>
      </x:c>
      <x:c r="G29" s="98" t="n">
        <x:v>10</x:v>
      </x:c>
      <x:c r="H29" s="98" t="n">
        <x:f>COUNTIFS('Revision Calendar'!$A$7:$A$540,C29,'Revision Calendar'!$B$7:$B$540,A29,'Revision Calendar'!$I$7:$I$540,"Done")</x:f>
        <x:v>0</x:v>
      </x:c>
      <x:c r="I29" s="100" t="n">
        <x:f>H29/G29</x:f>
        <x:v>0</x:v>
      </x:c>
      <x:c r="J29" s="99" t="str">
        <x:v>Blind re-solve and repair the exact mistake from Pass 1.</x:v>
      </x:c>
      <x:c r="K29" s="99"/>
    </x:row>
    <x:row r="30" ht="66" customHeight="1">
      <x:c r="A30" s="98" t="str">
        <x:v>Revision 1</x:v>
      </x:c>
      <x:c r="B30" s="98" t="n">
        <x:v>6</x:v>
      </x:c>
      <x:c r="C30" s="34" t="n">
        <x:v>46240</x:v>
      </x:c>
      <x:c r="D30" s="98" t="str">
        <x:v>51–60</x:v>
      </x:c>
      <x:c r="E30" s="99" t="str">
        <x:v>049, 050, 051, 052, 053, 054, 055, 056, 057, 058</x:v>
      </x:c>
      <x:c r="F30" s="99" t="str">
        <x:v>Truth tables • Two-bit equality • Simple circuit A • Simple circuit B • Combine circuits A and B • Ring or vibrate? • Thermostat • 3-bit population count • Gates and vectors • Even longer vectors</x:v>
      </x:c>
      <x:c r="G30" s="98" t="n">
        <x:v>10</x:v>
      </x:c>
      <x:c r="H30" s="98" t="n">
        <x:f>COUNTIFS('Revision Calendar'!$A$7:$A$540,C30,'Revision Calendar'!$B$7:$B$540,A30,'Revision Calendar'!$I$7:$I$540,"Done")</x:f>
        <x:v>0</x:v>
      </x:c>
      <x:c r="I30" s="100" t="n">
        <x:f>H30/G30</x:f>
        <x:v>0</x:v>
      </x:c>
      <x:c r="J30" s="99" t="str">
        <x:v>Blind re-solve and repair the exact mistake from Pass 1.</x:v>
      </x:c>
      <x:c r="K30" s="99"/>
    </x:row>
    <x:row r="31" ht="66" customHeight="1">
      <x:c r="A31" s="98" t="str">
        <x:v>Revision 1</x:v>
      </x:c>
      <x:c r="B31" s="98" t="n">
        <x:v>7</x:v>
      </x:c>
      <x:c r="C31" s="34" t="n">
        <x:v>46241</x:v>
      </x:c>
      <x:c r="D31" s="98" t="str">
        <x:v>61–70</x:v>
      </x:c>
      <x:c r="E31" s="99" t="str">
        <x:v>059, 060, 061, 062, 063, 064, 065, 066, 067, 068</x:v>
      </x:c>
      <x:c r="F31" s="99" t="str">
        <x:v>2-to-1 multiplexer • 2-to-1 bus multiplexer • 9-to-1 multiplexer • 256-to-1 multiplexer • 256-to-1 4-bit multiplexer • Half adder • Full adder • 3-bit binary adder • Adder • Signed addition overflow</x:v>
      </x:c>
      <x:c r="G31" s="98" t="n">
        <x:v>10</x:v>
      </x:c>
      <x:c r="H31" s="98" t="n">
        <x:f>COUNTIFS('Revision Calendar'!$A$7:$A$540,C31,'Revision Calendar'!$B$7:$B$540,A31,'Revision Calendar'!$I$7:$I$540,"Done")</x:f>
        <x:v>0</x:v>
      </x:c>
      <x:c r="I31" s="100" t="n">
        <x:f>H31/G31</x:f>
        <x:v>0</x:v>
      </x:c>
      <x:c r="J31" s="99" t="str">
        <x:v>Blind re-solve and repair the exact mistake from Pass 1.</x:v>
      </x:c>
      <x:c r="K31" s="99"/>
    </x:row>
    <x:row r="32" ht="66" customHeight="1">
      <x:c r="A32" s="98" t="str">
        <x:v>Revision 1</x:v>
      </x:c>
      <x:c r="B32" s="98" t="n">
        <x:v>8</x:v>
      </x:c>
      <x:c r="C32" s="34" t="n">
        <x:v>46242</x:v>
      </x:c>
      <x:c r="D32" s="98" t="str">
        <x:v>71–80</x:v>
      </x:c>
      <x:c r="E32" s="99" t="str">
        <x:v>069, 070, 071, 072, 073, 074, 075, 076, 077, 078</x:v>
      </x:c>
      <x:c r="F32" s="99" t="str">
        <x:v>100-bit binary adder • 4-digit BCD adder • 3-variable • 4-variable • 4-variable • 4-variable • Minimum SOP and POS • Karnaugh map • Karnaugh map • K-map implemented with a multiplexer</x:v>
      </x:c>
      <x:c r="G32" s="98" t="n">
        <x:v>10</x:v>
      </x:c>
      <x:c r="H32" s="98" t="n">
        <x:f>COUNTIFS('Revision Calendar'!$A$7:$A$540,C32,'Revision Calendar'!$B$7:$B$540,A32,'Revision Calendar'!$I$7:$I$540,"Done")</x:f>
        <x:v>0</x:v>
      </x:c>
      <x:c r="I32" s="100" t="n">
        <x:f>H32/G32</x:f>
        <x:v>0</x:v>
      </x:c>
      <x:c r="J32" s="99" t="str">
        <x:v>Blind re-solve and repair the exact mistake from Pass 1.</x:v>
      </x:c>
      <x:c r="K32" s="99"/>
    </x:row>
    <x:row r="33" ht="66" customHeight="1">
      <x:c r="A33" s="98" t="str">
        <x:v>Revision 1</x:v>
      </x:c>
      <x:c r="B33" s="98" t="n">
        <x:v>9</x:v>
      </x:c>
      <x:c r="C33" s="34" t="n">
        <x:v>46243</x:v>
      </x:c>
      <x:c r="D33" s="98" t="str">
        <x:v>81–90</x:v>
      </x:c>
      <x:c r="E33" s="99" t="str">
        <x:v>079, 080, 081, 082, 083, 084, 085, 086, 087, 088</x:v>
      </x:c>
      <x:c r="F33" s="99" t="str">
        <x:v>D flip-flop • D flip-flops • DFF with reset • DFF with reset value • DFF with asynchronous reset • DFF with byte enable • D Latch • DFF • DFF • DFF+gate</x:v>
      </x:c>
      <x:c r="G33" s="98" t="n">
        <x:v>10</x:v>
      </x:c>
      <x:c r="H33" s="98" t="n">
        <x:f>COUNTIFS('Revision Calendar'!$A$7:$A$540,C33,'Revision Calendar'!$B$7:$B$540,A33,'Revision Calendar'!$I$7:$I$540,"Done")</x:f>
        <x:v>0</x:v>
      </x:c>
      <x:c r="I33" s="100" t="n">
        <x:f>H33/G33</x:f>
        <x:v>0</x:v>
      </x:c>
      <x:c r="J33" s="99" t="str">
        <x:v>Blind re-solve and repair the exact mistake from Pass 1.</x:v>
      </x:c>
      <x:c r="K33" s="99"/>
    </x:row>
    <x:row r="34" ht="66" customHeight="1">
      <x:c r="A34" s="98" t="str">
        <x:v>Revision 1</x:v>
      </x:c>
      <x:c r="B34" s="98" t="n">
        <x:v>10</x:v>
      </x:c>
      <x:c r="C34" s="34" t="n">
        <x:v>46244</x:v>
      </x:c>
      <x:c r="D34" s="98" t="str">
        <x:v>91–100</x:v>
      </x:c>
      <x:c r="E34" s="99" t="str">
        <x:v>089, 090, 091, 092, 093, 094, 095, 096, 097, 098</x:v>
      </x:c>
      <x:c r="F34" s="99" t="str">
        <x:v>Mux and DFF • Mux and DFF • DFFs and gates • Create circuit from truth table • Detect an edge • Detect both edges • Edge capture register • Dual-edge triggered flip-flop • Four-bit binary counter • Decade counter</x:v>
      </x:c>
      <x:c r="G34" s="98" t="n">
        <x:v>10</x:v>
      </x:c>
      <x:c r="H34" s="98" t="n">
        <x:f>COUNTIFS('Revision Calendar'!$A$7:$A$540,C34,'Revision Calendar'!$B$7:$B$540,A34,'Revision Calendar'!$I$7:$I$540,"Done")</x:f>
        <x:v>0</x:v>
      </x:c>
      <x:c r="I34" s="100" t="n">
        <x:f>H34/G34</x:f>
        <x:v>0</x:v>
      </x:c>
      <x:c r="J34" s="99" t="str">
        <x:v>Blind re-solve and repair the exact mistake from Pass 1.</x:v>
      </x:c>
      <x:c r="K34" s="99"/>
    </x:row>
    <x:row r="35" ht="66" customHeight="1">
      <x:c r="A35" s="98" t="str">
        <x:v>Revision 1</x:v>
      </x:c>
      <x:c r="B35" s="98" t="n">
        <x:v>11</x:v>
      </x:c>
      <x:c r="C35" s="34" t="n">
        <x:v>46245</x:v>
      </x:c>
      <x:c r="D35" s="98" t="str">
        <x:v>101–110</x:v>
      </x:c>
      <x:c r="E35" s="99" t="str">
        <x:v>099, 100, 143, 144, 145, 146, 101, 102, 103, 104</x:v>
      </x:c>
      <x:c r="F35" s="99" t="str">
        <x:v>Decade counter again • Slow decade counter • Counter 1-12 • Counter 1000 • 4-digit decimal counter • 12-hour clock • 4-bit shift register • Left/right rotator • Left/right arithmetic shift by 1 or 8 • 5-bit LFSR</x:v>
      </x:c>
      <x:c r="G35" s="98" t="n">
        <x:v>10</x:v>
      </x:c>
      <x:c r="H35" s="98" t="n">
        <x:f>COUNTIFS('Revision Calendar'!$A$7:$A$540,C35,'Revision Calendar'!$B$7:$B$540,A35,'Revision Calendar'!$I$7:$I$540,"Done")</x:f>
        <x:v>0</x:v>
      </x:c>
      <x:c r="I35" s="100" t="n">
        <x:f>H35/G35</x:f>
        <x:v>0</x:v>
      </x:c>
      <x:c r="J35" s="99" t="str">
        <x:v>Blind re-solve and repair the exact mistake from Pass 1.</x:v>
      </x:c>
      <x:c r="K35" s="99"/>
    </x:row>
    <x:row r="36" ht="66" customHeight="1">
      <x:c r="A36" s="98" t="str">
        <x:v>Revision 1</x:v>
      </x:c>
      <x:c r="B36" s="98" t="n">
        <x:v>12</x:v>
      </x:c>
      <x:c r="C36" s="34" t="n">
        <x:v>46246</x:v>
      </x:c>
      <x:c r="D36" s="98" t="str">
        <x:v>111–120</x:v>
      </x:c>
      <x:c r="E36" s="99" t="str">
        <x:v>105, 106, 107, 108, 109, 175, 176, 179, 110, 111</x:v>
      </x:c>
      <x:c r="F36" s="99" t="str">
        <x:v>3-bit LFSR • 32-bit LFSR • Shift register • Shift register • 3-input LUT • Rule 90 • Rule 110 • Conway's Game of Life 16x16 • Simple FSM 1 (asynchronous reset) • Simple FSM 1 (synchronous reset)</x:v>
      </x:c>
      <x:c r="G36" s="98" t="n">
        <x:v>10</x:v>
      </x:c>
      <x:c r="H36" s="98" t="n">
        <x:f>COUNTIFS('Revision Calendar'!$A$7:$A$540,C36,'Revision Calendar'!$B$7:$B$540,A36,'Revision Calendar'!$I$7:$I$540,"Done")</x:f>
        <x:v>0</x:v>
      </x:c>
      <x:c r="I36" s="100" t="n">
        <x:f>H36/G36</x:f>
        <x:v>0</x:v>
      </x:c>
      <x:c r="J36" s="99" t="str">
        <x:v>Blind re-solve and repair the exact mistake from Pass 1.</x:v>
      </x:c>
      <x:c r="K36" s="99"/>
    </x:row>
    <x:row r="37" ht="66" customHeight="1">
      <x:c r="A37" s="98" t="str">
        <x:v>Revision 1</x:v>
      </x:c>
      <x:c r="B37" s="98" t="n">
        <x:v>13</x:v>
      </x:c>
      <x:c r="C37" s="34" t="n">
        <x:v>46247</x:v>
      </x:c>
      <x:c r="D37" s="98" t="str">
        <x:v>121–130</x:v>
      </x:c>
      <x:c r="E37" s="99" t="str">
        <x:v>112, 113, 114, 115, 116, 117, 118, 119, 159, 160</x:v>
      </x:c>
      <x:c r="F37" s="99" t="str">
        <x:v>Simple FSM 2 (asynchronous reset) • Simple FSM 2 (synchronous reset) • Simple state transitions 3 • Simple one-hot state transitions 3 • Simple FSM 3 (asynchronous reset) • Simple FSM 3 (synchronous reset) • Design a Moore FSM • Lemmings 1 • Lemmings 2 • Lemmings 3</x:v>
      </x:c>
      <x:c r="G37" s="98" t="n">
        <x:v>10</x:v>
      </x:c>
      <x:c r="H37" s="98" t="n">
        <x:f>COUNTIFS('Revision Calendar'!$A$7:$A$540,C37,'Revision Calendar'!$B$7:$B$540,A37,'Revision Calendar'!$I$7:$I$540,"Done")</x:f>
        <x:v>0</x:v>
      </x:c>
      <x:c r="I37" s="100" t="n">
        <x:f>H37/G37</x:f>
        <x:v>0</x:v>
      </x:c>
      <x:c r="J37" s="99" t="str">
        <x:v>Blind re-solve and repair the exact mistake from Pass 1.</x:v>
      </x:c>
      <x:c r="K37" s="99"/>
    </x:row>
    <x:row r="38" ht="66" customHeight="1">
      <x:c r="A38" s="98" t="str">
        <x:v>Revision 1</x:v>
      </x:c>
      <x:c r="B38" s="98" t="n">
        <x:v>14</x:v>
      </x:c>
      <x:c r="C38" s="34" t="n">
        <x:v>46248</x:v>
      </x:c>
      <x:c r="D38" s="98" t="str">
        <x:v>131–140</x:v>
      </x:c>
      <x:c r="E38" s="99" t="str">
        <x:v>161, 162, 166, 167, 163, 164, 165, 168, 142, 169</x:v>
      </x:c>
      <x:c r="F38" s="99" t="str">
        <x:v>Lemmings 4 • One-hot FSM • PS/2 packet parser • PS/2 packet parser and datapath • Serial receiver • Serial receiver and datapath • Serial receiver with parity checking • Sequence recognition • Q8: Design a Mealy FSM • Q5a: Serial two's complementer (Moore FSM)</x:v>
      </x:c>
      <x:c r="G38" s="98" t="n">
        <x:v>10</x:v>
      </x:c>
      <x:c r="H38" s="98" t="n">
        <x:f>COUNTIFS('Revision Calendar'!$A$7:$A$540,C38,'Revision Calendar'!$B$7:$B$540,A38,'Revision Calendar'!$I$7:$I$540,"Done")</x:f>
        <x:v>0</x:v>
      </x:c>
      <x:c r="I38" s="100" t="n">
        <x:f>H38/G38</x:f>
        <x:v>0</x:v>
      </x:c>
      <x:c r="J38" s="99" t="str">
        <x:v>Blind re-solve and repair the exact mistake from Pass 1.</x:v>
      </x:c>
      <x:c r="K38" s="99"/>
    </x:row>
    <x:row r="39" ht="66" customHeight="1">
      <x:c r="A39" s="98" t="str">
        <x:v>Revision 1</x:v>
      </x:c>
      <x:c r="B39" s="98" t="n">
        <x:v>15</x:v>
      </x:c>
      <x:c r="C39" s="34" t="n">
        <x:v>46249</x:v>
      </x:c>
      <x:c r="D39" s="98" t="str">
        <x:v>141–150</x:v>
      </x:c>
      <x:c r="E39" s="99" t="str">
        <x:v>170, 155, 156, 157, 171, 158, 172, 173, 174, 177</x:v>
      </x:c>
      <x:c r="F39" s="99" t="str">
        <x:v>Q5b: Serial two's complementer (Mealy FSM) • Q3a: FSM • Q3b: FSM • Q3c: FSM logic • Q6b: FSM next-state logic • Q6c: FSM one-hot next-state logic • Q6: FSM • Q2a: FSM • Q2b: One-hot FSM equations • Q2a: FSM</x:v>
      </x:c>
      <x:c r="G39" s="98" t="n">
        <x:v>10</x:v>
      </x:c>
      <x:c r="H39" s="98" t="n">
        <x:f>COUNTIFS('Revision Calendar'!$A$7:$A$540,C39,'Revision Calendar'!$B$7:$B$540,A39,'Revision Calendar'!$I$7:$I$540,"Done")</x:f>
        <x:v>0</x:v>
      </x:c>
      <x:c r="I39" s="100" t="n">
        <x:f>H39/G39</x:f>
        <x:v>0</x:v>
      </x:c>
      <x:c r="J39" s="99" t="str">
        <x:v>Blind re-solve and repair the exact mistake from Pass 1.</x:v>
      </x:c>
      <x:c r="K39" s="99"/>
    </x:row>
    <x:row r="40" ht="66" customHeight="1">
      <x:c r="A40" s="98" t="str">
        <x:v>Revision 1</x:v>
      </x:c>
      <x:c r="B40" s="98" t="n">
        <x:v>16</x:v>
      </x:c>
      <x:c r="C40" s="34" t="n">
        <x:v>46250</x:v>
      </x:c>
      <x:c r="D40" s="98" t="str">
        <x:v>151–160</x:v>
      </x:c>
      <x:c r="E40" s="99" t="str">
        <x:v>121, 147, 148, 149, 150, 153, 154, 178, 122, 123</x:v>
      </x:c>
      <x:c r="F40" s="99" t="str">
        <x:v>Q2b: Another FSM • Counter with period 1000 • 4-bit shift register and down counter • FSM: Sequence 1101 recognizer • FSM: Enable shift register • FSM: The complete FSM • The complete timer • FSM: One-hot logic equations • Mux • NAND</x:v>
      </x:c>
      <x:c r="G40" s="98" t="n">
        <x:v>10</x:v>
      </x:c>
      <x:c r="H40" s="98" t="n">
        <x:f>COUNTIFS('Revision Calendar'!$A$7:$A$540,C40,'Revision Calendar'!$B$7:$B$540,A40,'Revision Calendar'!$I$7:$I$540,"Done")</x:f>
        <x:v>0</x:v>
      </x:c>
      <x:c r="I40" s="100" t="n">
        <x:f>H40/G40</x:f>
        <x:v>0</x:v>
      </x:c>
      <x:c r="J40" s="99" t="str">
        <x:v>Blind re-solve and repair the exact mistake from Pass 1.</x:v>
      </x:c>
      <x:c r="K40" s="99"/>
    </x:row>
    <x:row r="41" ht="66" customHeight="1">
      <x:c r="A41" s="98" t="str">
        <x:v>Revision 1</x:v>
      </x:c>
      <x:c r="B41" s="98" t="n">
        <x:v>17</x:v>
      </x:c>
      <x:c r="C41" s="34" t="n">
        <x:v>46251</x:v>
      </x:c>
      <x:c r="D41" s="98" t="str">
        <x:v>161–170</x:v>
      </x:c>
      <x:c r="E41" s="99" t="str">
        <x:v>124, 125, 126, 127, 128, 129, 130, 131, 132, 133</x:v>
      </x:c>
      <x:c r="F41" s="99" t="str">
        <x:v>Mux • Add/sub • Case statement • Combinational circuit 1 • Combinational circuit 2 • Combinational circuit 3 • Combinational circuit 4 • Combinational circuit 5 • Combinational circuit 6 • Sequential circuit 7</x:v>
      </x:c>
      <x:c r="G41" s="98" t="n">
        <x:v>10</x:v>
      </x:c>
      <x:c r="H41" s="98" t="n">
        <x:f>COUNTIFS('Revision Calendar'!$A$7:$A$540,C41,'Revision Calendar'!$B$7:$B$540,A41,'Revision Calendar'!$I$7:$I$540,"Done")</x:f>
        <x:v>0</x:v>
      </x:c>
      <x:c r="I41" s="100" t="n">
        <x:f>H41/G41</x:f>
        <x:v>0</x:v>
      </x:c>
      <x:c r="J41" s="99" t="str">
        <x:v>Blind re-solve and repair the exact mistake from Pass 1.</x:v>
      </x:c>
      <x:c r="K41" s="99"/>
    </x:row>
    <x:row r="42" ht="66" customHeight="1">
      <x:c r="A42" s="98" t="str">
        <x:v>Revision 1</x:v>
      </x:c>
      <x:c r="B42" s="98" t="n">
        <x:v>18</x:v>
      </x:c>
      <x:c r="C42" s="34" t="n">
        <x:v>46252</x:v>
      </x:c>
      <x:c r="D42" s="98" t="str">
        <x:v>171–178</x:v>
      </x:c>
      <x:c r="E42" s="99" t="str">
        <x:v>134, 135, 136, 137, 138, 139, 140, 141</x:v>
      </x:c>
      <x:c r="F42" s="99" t="str">
        <x:v>Sequential circuit 8 • Sequential circuit 9 • Sequential circuit 10 • Clock • Testbench1 • AND gate • Testbench2 • T flip-flop</x:v>
      </x:c>
      <x:c r="G42" s="98" t="n">
        <x:v>8</x:v>
      </x:c>
      <x:c r="H42" s="98" t="n">
        <x:f>COUNTIFS('Revision Calendar'!$A$7:$A$540,C42,'Revision Calendar'!$B$7:$B$540,A42,'Revision Calendar'!$I$7:$I$540,"Done")</x:f>
        <x:v>0</x:v>
      </x:c>
      <x:c r="I42" s="100" t="n">
        <x:f>H42/G42</x:f>
        <x:v>0</x:v>
      </x:c>
      <x:c r="J42" s="99" t="str">
        <x:v>Blind re-solve and repair the exact mistake from Pass 1.</x:v>
      </x:c>
      <x:c r="K42" s="99"/>
    </x:row>
    <x:row r="43" ht="66" customHeight="1">
      <x:c r="A43" s="98" t="str">
        <x:v>Revision 2</x:v>
      </x:c>
      <x:c r="B43" s="98" t="n">
        <x:v>1</x:v>
      </x:c>
      <x:c r="C43" s="34" t="n">
        <x:v>46253</x:v>
      </x:c>
      <x:c r="D43" s="98" t="str">
        <x:v>1–10</x:v>
      </x:c>
      <x:c r="E43" s="99" t="str">
        <x:v>151, 152, 001, 002, 003, 004, 005, 006, 007, 008</x:v>
      </x:c>
      <x:c r="F43" s="99" t="str">
        <x:v>Getting Started • Output Zero • Simple wire • Four wires • Inverter • AND gate • NOR gate • XNOR gate • Declaring wires • 7458 chip</x:v>
      </x:c>
      <x:c r="G43" s="98" t="n">
        <x:v>10</x:v>
      </x:c>
      <x:c r="H43" s="98" t="n">
        <x:f>COUNTIFS('Revision Calendar'!$A$7:$A$540,C43,'Revision Calendar'!$B$7:$B$540,A43,'Revision Calendar'!$I$7:$I$540,"Done")</x:f>
        <x:v>0</x:v>
      </x:c>
      <x:c r="I43" s="100" t="n">
        <x:f>H43/G43</x:f>
        <x:v>0</x:v>
      </x:c>
      <x:c r="J43" s="99" t="str">
        <x:v>Timed re-solve; explain the hardware before writing code.</x:v>
      </x:c>
      <x:c r="K43" s="99"/>
    </x:row>
    <x:row r="44" ht="66" customHeight="1">
      <x:c r="A44" s="98" t="str">
        <x:v>Revision 2</x:v>
      </x:c>
      <x:c r="B44" s="98" t="n">
        <x:v>2</x:v>
      </x:c>
      <x:c r="C44" s="34" t="n">
        <x:v>46254</x:v>
      </x:c>
      <x:c r="D44" s="98" t="str">
        <x:v>11–20</x:v>
      </x:c>
      <x:c r="E44" s="99" t="str">
        <x:v>009, 010, 011, 012, 013, 014, 015, 016, 017, 018</x:v>
      </x:c>
      <x:c r="F44" s="99" t="str">
        <x:v>Vectors • Vectors in more detail • Vector part select • Bitwise operators • Four-input gates • Vector concatenation operator • Vector reversal 1 • Replication operator • More replication • Modules</x:v>
      </x:c>
      <x:c r="G44" s="98" t="n">
        <x:v>10</x:v>
      </x:c>
      <x:c r="H44" s="98" t="n">
        <x:f>COUNTIFS('Revision Calendar'!$A$7:$A$540,C44,'Revision Calendar'!$B$7:$B$540,A44,'Revision Calendar'!$I$7:$I$540,"Done")</x:f>
        <x:v>0</x:v>
      </x:c>
      <x:c r="I44" s="100" t="n">
        <x:f>H44/G44</x:f>
        <x:v>0</x:v>
      </x:c>
      <x:c r="J44" s="99" t="str">
        <x:v>Timed re-solve; explain the hardware before writing code.</x:v>
      </x:c>
      <x:c r="K44" s="99"/>
    </x:row>
    <x:row r="45" ht="66" customHeight="1">
      <x:c r="A45" s="98" t="str">
        <x:v>Revision 2</x:v>
      </x:c>
      <x:c r="B45" s="98" t="n">
        <x:v>3</x:v>
      </x:c>
      <x:c r="C45" s="34" t="n">
        <x:v>46255</x:v>
      </x:c>
      <x:c r="D45" s="98" t="str">
        <x:v>21–30</x:v>
      </x:c>
      <x:c r="E45" s="99" t="str">
        <x:v>019, 020, 021, 022, 023, 024, 025, 026, 027, 028</x:v>
      </x:c>
      <x:c r="F45" s="99" t="str">
        <x:v>Connecting ports by position • Connecting ports by name • Three modules • Modules and vectors • Adder 1 • Adder 2 • Carry-select adder • Adder-subtractor • Always blocks (combinational) • Always blocks (clocked)</x:v>
      </x:c>
      <x:c r="G45" s="98" t="n">
        <x:v>10</x:v>
      </x:c>
      <x:c r="H45" s="98" t="n">
        <x:f>COUNTIFS('Revision Calendar'!$A$7:$A$540,C45,'Revision Calendar'!$B$7:$B$540,A45,'Revision Calendar'!$I$7:$I$540,"Done")</x:f>
        <x:v>0</x:v>
      </x:c>
      <x:c r="I45" s="100" t="n">
        <x:f>H45/G45</x:f>
        <x:v>0</x:v>
      </x:c>
      <x:c r="J45" s="99" t="str">
        <x:v>Timed re-solve; explain the hardware before writing code.</x:v>
      </x:c>
      <x:c r="K45" s="99"/>
    </x:row>
    <x:row r="46" ht="66" customHeight="1">
      <x:c r="A46" s="98" t="str">
        <x:v>Revision 2</x:v>
      </x:c>
      <x:c r="B46" s="98" t="n">
        <x:v>4</x:v>
      </x:c>
      <x:c r="C46" s="34" t="n">
        <x:v>46256</x:v>
      </x:c>
      <x:c r="D46" s="98" t="str">
        <x:v>31–40</x:v>
      </x:c>
      <x:c r="E46" s="99" t="str">
        <x:v>029, 030, 031, 032, 033, 034, 035, 036, 037, 038</x:v>
      </x:c>
      <x:c r="F46" s="99" t="str">
        <x:v>If statement • If statement latches • Case statement • Priority encoder • Priority encoder with casez • Avoiding latches • Conditional ternary operator • Reduction operators • Reduction: Even wider gates • Combinational for-loop: Vector reversal 2</x:v>
      </x:c>
      <x:c r="G46" s="98" t="n">
        <x:v>10</x:v>
      </x:c>
      <x:c r="H46" s="98" t="n">
        <x:f>COUNTIFS('Revision Calendar'!$A$7:$A$540,C46,'Revision Calendar'!$B$7:$B$540,A46,'Revision Calendar'!$I$7:$I$540,"Done")</x:f>
        <x:v>0</x:v>
      </x:c>
      <x:c r="I46" s="100" t="n">
        <x:f>H46/G46</x:f>
        <x:v>0</x:v>
      </x:c>
      <x:c r="J46" s="99" t="str">
        <x:v>Timed re-solve; explain the hardware before writing code.</x:v>
      </x:c>
      <x:c r="K46" s="99"/>
    </x:row>
    <x:row r="47" ht="66" customHeight="1">
      <x:c r="A47" s="98" t="str">
        <x:v>Revision 2</x:v>
      </x:c>
      <x:c r="B47" s="98" t="n">
        <x:v>5</x:v>
      </x:c>
      <x:c r="C47" s="34" t="n">
        <x:v>46257</x:v>
      </x:c>
      <x:c r="D47" s="98" t="str">
        <x:v>41–50</x:v>
      </x:c>
      <x:c r="E47" s="99" t="str">
        <x:v>039, 040, 041, 042, 043, 044, 045, 046, 047, 048</x:v>
      </x:c>
      <x:c r="F47" s="99" t="str">
        <x:v>Combinational for-loop: 255-bit population count • Generate for-loop: 100-bit binary adder 2 • Generate for-loop: 100-digit BCD adder • Wire • GND • NOR • Another gate • Two gates • More logic gates • 7420 chip</x:v>
      </x:c>
      <x:c r="G47" s="98" t="n">
        <x:v>10</x:v>
      </x:c>
      <x:c r="H47" s="98" t="n">
        <x:f>COUNTIFS('Revision Calendar'!$A$7:$A$540,C47,'Revision Calendar'!$B$7:$B$540,A47,'Revision Calendar'!$I$7:$I$540,"Done")</x:f>
        <x:v>0</x:v>
      </x:c>
      <x:c r="I47" s="100" t="n">
        <x:f>H47/G47</x:f>
        <x:v>0</x:v>
      </x:c>
      <x:c r="J47" s="99" t="str">
        <x:v>Timed re-solve; explain the hardware before writing code.</x:v>
      </x:c>
      <x:c r="K47" s="99"/>
    </x:row>
    <x:row r="48" ht="66" customHeight="1">
      <x:c r="A48" s="98" t="str">
        <x:v>Revision 2</x:v>
      </x:c>
      <x:c r="B48" s="98" t="n">
        <x:v>6</x:v>
      </x:c>
      <x:c r="C48" s="34" t="n">
        <x:v>46258</x:v>
      </x:c>
      <x:c r="D48" s="98" t="str">
        <x:v>51–60</x:v>
      </x:c>
      <x:c r="E48" s="99" t="str">
        <x:v>049, 050, 051, 052, 053, 054, 055, 056, 057, 058</x:v>
      </x:c>
      <x:c r="F48" s="99" t="str">
        <x:v>Truth tables • Two-bit equality • Simple circuit A • Simple circuit B • Combine circuits A and B • Ring or vibrate? • Thermostat • 3-bit population count • Gates and vectors • Even longer vectors</x:v>
      </x:c>
      <x:c r="G48" s="98" t="n">
        <x:v>10</x:v>
      </x:c>
      <x:c r="H48" s="98" t="n">
        <x:f>COUNTIFS('Revision Calendar'!$A$7:$A$540,C48,'Revision Calendar'!$B$7:$B$540,A48,'Revision Calendar'!$I$7:$I$540,"Done")</x:f>
        <x:v>0</x:v>
      </x:c>
      <x:c r="I48" s="100" t="n">
        <x:f>H48/G48</x:f>
        <x:v>0</x:v>
      </x:c>
      <x:c r="J48" s="99" t="str">
        <x:v>Timed re-solve; explain the hardware before writing code.</x:v>
      </x:c>
      <x:c r="K48" s="99"/>
    </x:row>
    <x:row r="49" ht="66" customHeight="1">
      <x:c r="A49" s="98" t="str">
        <x:v>Revision 2</x:v>
      </x:c>
      <x:c r="B49" s="98" t="n">
        <x:v>7</x:v>
      </x:c>
      <x:c r="C49" s="34" t="n">
        <x:v>46259</x:v>
      </x:c>
      <x:c r="D49" s="98" t="str">
        <x:v>61–70</x:v>
      </x:c>
      <x:c r="E49" s="99" t="str">
        <x:v>059, 060, 061, 062, 063, 064, 065, 066, 067, 068</x:v>
      </x:c>
      <x:c r="F49" s="99" t="str">
        <x:v>2-to-1 multiplexer • 2-to-1 bus multiplexer • 9-to-1 multiplexer • 256-to-1 multiplexer • 256-to-1 4-bit multiplexer • Half adder • Full adder • 3-bit binary adder • Adder • Signed addition overflow</x:v>
      </x:c>
      <x:c r="G49" s="98" t="n">
        <x:v>10</x:v>
      </x:c>
      <x:c r="H49" s="98" t="n">
        <x:f>COUNTIFS('Revision Calendar'!$A$7:$A$540,C49,'Revision Calendar'!$B$7:$B$540,A49,'Revision Calendar'!$I$7:$I$540,"Done")</x:f>
        <x:v>0</x:v>
      </x:c>
      <x:c r="I49" s="100" t="n">
        <x:f>H49/G49</x:f>
        <x:v>0</x:v>
      </x:c>
      <x:c r="J49" s="99" t="str">
        <x:v>Timed re-solve; explain the hardware before writing code.</x:v>
      </x:c>
      <x:c r="K49" s="99"/>
    </x:row>
    <x:row r="50" ht="66" customHeight="1">
      <x:c r="A50" s="98" t="str">
        <x:v>Revision 2</x:v>
      </x:c>
      <x:c r="B50" s="98" t="n">
        <x:v>8</x:v>
      </x:c>
      <x:c r="C50" s="34" t="n">
        <x:v>46260</x:v>
      </x:c>
      <x:c r="D50" s="98" t="str">
        <x:v>71–80</x:v>
      </x:c>
      <x:c r="E50" s="99" t="str">
        <x:v>069, 070, 071, 072, 073, 074, 075, 076, 077, 078</x:v>
      </x:c>
      <x:c r="F50" s="99" t="str">
        <x:v>100-bit binary adder • 4-digit BCD adder • 3-variable • 4-variable • 4-variable • 4-variable • Minimum SOP and POS • Karnaugh map • Karnaugh map • K-map implemented with a multiplexer</x:v>
      </x:c>
      <x:c r="G50" s="98" t="n">
        <x:v>10</x:v>
      </x:c>
      <x:c r="H50" s="98" t="n">
        <x:f>COUNTIFS('Revision Calendar'!$A$7:$A$540,C50,'Revision Calendar'!$B$7:$B$540,A50,'Revision Calendar'!$I$7:$I$540,"Done")</x:f>
        <x:v>0</x:v>
      </x:c>
      <x:c r="I50" s="100" t="n">
        <x:f>H50/G50</x:f>
        <x:v>0</x:v>
      </x:c>
      <x:c r="J50" s="99" t="str">
        <x:v>Timed re-solve; explain the hardware before writing code.</x:v>
      </x:c>
      <x:c r="K50" s="99"/>
    </x:row>
    <x:row r="51" ht="66" customHeight="1">
      <x:c r="A51" s="98" t="str">
        <x:v>Revision 2</x:v>
      </x:c>
      <x:c r="B51" s="98" t="n">
        <x:v>9</x:v>
      </x:c>
      <x:c r="C51" s="34" t="n">
        <x:v>46261</x:v>
      </x:c>
      <x:c r="D51" s="98" t="str">
        <x:v>81–90</x:v>
      </x:c>
      <x:c r="E51" s="99" t="str">
        <x:v>079, 080, 081, 082, 083, 084, 085, 086, 087, 088</x:v>
      </x:c>
      <x:c r="F51" s="99" t="str">
        <x:v>D flip-flop • D flip-flops • DFF with reset • DFF with reset value • DFF with asynchronous reset • DFF with byte enable • D Latch • DFF • DFF • DFF+gate</x:v>
      </x:c>
      <x:c r="G51" s="98" t="n">
        <x:v>10</x:v>
      </x:c>
      <x:c r="H51" s="98" t="n">
        <x:f>COUNTIFS('Revision Calendar'!$A$7:$A$540,C51,'Revision Calendar'!$B$7:$B$540,A51,'Revision Calendar'!$I$7:$I$540,"Done")</x:f>
        <x:v>0</x:v>
      </x:c>
      <x:c r="I51" s="100" t="n">
        <x:f>H51/G51</x:f>
        <x:v>0</x:v>
      </x:c>
      <x:c r="J51" s="99" t="str">
        <x:v>Timed re-solve; explain the hardware before writing code.</x:v>
      </x:c>
      <x:c r="K51" s="99"/>
    </x:row>
    <x:row r="52" ht="66" customHeight="1">
      <x:c r="A52" s="98" t="str">
        <x:v>Revision 2</x:v>
      </x:c>
      <x:c r="B52" s="98" t="n">
        <x:v>10</x:v>
      </x:c>
      <x:c r="C52" s="34" t="n">
        <x:v>46262</x:v>
      </x:c>
      <x:c r="D52" s="98" t="str">
        <x:v>91–100</x:v>
      </x:c>
      <x:c r="E52" s="99" t="str">
        <x:v>089, 090, 091, 092, 093, 094, 095, 096, 097, 098</x:v>
      </x:c>
      <x:c r="F52" s="99" t="str">
        <x:v>Mux and DFF • Mux and DFF • DFFs and gates • Create circuit from truth table • Detect an edge • Detect both edges • Edge capture register • Dual-edge triggered flip-flop • Four-bit binary counter • Decade counter</x:v>
      </x:c>
      <x:c r="G52" s="98" t="n">
        <x:v>10</x:v>
      </x:c>
      <x:c r="H52" s="98" t="n">
        <x:f>COUNTIFS('Revision Calendar'!$A$7:$A$540,C52,'Revision Calendar'!$B$7:$B$540,A52,'Revision Calendar'!$I$7:$I$540,"Done")</x:f>
        <x:v>0</x:v>
      </x:c>
      <x:c r="I52" s="100" t="n">
        <x:f>H52/G52</x:f>
        <x:v>0</x:v>
      </x:c>
      <x:c r="J52" s="99" t="str">
        <x:v>Timed re-solve; explain the hardware before writing code.</x:v>
      </x:c>
      <x:c r="K52" s="99"/>
    </x:row>
    <x:row r="53" ht="66" customHeight="1">
      <x:c r="A53" s="98" t="str">
        <x:v>Revision 2</x:v>
      </x:c>
      <x:c r="B53" s="98" t="n">
        <x:v>11</x:v>
      </x:c>
      <x:c r="C53" s="34" t="n">
        <x:v>46263</x:v>
      </x:c>
      <x:c r="D53" s="98" t="str">
        <x:v>101–110</x:v>
      </x:c>
      <x:c r="E53" s="99" t="str">
        <x:v>099, 100, 143, 144, 145, 146, 101, 102, 103, 104</x:v>
      </x:c>
      <x:c r="F53" s="99" t="str">
        <x:v>Decade counter again • Slow decade counter • Counter 1-12 • Counter 1000 • 4-digit decimal counter • 12-hour clock • 4-bit shift register • Left/right rotator • Left/right arithmetic shift by 1 or 8 • 5-bit LFSR</x:v>
      </x:c>
      <x:c r="G53" s="98" t="n">
        <x:v>10</x:v>
      </x:c>
      <x:c r="H53" s="98" t="n">
        <x:f>COUNTIFS('Revision Calendar'!$A$7:$A$540,C53,'Revision Calendar'!$B$7:$B$540,A53,'Revision Calendar'!$I$7:$I$540,"Done")</x:f>
        <x:v>0</x:v>
      </x:c>
      <x:c r="I53" s="100" t="n">
        <x:f>H53/G53</x:f>
        <x:v>0</x:v>
      </x:c>
      <x:c r="J53" s="99" t="str">
        <x:v>Timed re-solve; explain the hardware before writing code.</x:v>
      </x:c>
      <x:c r="K53" s="99"/>
    </x:row>
    <x:row r="54" ht="66" customHeight="1">
      <x:c r="A54" s="98" t="str">
        <x:v>Revision 2</x:v>
      </x:c>
      <x:c r="B54" s="98" t="n">
        <x:v>12</x:v>
      </x:c>
      <x:c r="C54" s="34" t="n">
        <x:v>46264</x:v>
      </x:c>
      <x:c r="D54" s="98" t="str">
        <x:v>111–120</x:v>
      </x:c>
      <x:c r="E54" s="99" t="str">
        <x:v>105, 106, 107, 108, 109, 175, 176, 179, 110, 111</x:v>
      </x:c>
      <x:c r="F54" s="99" t="str">
        <x:v>3-bit LFSR • 32-bit LFSR • Shift register • Shift register • 3-input LUT • Rule 90 • Rule 110 • Conway's Game of Life 16x16 • Simple FSM 1 (asynchronous reset) • Simple FSM 1 (synchronous reset)</x:v>
      </x:c>
      <x:c r="G54" s="98" t="n">
        <x:v>10</x:v>
      </x:c>
      <x:c r="H54" s="98" t="n">
        <x:f>COUNTIFS('Revision Calendar'!$A$7:$A$540,C54,'Revision Calendar'!$B$7:$B$540,A54,'Revision Calendar'!$I$7:$I$540,"Done")</x:f>
        <x:v>0</x:v>
      </x:c>
      <x:c r="I54" s="100" t="n">
        <x:f>H54/G54</x:f>
        <x:v>0</x:v>
      </x:c>
      <x:c r="J54" s="99" t="str">
        <x:v>Timed re-solve; explain the hardware before writing code.</x:v>
      </x:c>
      <x:c r="K54" s="99"/>
    </x:row>
    <x:row r="55" ht="66" customHeight="1">
      <x:c r="A55" s="98" t="str">
        <x:v>Revision 2</x:v>
      </x:c>
      <x:c r="B55" s="98" t="n">
        <x:v>13</x:v>
      </x:c>
      <x:c r="C55" s="34" t="n">
        <x:v>46265</x:v>
      </x:c>
      <x:c r="D55" s="98" t="str">
        <x:v>121–130</x:v>
      </x:c>
      <x:c r="E55" s="99" t="str">
        <x:v>112, 113, 114, 115, 116, 117, 118, 119, 159, 160</x:v>
      </x:c>
      <x:c r="F55" s="99" t="str">
        <x:v>Simple FSM 2 (asynchronous reset) • Simple FSM 2 (synchronous reset) • Simple state transitions 3 • Simple one-hot state transitions 3 • Simple FSM 3 (asynchronous reset) • Simple FSM 3 (synchronous reset) • Design a Moore FSM • Lemmings 1 • Lemmings 2 • Lemmings 3</x:v>
      </x:c>
      <x:c r="G55" s="98" t="n">
        <x:v>10</x:v>
      </x:c>
      <x:c r="H55" s="98" t="n">
        <x:f>COUNTIFS('Revision Calendar'!$A$7:$A$540,C55,'Revision Calendar'!$B$7:$B$540,A55,'Revision Calendar'!$I$7:$I$540,"Done")</x:f>
        <x:v>0</x:v>
      </x:c>
      <x:c r="I55" s="100" t="n">
        <x:f>H55/G55</x:f>
        <x:v>0</x:v>
      </x:c>
      <x:c r="J55" s="99" t="str">
        <x:v>Timed re-solve; explain the hardware before writing code.</x:v>
      </x:c>
      <x:c r="K55" s="99"/>
    </x:row>
    <x:row r="56" ht="66" customHeight="1">
      <x:c r="A56" s="98" t="str">
        <x:v>Revision 2</x:v>
      </x:c>
      <x:c r="B56" s="98" t="n">
        <x:v>14</x:v>
      </x:c>
      <x:c r="C56" s="34" t="n">
        <x:v>46266</x:v>
      </x:c>
      <x:c r="D56" s="98" t="str">
        <x:v>131–140</x:v>
      </x:c>
      <x:c r="E56" s="99" t="str">
        <x:v>161, 162, 166, 167, 163, 164, 165, 168, 142, 169</x:v>
      </x:c>
      <x:c r="F56" s="99" t="str">
        <x:v>Lemmings 4 • One-hot FSM • PS/2 packet parser • PS/2 packet parser and datapath • Serial receiver • Serial receiver and datapath • Serial receiver with parity checking • Sequence recognition • Q8: Design a Mealy FSM • Q5a: Serial two's complementer (Moore FSM)</x:v>
      </x:c>
      <x:c r="G56" s="98" t="n">
        <x:v>10</x:v>
      </x:c>
      <x:c r="H56" s="98" t="n">
        <x:f>COUNTIFS('Revision Calendar'!$A$7:$A$540,C56,'Revision Calendar'!$B$7:$B$540,A56,'Revision Calendar'!$I$7:$I$540,"Done")</x:f>
        <x:v>0</x:v>
      </x:c>
      <x:c r="I56" s="100" t="n">
        <x:f>H56/G56</x:f>
        <x:v>0</x:v>
      </x:c>
      <x:c r="J56" s="99" t="str">
        <x:v>Timed re-solve; explain the hardware before writing code.</x:v>
      </x:c>
      <x:c r="K56" s="99"/>
    </x:row>
    <x:row r="57" ht="66" customHeight="1">
      <x:c r="A57" s="98" t="str">
        <x:v>Revision 2</x:v>
      </x:c>
      <x:c r="B57" s="98" t="n">
        <x:v>15</x:v>
      </x:c>
      <x:c r="C57" s="34" t="n">
        <x:v>46267</x:v>
      </x:c>
      <x:c r="D57" s="98" t="str">
        <x:v>141–150</x:v>
      </x:c>
      <x:c r="E57" s="99" t="str">
        <x:v>170, 155, 156, 157, 171, 158, 172, 173, 174, 177</x:v>
      </x:c>
      <x:c r="F57" s="99" t="str">
        <x:v>Q5b: Serial two's complementer (Mealy FSM) • Q3a: FSM • Q3b: FSM • Q3c: FSM logic • Q6b: FSM next-state logic • Q6c: FSM one-hot next-state logic • Q6: FSM • Q2a: FSM • Q2b: One-hot FSM equations • Q2a: FSM</x:v>
      </x:c>
      <x:c r="G57" s="98" t="n">
        <x:v>10</x:v>
      </x:c>
      <x:c r="H57" s="98" t="n">
        <x:f>COUNTIFS('Revision Calendar'!$A$7:$A$540,C57,'Revision Calendar'!$B$7:$B$540,A57,'Revision Calendar'!$I$7:$I$540,"Done")</x:f>
        <x:v>0</x:v>
      </x:c>
      <x:c r="I57" s="100" t="n">
        <x:f>H57/G57</x:f>
        <x:v>0</x:v>
      </x:c>
      <x:c r="J57" s="99" t="str">
        <x:v>Timed re-solve; explain the hardware before writing code.</x:v>
      </x:c>
      <x:c r="K57" s="99"/>
    </x:row>
    <x:row r="58" ht="66" customHeight="1">
      <x:c r="A58" s="98" t="str">
        <x:v>Revision 2</x:v>
      </x:c>
      <x:c r="B58" s="98" t="n">
        <x:v>16</x:v>
      </x:c>
      <x:c r="C58" s="34" t="n">
        <x:v>46268</x:v>
      </x:c>
      <x:c r="D58" s="98" t="str">
        <x:v>151–160</x:v>
      </x:c>
      <x:c r="E58" s="99" t="str">
        <x:v>121, 147, 148, 149, 150, 153, 154, 178, 122, 123</x:v>
      </x:c>
      <x:c r="F58" s="99" t="str">
        <x:v>Q2b: Another FSM • Counter with period 1000 • 4-bit shift register and down counter • FSM: Sequence 1101 recognizer • FSM: Enable shift register • FSM: The complete FSM • The complete timer • FSM: One-hot logic equations • Mux • NAND</x:v>
      </x:c>
      <x:c r="G58" s="98" t="n">
        <x:v>10</x:v>
      </x:c>
      <x:c r="H58" s="98" t="n">
        <x:f>COUNTIFS('Revision Calendar'!$A$7:$A$540,C58,'Revision Calendar'!$B$7:$B$540,A58,'Revision Calendar'!$I$7:$I$540,"Done")</x:f>
        <x:v>0</x:v>
      </x:c>
      <x:c r="I58" s="100" t="n">
        <x:f>H58/G58</x:f>
        <x:v>0</x:v>
      </x:c>
      <x:c r="J58" s="99" t="str">
        <x:v>Timed re-solve; explain the hardware before writing code.</x:v>
      </x:c>
      <x:c r="K58" s="99"/>
    </x:row>
    <x:row r="59" ht="66" customHeight="1">
      <x:c r="A59" s="98" t="str">
        <x:v>Revision 2</x:v>
      </x:c>
      <x:c r="B59" s="98" t="n">
        <x:v>17</x:v>
      </x:c>
      <x:c r="C59" s="34" t="n">
        <x:v>46269</x:v>
      </x:c>
      <x:c r="D59" s="98" t="str">
        <x:v>161–170</x:v>
      </x:c>
      <x:c r="E59" s="99" t="str">
        <x:v>124, 125, 126, 127, 128, 129, 130, 131, 132, 133</x:v>
      </x:c>
      <x:c r="F59" s="99" t="str">
        <x:v>Mux • Add/sub • Case statement • Combinational circuit 1 • Combinational circuit 2 • Combinational circuit 3 • Combinational circuit 4 • Combinational circuit 5 • Combinational circuit 6 • Sequential circuit 7</x:v>
      </x:c>
      <x:c r="G59" s="98" t="n">
        <x:v>10</x:v>
      </x:c>
      <x:c r="H59" s="98" t="n">
        <x:f>COUNTIFS('Revision Calendar'!$A$7:$A$540,C59,'Revision Calendar'!$B$7:$B$540,A59,'Revision Calendar'!$I$7:$I$540,"Done")</x:f>
        <x:v>0</x:v>
      </x:c>
      <x:c r="I59" s="100" t="n">
        <x:f>H59/G59</x:f>
        <x:v>0</x:v>
      </x:c>
      <x:c r="J59" s="99" t="str">
        <x:v>Timed re-solve; explain the hardware before writing code.</x:v>
      </x:c>
      <x:c r="K59" s="99"/>
    </x:row>
    <x:row r="60" ht="66" customHeight="1">
      <x:c r="A60" s="98" t="str">
        <x:v>Revision 2</x:v>
      </x:c>
      <x:c r="B60" s="98" t="n">
        <x:v>18</x:v>
      </x:c>
      <x:c r="C60" s="34" t="n">
        <x:v>46270</x:v>
      </x:c>
      <x:c r="D60" s="98" t="str">
        <x:v>171–178</x:v>
      </x:c>
      <x:c r="E60" s="99" t="str">
        <x:v>134, 135, 136, 137, 138, 139, 140, 141</x:v>
      </x:c>
      <x:c r="F60" s="99" t="str">
        <x:v>Sequential circuit 8 • Sequential circuit 9 • Sequential circuit 10 • Clock • Testbench1 • AND gate • Testbench2 • T flip-flop</x:v>
      </x:c>
      <x:c r="G60" s="98" t="n">
        <x:v>8</x:v>
      </x:c>
      <x:c r="H60" s="98" t="n">
        <x:f>COUNTIFS('Revision Calendar'!$A$7:$A$540,C60,'Revision Calendar'!$B$7:$B$540,A60,'Revision Calendar'!$I$7:$I$540,"Done")</x:f>
        <x:v>0</x:v>
      </x:c>
      <x:c r="I60" s="100" t="n">
        <x:f>H60/G60</x:f>
        <x:v>0</x:v>
      </x:c>
      <x:c r="J60" s="99" t="str">
        <x:v>Timed re-solve; explain the hardware before writing code.</x:v>
      </x:c>
      <x:c r="K60" s="99"/>
    </x:row>
    <x:row r="61" ht="66" customHeight="1">
      <x:c r="A61" s="98" t="str">
        <x:v>Final Revision</x:v>
      </x:c>
      <x:c r="B61" s="98" t="n">
        <x:v>1</x:v>
      </x:c>
      <x:c r="C61" s="34" t="n">
        <x:v>46271</x:v>
      </x:c>
      <x:c r="D61" s="98" t="str">
        <x:v>1–10</x:v>
      </x:c>
      <x:c r="E61" s="99" t="str">
        <x:v>151, 152, 001, 002, 003, 004, 005, 006, 007, 008</x:v>
      </x:c>
      <x:c r="F61" s="99" t="str">
        <x:v>Getting Started • Output Zero • Simple wire • Four wires • Inverter • AND gate • NOR gate • XNOR gate • Declaring wires • 7458 chip</x:v>
      </x:c>
      <x:c r="G61" s="98" t="n">
        <x:v>10</x:v>
      </x:c>
      <x:c r="H61" s="98" t="n">
        <x:f>COUNTIFS('Revision Calendar'!$A$7:$A$540,C61,'Revision Calendar'!$B$7:$B$540,A61,'Revision Calendar'!$I$7:$I$540,"Done")</x:f>
        <x:v>0</x:v>
      </x:c>
      <x:c r="I61" s="100" t="n">
        <x:f>H61/G61</x:f>
        <x:v>0</x:v>
      </x:c>
      <x:c r="J61" s="99" t="str">
        <x:v>Mastery check: solve and explain without notes.</x:v>
      </x:c>
      <x:c r="K61" s="99"/>
    </x:row>
    <x:row r="62" ht="66" customHeight="1">
      <x:c r="A62" s="98" t="str">
        <x:v>Final Revision</x:v>
      </x:c>
      <x:c r="B62" s="98" t="n">
        <x:v>2</x:v>
      </x:c>
      <x:c r="C62" s="34" t="n">
        <x:v>46272</x:v>
      </x:c>
      <x:c r="D62" s="98" t="str">
        <x:v>11–20</x:v>
      </x:c>
      <x:c r="E62" s="99" t="str">
        <x:v>009, 010, 011, 012, 013, 014, 015, 016, 017, 018</x:v>
      </x:c>
      <x:c r="F62" s="99" t="str">
        <x:v>Vectors • Vectors in more detail • Vector part select • Bitwise operators • Four-input gates • Vector concatenation operator • Vector reversal 1 • Replication operator • More replication • Modules</x:v>
      </x:c>
      <x:c r="G62" s="98" t="n">
        <x:v>10</x:v>
      </x:c>
      <x:c r="H62" s="98" t="n">
        <x:f>COUNTIFS('Revision Calendar'!$A$7:$A$540,C62,'Revision Calendar'!$B$7:$B$540,A62,'Revision Calendar'!$I$7:$I$540,"Done")</x:f>
        <x:v>0</x:v>
      </x:c>
      <x:c r="I62" s="100" t="n">
        <x:f>H62/G62</x:f>
        <x:v>0</x:v>
      </x:c>
      <x:c r="J62" s="99" t="str">
        <x:v>Mastery check: solve and explain without notes.</x:v>
      </x:c>
      <x:c r="K62" s="99"/>
    </x:row>
    <x:row r="63" ht="66" customHeight="1">
      <x:c r="A63" s="98" t="str">
        <x:v>Final Revision</x:v>
      </x:c>
      <x:c r="B63" s="98" t="n">
        <x:v>3</x:v>
      </x:c>
      <x:c r="C63" s="34" t="n">
        <x:v>46273</x:v>
      </x:c>
      <x:c r="D63" s="98" t="str">
        <x:v>21–30</x:v>
      </x:c>
      <x:c r="E63" s="99" t="str">
        <x:v>019, 020, 021, 022, 023, 024, 025, 026, 027, 028</x:v>
      </x:c>
      <x:c r="F63" s="99" t="str">
        <x:v>Connecting ports by position • Connecting ports by name • Three modules • Modules and vectors • Adder 1 • Adder 2 • Carry-select adder • Adder-subtractor • Always blocks (combinational) • Always blocks (clocked)</x:v>
      </x:c>
      <x:c r="G63" s="98" t="n">
        <x:v>10</x:v>
      </x:c>
      <x:c r="H63" s="98" t="n">
        <x:f>COUNTIFS('Revision Calendar'!$A$7:$A$540,C63,'Revision Calendar'!$B$7:$B$540,A63,'Revision Calendar'!$I$7:$I$540,"Done")</x:f>
        <x:v>0</x:v>
      </x:c>
      <x:c r="I63" s="100" t="n">
        <x:f>H63/G63</x:f>
        <x:v>0</x:v>
      </x:c>
      <x:c r="J63" s="99" t="str">
        <x:v>Mastery check: solve and explain without notes.</x:v>
      </x:c>
      <x:c r="K63" s="99"/>
    </x:row>
    <x:row r="64" ht="66" customHeight="1">
      <x:c r="A64" s="98" t="str">
        <x:v>Final Revision</x:v>
      </x:c>
      <x:c r="B64" s="98" t="n">
        <x:v>4</x:v>
      </x:c>
      <x:c r="C64" s="34" t="n">
        <x:v>46274</x:v>
      </x:c>
      <x:c r="D64" s="98" t="str">
        <x:v>31–40</x:v>
      </x:c>
      <x:c r="E64" s="99" t="str">
        <x:v>029, 030, 031, 032, 033, 034, 035, 036, 037, 038</x:v>
      </x:c>
      <x:c r="F64" s="99" t="str">
        <x:v>If statement • If statement latches • Case statement • Priority encoder • Priority encoder with casez • Avoiding latches • Conditional ternary operator • Reduction operators • Reduction: Even wider gates • Combinational for-loop: Vector reversal 2</x:v>
      </x:c>
      <x:c r="G64" s="98" t="n">
        <x:v>10</x:v>
      </x:c>
      <x:c r="H64" s="98" t="n">
        <x:f>COUNTIFS('Revision Calendar'!$A$7:$A$540,C64,'Revision Calendar'!$B$7:$B$540,A64,'Revision Calendar'!$I$7:$I$540,"Done")</x:f>
        <x:v>0</x:v>
      </x:c>
      <x:c r="I64" s="100" t="n">
        <x:f>H64/G64</x:f>
        <x:v>0</x:v>
      </x:c>
      <x:c r="J64" s="99" t="str">
        <x:v>Mastery check: solve and explain without notes.</x:v>
      </x:c>
      <x:c r="K64" s="99"/>
    </x:row>
    <x:row r="65" ht="66" customHeight="1">
      <x:c r="A65" s="98" t="str">
        <x:v>Final Revision</x:v>
      </x:c>
      <x:c r="B65" s="98" t="n">
        <x:v>5</x:v>
      </x:c>
      <x:c r="C65" s="34" t="n">
        <x:v>46275</x:v>
      </x:c>
      <x:c r="D65" s="98" t="str">
        <x:v>41–50</x:v>
      </x:c>
      <x:c r="E65" s="99" t="str">
        <x:v>039, 040, 041, 042, 043, 044, 045, 046, 047, 048</x:v>
      </x:c>
      <x:c r="F65" s="99" t="str">
        <x:v>Combinational for-loop: 255-bit population count • Generate for-loop: 100-bit binary adder 2 • Generate for-loop: 100-digit BCD adder • Wire • GND • NOR • Another gate • Two gates • More logic gates • 7420 chip</x:v>
      </x:c>
      <x:c r="G65" s="98" t="n">
        <x:v>10</x:v>
      </x:c>
      <x:c r="H65" s="98" t="n">
        <x:f>COUNTIFS('Revision Calendar'!$A$7:$A$540,C65,'Revision Calendar'!$B$7:$B$540,A65,'Revision Calendar'!$I$7:$I$540,"Done")</x:f>
        <x:v>0</x:v>
      </x:c>
      <x:c r="I65" s="100" t="n">
        <x:f>H65/G65</x:f>
        <x:v>0</x:v>
      </x:c>
      <x:c r="J65" s="99" t="str">
        <x:v>Mastery check: solve and explain without notes.</x:v>
      </x:c>
      <x:c r="K65" s="99"/>
    </x:row>
    <x:row r="66" ht="66" customHeight="1">
      <x:c r="A66" s="98" t="str">
        <x:v>Final Revision</x:v>
      </x:c>
      <x:c r="B66" s="98" t="n">
        <x:v>6</x:v>
      </x:c>
      <x:c r="C66" s="34" t="n">
        <x:v>46276</x:v>
      </x:c>
      <x:c r="D66" s="98" t="str">
        <x:v>51–60</x:v>
      </x:c>
      <x:c r="E66" s="99" t="str">
        <x:v>049, 050, 051, 052, 053, 054, 055, 056, 057, 058</x:v>
      </x:c>
      <x:c r="F66" s="99" t="str">
        <x:v>Truth tables • Two-bit equality • Simple circuit A • Simple circuit B • Combine circuits A and B • Ring or vibrate? • Thermostat • 3-bit population count • Gates and vectors • Even longer vectors</x:v>
      </x:c>
      <x:c r="G66" s="98" t="n">
        <x:v>10</x:v>
      </x:c>
      <x:c r="H66" s="98" t="n">
        <x:f>COUNTIFS('Revision Calendar'!$A$7:$A$540,C66,'Revision Calendar'!$B$7:$B$540,A66,'Revision Calendar'!$I$7:$I$540,"Done")</x:f>
        <x:v>0</x:v>
      </x:c>
      <x:c r="I66" s="100" t="n">
        <x:f>H66/G66</x:f>
        <x:v>0</x:v>
      </x:c>
      <x:c r="J66" s="99" t="str">
        <x:v>Mastery check: solve and explain without notes.</x:v>
      </x:c>
      <x:c r="K66" s="99"/>
    </x:row>
    <x:row r="67" ht="66" customHeight="1">
      <x:c r="A67" s="98" t="str">
        <x:v>Final Revision</x:v>
      </x:c>
      <x:c r="B67" s="98" t="n">
        <x:v>7</x:v>
      </x:c>
      <x:c r="C67" s="34" t="n">
        <x:v>46277</x:v>
      </x:c>
      <x:c r="D67" s="98" t="str">
        <x:v>61–70</x:v>
      </x:c>
      <x:c r="E67" s="99" t="str">
        <x:v>059, 060, 061, 062, 063, 064, 065, 066, 067, 068</x:v>
      </x:c>
      <x:c r="F67" s="99" t="str">
        <x:v>2-to-1 multiplexer • 2-to-1 bus multiplexer • 9-to-1 multiplexer • 256-to-1 multiplexer • 256-to-1 4-bit multiplexer • Half adder • Full adder • 3-bit binary adder • Adder • Signed addition overflow</x:v>
      </x:c>
      <x:c r="G67" s="98" t="n">
        <x:v>10</x:v>
      </x:c>
      <x:c r="H67" s="98" t="n">
        <x:f>COUNTIFS('Revision Calendar'!$A$7:$A$540,C67,'Revision Calendar'!$B$7:$B$540,A67,'Revision Calendar'!$I$7:$I$540,"Done")</x:f>
        <x:v>0</x:v>
      </x:c>
      <x:c r="I67" s="100" t="n">
        <x:f>H67/G67</x:f>
        <x:v>0</x:v>
      </x:c>
      <x:c r="J67" s="99" t="str">
        <x:v>Mastery check: solve and explain without notes.</x:v>
      </x:c>
      <x:c r="K67" s="99"/>
    </x:row>
    <x:row r="68" ht="66" customHeight="1">
      <x:c r="A68" s="98" t="str">
        <x:v>Final Revision</x:v>
      </x:c>
      <x:c r="B68" s="98" t="n">
        <x:v>8</x:v>
      </x:c>
      <x:c r="C68" s="34" t="n">
        <x:v>46278</x:v>
      </x:c>
      <x:c r="D68" s="98" t="str">
        <x:v>71–80</x:v>
      </x:c>
      <x:c r="E68" s="99" t="str">
        <x:v>069, 070, 071, 072, 073, 074, 075, 076, 077, 078</x:v>
      </x:c>
      <x:c r="F68" s="99" t="str">
        <x:v>100-bit binary adder • 4-digit BCD adder • 3-variable • 4-variable • 4-variable • 4-variable • Minimum SOP and POS • Karnaugh map • Karnaugh map • K-map implemented with a multiplexer</x:v>
      </x:c>
      <x:c r="G68" s="98" t="n">
        <x:v>10</x:v>
      </x:c>
      <x:c r="H68" s="98" t="n">
        <x:f>COUNTIFS('Revision Calendar'!$A$7:$A$540,C68,'Revision Calendar'!$B$7:$B$540,A68,'Revision Calendar'!$I$7:$I$540,"Done")</x:f>
        <x:v>0</x:v>
      </x:c>
      <x:c r="I68" s="100" t="n">
        <x:f>H68/G68</x:f>
        <x:v>0</x:v>
      </x:c>
      <x:c r="J68" s="99" t="str">
        <x:v>Mastery check: solve and explain without notes.</x:v>
      </x:c>
      <x:c r="K68" s="99"/>
    </x:row>
    <x:row r="69" ht="66" customHeight="1">
      <x:c r="A69" s="98" t="str">
        <x:v>Final Revision</x:v>
      </x:c>
      <x:c r="B69" s="98" t="n">
        <x:v>9</x:v>
      </x:c>
      <x:c r="C69" s="34" t="n">
        <x:v>46279</x:v>
      </x:c>
      <x:c r="D69" s="98" t="str">
        <x:v>81–90</x:v>
      </x:c>
      <x:c r="E69" s="99" t="str">
        <x:v>079, 080, 081, 082, 083, 084, 085, 086, 087, 088</x:v>
      </x:c>
      <x:c r="F69" s="99" t="str">
        <x:v>D flip-flop • D flip-flops • DFF with reset • DFF with reset value • DFF with asynchronous reset • DFF with byte enable • D Latch • DFF • DFF • DFF+gate</x:v>
      </x:c>
      <x:c r="G69" s="98" t="n">
        <x:v>10</x:v>
      </x:c>
      <x:c r="H69" s="98" t="n">
        <x:f>COUNTIFS('Revision Calendar'!$A$7:$A$540,C69,'Revision Calendar'!$B$7:$B$540,A69,'Revision Calendar'!$I$7:$I$540,"Done")</x:f>
        <x:v>0</x:v>
      </x:c>
      <x:c r="I69" s="100" t="n">
        <x:f>H69/G69</x:f>
        <x:v>0</x:v>
      </x:c>
      <x:c r="J69" s="99" t="str">
        <x:v>Mastery check: solve and explain without notes.</x:v>
      </x:c>
      <x:c r="K69" s="99"/>
    </x:row>
    <x:row r="70" ht="66" customHeight="1">
      <x:c r="A70" s="98" t="str">
        <x:v>Final Revision</x:v>
      </x:c>
      <x:c r="B70" s="98" t="n">
        <x:v>10</x:v>
      </x:c>
      <x:c r="C70" s="34" t="n">
        <x:v>46280</x:v>
      </x:c>
      <x:c r="D70" s="98" t="str">
        <x:v>91–100</x:v>
      </x:c>
      <x:c r="E70" s="99" t="str">
        <x:v>089, 090, 091, 092, 093, 094, 095, 096, 097, 098</x:v>
      </x:c>
      <x:c r="F70" s="99" t="str">
        <x:v>Mux and DFF • Mux and DFF • DFFs and gates • Create circuit from truth table • Detect an edge • Detect both edges • Edge capture register • Dual-edge triggered flip-flop • Four-bit binary counter • Decade counter</x:v>
      </x:c>
      <x:c r="G70" s="98" t="n">
        <x:v>10</x:v>
      </x:c>
      <x:c r="H70" s="98" t="n">
        <x:f>COUNTIFS('Revision Calendar'!$A$7:$A$540,C70,'Revision Calendar'!$B$7:$B$540,A70,'Revision Calendar'!$I$7:$I$540,"Done")</x:f>
        <x:v>0</x:v>
      </x:c>
      <x:c r="I70" s="100" t="n">
        <x:f>H70/G70</x:f>
        <x:v>0</x:v>
      </x:c>
      <x:c r="J70" s="99" t="str">
        <x:v>Mastery check: solve and explain without notes.</x:v>
      </x:c>
      <x:c r="K70" s="99"/>
    </x:row>
    <x:row r="71" ht="66" customHeight="1">
      <x:c r="A71" s="98" t="str">
        <x:v>Final Revision</x:v>
      </x:c>
      <x:c r="B71" s="98" t="n">
        <x:v>11</x:v>
      </x:c>
      <x:c r="C71" s="34" t="n">
        <x:v>46281</x:v>
      </x:c>
      <x:c r="D71" s="98" t="str">
        <x:v>101–110</x:v>
      </x:c>
      <x:c r="E71" s="99" t="str">
        <x:v>099, 100, 143, 144, 145, 146, 101, 102, 103, 104</x:v>
      </x:c>
      <x:c r="F71" s="99" t="str">
        <x:v>Decade counter again • Slow decade counter • Counter 1-12 • Counter 1000 • 4-digit decimal counter • 12-hour clock • 4-bit shift register • Left/right rotator • Left/right arithmetic shift by 1 or 8 • 5-bit LFSR</x:v>
      </x:c>
      <x:c r="G71" s="98" t="n">
        <x:v>10</x:v>
      </x:c>
      <x:c r="H71" s="98" t="n">
        <x:f>COUNTIFS('Revision Calendar'!$A$7:$A$540,C71,'Revision Calendar'!$B$7:$B$540,A71,'Revision Calendar'!$I$7:$I$540,"Done")</x:f>
        <x:v>0</x:v>
      </x:c>
      <x:c r="I71" s="100" t="n">
        <x:f>H71/G71</x:f>
        <x:v>0</x:v>
      </x:c>
      <x:c r="J71" s="99" t="str">
        <x:v>Mastery check: solve and explain without notes.</x:v>
      </x:c>
      <x:c r="K71" s="99"/>
    </x:row>
    <x:row r="72" ht="66" customHeight="1">
      <x:c r="A72" s="98" t="str">
        <x:v>Final Revision</x:v>
      </x:c>
      <x:c r="B72" s="98" t="n">
        <x:v>12</x:v>
      </x:c>
      <x:c r="C72" s="34" t="n">
        <x:v>46282</x:v>
      </x:c>
      <x:c r="D72" s="98" t="str">
        <x:v>111–120</x:v>
      </x:c>
      <x:c r="E72" s="99" t="str">
        <x:v>105, 106, 107, 108, 109, 175, 176, 179, 110, 111</x:v>
      </x:c>
      <x:c r="F72" s="99" t="str">
        <x:v>3-bit LFSR • 32-bit LFSR • Shift register • Shift register • 3-input LUT • Rule 90 • Rule 110 • Conway's Game of Life 16x16 • Simple FSM 1 (asynchronous reset) • Simple FSM 1 (synchronous reset)</x:v>
      </x:c>
      <x:c r="G72" s="98" t="n">
        <x:v>10</x:v>
      </x:c>
      <x:c r="H72" s="98" t="n">
        <x:f>COUNTIFS('Revision Calendar'!$A$7:$A$540,C72,'Revision Calendar'!$B$7:$B$540,A72,'Revision Calendar'!$I$7:$I$540,"Done")</x:f>
        <x:v>0</x:v>
      </x:c>
      <x:c r="I72" s="100" t="n">
        <x:f>H72/G72</x:f>
        <x:v>0</x:v>
      </x:c>
      <x:c r="J72" s="99" t="str">
        <x:v>Mastery check: solve and explain without notes.</x:v>
      </x:c>
      <x:c r="K72" s="99"/>
    </x:row>
    <x:row r="73" ht="66" customHeight="1">
      <x:c r="A73" s="98" t="str">
        <x:v>Final Revision</x:v>
      </x:c>
      <x:c r="B73" s="98" t="n">
        <x:v>13</x:v>
      </x:c>
      <x:c r="C73" s="34" t="n">
        <x:v>46283</x:v>
      </x:c>
      <x:c r="D73" s="98" t="str">
        <x:v>121–130</x:v>
      </x:c>
      <x:c r="E73" s="99" t="str">
        <x:v>112, 113, 114, 115, 116, 117, 118, 119, 159, 160</x:v>
      </x:c>
      <x:c r="F73" s="99" t="str">
        <x:v>Simple FSM 2 (asynchronous reset) • Simple FSM 2 (synchronous reset) • Simple state transitions 3 • Simple one-hot state transitions 3 • Simple FSM 3 (asynchronous reset) • Simple FSM 3 (synchronous reset) • Design a Moore FSM • Lemmings 1 • Lemmings 2 • Lemmings 3</x:v>
      </x:c>
      <x:c r="G73" s="98" t="n">
        <x:v>10</x:v>
      </x:c>
      <x:c r="H73" s="98" t="n">
        <x:f>COUNTIFS('Revision Calendar'!$A$7:$A$540,C73,'Revision Calendar'!$B$7:$B$540,A73,'Revision Calendar'!$I$7:$I$540,"Done")</x:f>
        <x:v>0</x:v>
      </x:c>
      <x:c r="I73" s="100" t="n">
        <x:f>H73/G73</x:f>
        <x:v>0</x:v>
      </x:c>
      <x:c r="J73" s="99" t="str">
        <x:v>Mastery check: solve and explain without notes.</x:v>
      </x:c>
      <x:c r="K73" s="99"/>
    </x:row>
    <x:row r="74" ht="66" customHeight="1">
      <x:c r="A74" s="98" t="str">
        <x:v>Final Revision</x:v>
      </x:c>
      <x:c r="B74" s="98" t="n">
        <x:v>14</x:v>
      </x:c>
      <x:c r="C74" s="34" t="n">
        <x:v>46284</x:v>
      </x:c>
      <x:c r="D74" s="98" t="str">
        <x:v>131–140</x:v>
      </x:c>
      <x:c r="E74" s="99" t="str">
        <x:v>161, 162, 166, 167, 163, 164, 165, 168, 142, 169</x:v>
      </x:c>
      <x:c r="F74" s="99" t="str">
        <x:v>Lemmings 4 • One-hot FSM • PS/2 packet parser • PS/2 packet parser and datapath • Serial receiver • Serial receiver and datapath • Serial receiver with parity checking • Sequence recognition • Q8: Design a Mealy FSM • Q5a: Serial two's complementer (Moore FSM)</x:v>
      </x:c>
      <x:c r="G74" s="98" t="n">
        <x:v>10</x:v>
      </x:c>
      <x:c r="H74" s="98" t="n">
        <x:f>COUNTIFS('Revision Calendar'!$A$7:$A$540,C74,'Revision Calendar'!$B$7:$B$540,A74,'Revision Calendar'!$I$7:$I$540,"Done")</x:f>
        <x:v>0</x:v>
      </x:c>
      <x:c r="I74" s="100" t="n">
        <x:f>H74/G74</x:f>
        <x:v>0</x:v>
      </x:c>
      <x:c r="J74" s="99" t="str">
        <x:v>Mastery check: solve and explain without notes.</x:v>
      </x:c>
      <x:c r="K74" s="99"/>
    </x:row>
    <x:row r="75" ht="66" customHeight="1">
      <x:c r="A75" s="98" t="str">
        <x:v>Final Revision</x:v>
      </x:c>
      <x:c r="B75" s="98" t="n">
        <x:v>15</x:v>
      </x:c>
      <x:c r="C75" s="34" t="n">
        <x:v>46285</x:v>
      </x:c>
      <x:c r="D75" s="98" t="str">
        <x:v>141–150</x:v>
      </x:c>
      <x:c r="E75" s="99" t="str">
        <x:v>170, 155, 156, 157, 171, 158, 172, 173, 174, 177</x:v>
      </x:c>
      <x:c r="F75" s="99" t="str">
        <x:v>Q5b: Serial two's complementer (Mealy FSM) • Q3a: FSM • Q3b: FSM • Q3c: FSM logic • Q6b: FSM next-state logic • Q6c: FSM one-hot next-state logic • Q6: FSM • Q2a: FSM • Q2b: One-hot FSM equations • Q2a: FSM</x:v>
      </x:c>
      <x:c r="G75" s="98" t="n">
        <x:v>10</x:v>
      </x:c>
      <x:c r="H75" s="98" t="n">
        <x:f>COUNTIFS('Revision Calendar'!$A$7:$A$540,C75,'Revision Calendar'!$B$7:$B$540,A75,'Revision Calendar'!$I$7:$I$540,"Done")</x:f>
        <x:v>0</x:v>
      </x:c>
      <x:c r="I75" s="100" t="n">
        <x:f>H75/G75</x:f>
        <x:v>0</x:v>
      </x:c>
      <x:c r="J75" s="99" t="str">
        <x:v>Mastery check: solve and explain without notes.</x:v>
      </x:c>
      <x:c r="K75" s="99"/>
    </x:row>
    <x:row r="76" ht="66" customHeight="1">
      <x:c r="A76" s="98" t="str">
        <x:v>Final Revision</x:v>
      </x:c>
      <x:c r="B76" s="98" t="n">
        <x:v>16</x:v>
      </x:c>
      <x:c r="C76" s="34" t="n">
        <x:v>46286</x:v>
      </x:c>
      <x:c r="D76" s="98" t="str">
        <x:v>151–160</x:v>
      </x:c>
      <x:c r="E76" s="99" t="str">
        <x:v>121, 147, 148, 149, 150, 153, 154, 178, 122, 123</x:v>
      </x:c>
      <x:c r="F76" s="99" t="str">
        <x:v>Q2b: Another FSM • Counter with period 1000 • 4-bit shift register and down counter • FSM: Sequence 1101 recognizer • FSM: Enable shift register • FSM: The complete FSM • The complete timer • FSM: One-hot logic equations • Mux • NAND</x:v>
      </x:c>
      <x:c r="G76" s="98" t="n">
        <x:v>10</x:v>
      </x:c>
      <x:c r="H76" s="98" t="n">
        <x:f>COUNTIFS('Revision Calendar'!$A$7:$A$540,C76,'Revision Calendar'!$B$7:$B$540,A76,'Revision Calendar'!$I$7:$I$540,"Done")</x:f>
        <x:v>0</x:v>
      </x:c>
      <x:c r="I76" s="100" t="n">
        <x:f>H76/G76</x:f>
        <x:v>0</x:v>
      </x:c>
      <x:c r="J76" s="99" t="str">
        <x:v>Mastery check: solve and explain without notes.</x:v>
      </x:c>
      <x:c r="K76" s="99"/>
    </x:row>
    <x:row r="77" ht="66" customHeight="1">
      <x:c r="A77" s="98" t="str">
        <x:v>Final Revision</x:v>
      </x:c>
      <x:c r="B77" s="98" t="n">
        <x:v>17</x:v>
      </x:c>
      <x:c r="C77" s="34" t="n">
        <x:v>46287</x:v>
      </x:c>
      <x:c r="D77" s="98" t="str">
        <x:v>161–170</x:v>
      </x:c>
      <x:c r="E77" s="99" t="str">
        <x:v>124, 125, 126, 127, 128, 129, 130, 131, 132, 133</x:v>
      </x:c>
      <x:c r="F77" s="99" t="str">
        <x:v>Mux • Add/sub • Case statement • Combinational circuit 1 • Combinational circuit 2 • Combinational circuit 3 • Combinational circuit 4 • Combinational circuit 5 • Combinational circuit 6 • Sequential circuit 7</x:v>
      </x:c>
      <x:c r="G77" s="98" t="n">
        <x:v>10</x:v>
      </x:c>
      <x:c r="H77" s="98" t="n">
        <x:f>COUNTIFS('Revision Calendar'!$A$7:$A$540,C77,'Revision Calendar'!$B$7:$B$540,A77,'Revision Calendar'!$I$7:$I$540,"Done")</x:f>
        <x:v>0</x:v>
      </x:c>
      <x:c r="I77" s="100" t="n">
        <x:f>H77/G77</x:f>
        <x:v>0</x:v>
      </x:c>
      <x:c r="J77" s="99" t="str">
        <x:v>Mastery check: solve and explain without notes.</x:v>
      </x:c>
      <x:c r="K77" s="99"/>
    </x:row>
    <x:row r="78" ht="66" customHeight="1">
      <x:c r="A78" s="98" t="str">
        <x:v>Final Revision</x:v>
      </x:c>
      <x:c r="B78" s="98" t="n">
        <x:v>18</x:v>
      </x:c>
      <x:c r="C78" s="34" t="n">
        <x:v>46288</x:v>
      </x:c>
      <x:c r="D78" s="98" t="str">
        <x:v>171–178</x:v>
      </x:c>
      <x:c r="E78" s="99" t="str">
        <x:v>134, 135, 136, 137, 138, 139, 140, 141</x:v>
      </x:c>
      <x:c r="F78" s="99" t="str">
        <x:v>Sequential circuit 8 • Sequential circuit 9 • Sequential circuit 10 • Clock • Testbench1 • AND gate • Testbench2 • T flip-flop</x:v>
      </x:c>
      <x:c r="G78" s="98" t="n">
        <x:v>8</x:v>
      </x:c>
      <x:c r="H78" s="98" t="n">
        <x:f>COUNTIFS('Revision Calendar'!$A$7:$A$540,C78,'Revision Calendar'!$B$7:$B$540,A78,'Revision Calendar'!$I$7:$I$540,"Done")</x:f>
        <x:v>0</x:v>
      </x:c>
      <x:c r="I78" s="100" t="n">
        <x:f>H78/G78</x:f>
        <x:v>0</x:v>
      </x:c>
      <x:c r="J78" s="99" t="str">
        <x:v>Mastery check: solve and explain without notes.</x:v>
      </x:c>
      <x:c r="K78" s="99"/>
    </x:row>
  </x:sheetData>
  <x:mergeCells>
    <x:mergeCell ref="A1:K2"/>
    <x:mergeCell ref="A3:K3"/>
  </x:mergeCells>
  <x:conditionalFormatting sqref="I7:I78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{6A376414-F077-30D7-4242-1CD12CF083CB}</x14:id>
        </x:ext>
      </x:extLst>
    </x:cfRule>
  </x:conditionalFormatting>
  <x:conditionalFormatting sqref="A7:A78">
    <x:cfRule type="containsText" dxfId="12" priority="2" operator="containsText" text="Pass 1"/>
    <x:cfRule type="containsText" dxfId="13" priority="3" operator="containsText" text="Revision 1"/>
    <x:cfRule type="containsText" dxfId="14" priority="4" operator="containsText" text="Revision 2"/>
    <x:cfRule type="containsText" dxfId="15" priority="5" operator="containsText" text="Final Revision"/>
  </x:conditionalFormatting>
  <x:pageMargins left="0.7" right="0.7" top="0.75" bottom="0.75" header="0.3" footer="0.3"/>
  <x:tableParts count="1">
    <x:tablePart xmlns:r="http://schemas.openxmlformats.org/officeDocument/2006/relationships" r:id="Rc0cd480291cc4e1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A376414-F077-30D7-4242-1CD12CF083CB}">
            <x14:dataBar gradient="1">
              <x14:cfvo type="min"/>
              <x14:cfvo type="max"/>
              <x14:fillColor rgb="FF70AD47"/>
            </x14:dataBar>
          </x14:cfRule>
          <xm:sqref>I7:I78</xm:sqref>
        </x14:conditionalFormatting>
      </x14:conditionalFormattings>
    </x:ext>
  </x:extLst>
</x:worksheet>
</file>