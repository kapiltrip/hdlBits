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d2e804910aa48c8" /></Relationships>
</file>

<file path=xl/workbook.xml><?xml version="1.0" encoding="utf-8"?>
<x:workbook xmlns:x="http://schemas.openxmlformats.org/spreadsheetml/2006/main">
  <x:sheets>
    <x:sheet xmlns:r="http://schemas.openxmlformats.org/officeDocument/2006/relationships" name="Summary" sheetId="1" r:id="Rc60e765eac9e4d46"/>
    <x:sheet xmlns:r="http://schemas.openxmlformats.org/officeDocument/2006/relationships" name="Tracker" sheetId="2" r:id="R963abc3801ef45c6"/>
    <x:sheet xmlns:r="http://schemas.openxmlformats.org/officeDocument/2006/relationships" name="Revision Plan" sheetId="3" r:id="Redbe176dff8d457d"/>
    <x:sheet xmlns:r="http://schemas.openxmlformats.org/officeDocument/2006/relationships" name="Problem Revision" sheetId="4" r:id="R852bbf71863b435f"/>
    <x:sheet xmlns:r="http://schemas.openxmlformats.org/officeDocument/2006/relationships" name="Weakness Review" sheetId="5" r:id="Re952568753294ed6"/>
  </x:sheets>
</x:workbook>
</file>

<file path=xl/sharedStrings.xml><?xml version="1.0" encoding="utf-8"?>
<x:sst xmlns:x="http://schemas.openxmlformats.org/spreadsheetml/2006/main">
  <x:si>
    <x:t xml:space="preserve">HDLBits Learning Tracker</x:t>
  </x:si>
  <x:si>
    <x:t xml:space="preserve">Completed</x:t>
  </x:si>
  <x:si>
    <x:t xml:space="preserve">Review</x:t>
  </x:si>
  <x:si>
    <x:t xml:space="preserve">To do</x:t>
  </x:si>
  <x:si>
    <x:t xml:space="preserve">Full series</x:t>
  </x:si>
  <x:si>
    <x:t xml:space="preserve">Sequence audit: 178/178 HDLBits IDs match the live website order (CS450 excluded).</x:t>
  </x:si>
  <x:si>
    <x:t xml:space="preserve">Day</x:t>
  </x:si>
  <x:si>
    <x:t xml:space="preserve">Date</x:t>
  </x:si>
  <x:si>
    <x:t xml:space="preserve">Completed problems</x:t>
  </x:si>
  <x:si>
    <x:t xml:space="preserve">Major section</x:t>
  </x:si>
  <x:si>
    <x:t xml:space="preserve">Subsection</x:t>
  </x:si>
  <x:si>
    <x:t xml:space="preserve">Total</x:t>
  </x:si>
  <x:si>
    <x:t xml:space="preserve">Day 01</x:t>
  </x:si>
  <x:si>
    <x:t xml:space="preserve">Getting Started</x:t>
  </x:si>
  <x:si>
    <x:t xml:space="preserve">(all exercises)</x:t>
  </x:si>
  <x:si>
    <x:t xml:space="preserve">Day 02</x:t>
  </x:si>
  <x:si>
    <x:t xml:space="preserve">Verilog Language</x:t>
  </x:si>
  <x:si>
    <x:t xml:space="preserve">Basics</x:t>
  </x:si>
  <x:si>
    <x:t xml:space="preserve">Day 03</x:t>
  </x:si>
  <x:si>
    <x:t xml:space="preserve">Vectors</x:t>
  </x:si>
  <x:si>
    <x:t xml:space="preserve">Day 04</x:t>
  </x:si>
  <x:si>
    <x:t xml:space="preserve">Modules: Hierarchy</x:t>
  </x:si>
  <x:si>
    <x:t xml:space="preserve">Day 05</x:t>
  </x:si>
  <x:si>
    <x:t xml:space="preserve">Procedures</x:t>
  </x:si>
  <x:si>
    <x:t xml:space="preserve">Day 06</x:t>
  </x:si>
  <x:si>
    <x:t xml:space="preserve">More Verilog Features</x:t>
  </x:si>
  <x:si>
    <x:t xml:space="preserve">Day 07</x:t>
  </x:si>
  <x:si>
    <x:t xml:space="preserve">Circuits</x:t>
  </x:si>
  <x:si>
    <x:t xml:space="preserve">Combinational Logic → Basic Gates</x:t>
  </x:si>
  <x:si>
    <x:t xml:space="preserve">Day 08</x:t>
  </x:si>
  <x:si>
    <x:t xml:space="preserve">Combinational Logic → Multiplexers</x:t>
  </x:si>
  <x:si>
    <x:t xml:space="preserve">Day 09</x:t>
  </x:si>
  <x:si>
    <x:t xml:space="preserve">Combinational Logic → Arithmetic Circuits</x:t>
  </x:si>
  <x:si>
    <x:t xml:space="preserve">Combinational Logic → Karnaugh Map to Circuit</x:t>
  </x:si>
  <x:si>
    <x:t xml:space="preserve">Sequential Logic → Latches and Flip-Flops</x:t>
  </x:si>
  <x:si>
    <x:t xml:space="preserve">Sequential Logic → Counters</x:t>
  </x:si>
  <x:si>
    <x:t xml:space="preserve">Sequential Logic → Shift Registers</x:t>
  </x:si>
  <x:si>
    <x:t xml:space="preserve">Sequential Logic → More Circuits</x:t>
  </x:si>
  <x:si>
    <x:t xml:space="preserve">Sequential Logic → Finite State Machines</x:t>
  </x:si>
  <x:si>
    <x:t xml:space="preserve">Building Larger Circuits</x:t>
  </x:si>
  <x:si>
    <x:t xml:space="preserve">Verification: Reading Simulations</x:t>
  </x:si>
  <x:si>
    <x:t xml:space="preserve">Finding bugs in code</x:t>
  </x:si>
  <x:si>
    <x:t xml:space="preserve">Build a circuit from a simulation waveform</x:t>
  </x:si>
  <x:si>
    <x:t xml:space="preserve">Verification: Writing Testbenches</x:t>
  </x:si>
  <x:si>
    <x:t xml:space="preserve">HDLBits Course Sequence and Revision Log</x:t>
  </x:si>
  <x:si>
    <x:t xml:space="preserve">Website #</x:t>
  </x:si>
  <x:si>
    <x:t xml:space="preserve">Archive #</x:t>
  </x:si>
  <x:si>
    <x:t xml:space="preserve">Problem</x:t>
  </x:si>
  <x:si>
    <x:t xml:space="preserve">HDLBits ID</x:t>
  </x:si>
  <x:si>
    <x:t xml:space="preserve">Status</x:t>
  </x:si>
  <x:si>
    <x:t xml:space="preserve">Submission date</x:t>
  </x:si>
  <x:si>
    <x:t xml:space="preserve">Submission time</x:t>
  </x:si>
  <x:si>
    <x:t xml:space="preserve">Total attempts</x:t>
  </x:si>
  <x:si>
    <x:t xml:space="preserve">Incorrect</x:t>
  </x:si>
  <x:si>
    <x:t xml:space="preserve">Compile errors</x:t>
  </x:si>
  <x:si>
    <x:t xml:space="preserve">Simulation errors</x:t>
  </x:si>
  <x:si>
    <x:t xml:space="preserve">Success rate</x:t>
  </x:si>
  <x:si>
    <x:t xml:space="preserve">Problem note</x:t>
  </x:si>
  <x:si>
    <x:t xml:space="preserve">Screenshot</x:t>
  </x:si>
  <x:si>
    <x:t xml:space="preserve">Verilog solution</x:t>
  </x:si>
  <x:si>
    <x:t xml:space="preserve">HDLBits page</x:t>
  </x:si>
  <x:si>
    <x:t xml:space="preserve">What the problem asks</x:t>
  </x:si>
  <x:si>
    <x:t xml:space="preserve">What I learned</x:t>
  </x:si>
  <x:si>
    <x:t xml:space="preserve">SECTION · Getting Started</x:t>
  </x:si>
  <x:si>
    <x:t xml:space="preserve">SECTION · Verilog Language</x:t>
  </x:si>
  <x:si>
    <x:t xml:space="preserve">SUBSECTION · Basics</x:t>
  </x:si>
  <x:si>
    <x:t xml:space="preserve">Simple wire</x:t>
  </x:si>
  <x:si>
    <x:t xml:space="preserve">wire</x:t>
  </x:si>
  <x:si>
    <x:t xml:space="preserve">5:47:07 PM</x:t>
  </x:si>
  <x:si>
    <x:t xml:space="preserve">Connect the single input directly to the output so the module behaves exactly like a wire.</x:t>
  </x:si>
  <x:si>
    <x:t xml:space="preserve">Four wires</x:t>
  </x:si>
  <x:si>
    <x:t xml:space="preserve">wire4</x:t>
  </x:si>
  <x:si>
    <x:t xml:space="preserve">5:50:30 PM</x:t>
  </x:si>
  <x:si>
    <x:t xml:space="preserve">Create the requested one-to-one and fan-out wire connections between the named inputs and outputs.</x:t>
  </x:si>
  <x:si>
    <x:t xml:space="preserve">Inverter</x:t>
  </x:si>
  <x:si>
    <x:t xml:space="preserve">notgate</x:t>
  </x:si>
  <x:si>
    <x:t xml:space="preserve">5:52:19 PM</x:t>
  </x:si>
  <x:si>
    <x:t xml:space="preserve">Drive the output with the logical inverse of the input, implementing a NOT gate.</x:t>
  </x:si>
  <x:si>
    <x:t xml:space="preserve">AND gate</x:t>
  </x:si>
  <x:si>
    <x:t xml:space="preserve">andgate</x:t>
  </x:si>
  <x:si>
    <x:t xml:space="preserve">12:29:06 AM</x:t>
  </x:si>
  <x:si>
    <x:t xml:space="preserve">Produce an output that is high only when both input signals are high.</x:t>
  </x:si>
  <x:si>
    <x:t xml:space="preserve">NOR gate</x:t>
  </x:si>
  <x:si>
    <x:t xml:space="preserve">norgate</x:t>
  </x:si>
  <x:si>
    <x:t xml:space="preserve">12:32:05 AM</x:t>
  </x:si>
  <x:si>
    <x:t xml:space="preserve">Implement a NOR gate: OR the inputs and invert the result.</x:t>
  </x:si>
  <x:si>
    <x:t xml:space="preserve">XNOR gate</x:t>
  </x:si>
  <x:si>
    <x:t xml:space="preserve">xnorgate</x:t>
  </x:si>
  <x:si>
    <x:t xml:space="preserve">12:33:10 AM</x:t>
  </x:si>
  <x:si>
    <x:t xml:space="preserve">Implement an XNOR gate whose output is high when the two inputs have equal values.</x:t>
  </x:si>
  <x:si>
    <x:t xml:space="preserve">Declaring wires</x:t>
  </x:si>
  <x:si>
    <x:t xml:space="preserve">wire_decl</x:t>
  </x:si>
  <x:si>
    <x:t xml:space="preserve">12:35:55 AM</x:t>
  </x:si>
  <x:si>
    <x:t xml:space="preserve">Declare intermediate wires and connect the supplied gates so the module matches the shown circuit diagram.</x:t>
  </x:si>
  <x:si>
    <x:t xml:space="preserve">7458 chip</x:t>
  </x:si>
  <x:si>
    <x:t xml:space="preserve">7458</x:t>
  </x:si>
  <x:si>
    <x:t xml:space="preserve">6:15:38 PM</x:t>
  </x:si>
  <x:si>
    <x:t xml:space="preserve">Recreate the 7458-style sum-of-products circuit by combining several AND terms into two OR outputs.</x:t>
  </x:si>
  <x:si>
    <x:t xml:space="preserve">SUBSECTION · Vectors</x:t>
  </x:si>
  <x:si>
    <x:t xml:space="preserve">vector0</x:t>
  </x:si>
  <x:si>
    <x:t xml:space="preserve">6:24:20 PM</x:t>
  </x:si>
  <x:si>
    <x:t xml:space="preserve">Declare vector ports with the required widths and connect the complete input bus to the output bus.</x:t>
  </x:si>
  <x:si>
    <x:t xml:space="preserve">Vectors in more detail</x:t>
  </x:si>
  <x:si>
    <x:t xml:space="preserve">vector1</x:t>
  </x:si>
  <x:si>
    <x:t xml:space="preserve">9:45:09 PM</x:t>
  </x:si>
  <x:si>
    <x:t xml:space="preserve">Practice vector declarations, bit ordering, and selecting individual bits from buses with different index directions.</x:t>
  </x:si>
  <x:si>
    <x:t xml:space="preserve">Vector part select</x:t>
  </x:si>
  <x:si>
    <x:t xml:space="preserve">vector2</x:t>
  </x:si>
  <x:si>
    <x:t xml:space="preserve">9:56:38 PM</x:t>
  </x:si>
  <x:si>
    <x:t xml:space="preserve">Split a 16-bit input vector into its upper and lower 8-bit halves and route them to separate outputs.</x:t>
  </x:si>
  <x:si>
    <x:t xml:space="preserve">Bitwise operators</x:t>
  </x:si>
  <x:si>
    <x:t xml:space="preserve">vectorgates</x:t>
  </x:si>
  <x:si>
    <x:t xml:space="preserve">10:04:38 PM</x:t>
  </x:si>
  <x:si>
    <x:t xml:space="preserve">Apply bitwise OR, logical OR, and bitwise inversion to vectors so their different behaviours are visible.</x:t>
  </x:si>
  <x:si>
    <x:t xml:space="preserve">Four-input gates</x:t>
  </x:si>
  <x:si>
    <x:t xml:space="preserve">gates4</x:t>
  </x:si>
  <x:si>
    <x:t xml:space="preserve">10:24:24 PM</x:t>
  </x:si>
  <x:si>
    <x:t xml:space="preserve">Use reduction operators to compute one-bit AND, OR, and XOR results across all four input bits.</x:t>
  </x:si>
  <x:si>
    <x:t xml:space="preserve">Vector concatenation operator</x:t>
  </x:si>
  <x:si>
    <x:t xml:space="preserve">vector3</x:t>
  </x:si>
  <x:si>
    <x:t xml:space="preserve">10:56:44 PM</x:t>
  </x:si>
  <x:si>
    <x:t xml:space="preserve">Use concatenation to regroup the input vectors and assign the requested output vectors in the specified bit order.</x:t>
  </x:si>
  <x:si>
    <x:t xml:space="preserve">Vector reversal 1</x:t>
  </x:si>
  <x:si>
    <x:t xml:space="preserve">vectorr</x:t>
  </x:si>
  <x:si>
    <x:t xml:space="preserve">11:34:51 PM</x:t>
  </x:si>
  <x:si>
    <x:t xml:space="preserve">Reverse the bit order of the input vector so the most-significant and least-significant positions swap.</x:t>
  </x:si>
  <x:si>
    <x:t xml:space="preserve">Replication operator</x:t>
  </x:si>
  <x:si>
    <x:t xml:space="preserve">vector4</x:t>
  </x:si>
  <x:si>
    <x:t xml:space="preserve">11:49:31 PM</x:t>
  </x:si>
  <x:si>
    <x:t xml:space="preserve">Use the replication operator to repeat a bit pattern and form the required wider output vector.</x:t>
  </x:si>
  <x:si>
    <x:t xml:space="preserve">More replication</x:t>
  </x:si>
  <x:si>
    <x:t xml:space="preserve">vector5</x:t>
  </x:si>
  <x:si>
    <x:t xml:space="preserve">12:26:24 AM</x:t>
  </x:si>
  <x:si>
    <x:t xml:space="preserve">Combine replication and concatenation to build widened vectors and compare them bit by bit.</x:t>
  </x:si>
  <x:si>
    <x:t xml:space="preserve">SUBSECTION · Modules: Hierarchy</x:t>
  </x:si>
  <x:si>
    <x:t xml:space="preserve">Modules</x:t>
  </x:si>
  <x:si>
    <x:t xml:space="preserve">module</x:t>
  </x:si>
  <x:si>
    <x:t xml:space="preserve">1:24:31 PM</x:t>
  </x:si>
  <x:si>
    <x:t xml:space="preserve">Instantiate the provided submodule and connect its input and output ports to the top-level module.</x:t>
  </x:si>
  <x:si>
    <x:t xml:space="preserve">Connecting ports by position</x:t>
  </x:si>
  <x:si>
    <x:t xml:space="preserve">module_pos</x:t>
  </x:si>
  <x:si>
    <x:t xml:space="preserve">1:28:26 PM</x:t>
  </x:si>
  <x:si>
    <x:t xml:space="preserve">Instantiate a module and connect its ports by position, keeping the connection order exactly correct.</x:t>
  </x:si>
  <x:si>
    <x:t xml:space="preserve">Connecting ports by name</x:t>
  </x:si>
  <x:si>
    <x:t xml:space="preserve">module_name</x:t>
  </x:si>
  <x:si>
    <x:t xml:space="preserve">1:31:10 PM</x:t>
  </x:si>
  <x:si>
    <x:t xml:space="preserve">Instantiate a module and connect its ports by name so each signal is matched explicitly.</x:t>
  </x:si>
  <x:si>
    <x:t xml:space="preserve">Three modules</x:t>
  </x:si>
  <x:si>
    <x:t xml:space="preserve">module_shift</x:t>
  </x:si>
  <x:si>
    <x:t xml:space="preserve">1:37:32 PM</x:t>
  </x:si>
  <x:si>
    <x:t xml:space="preserve">Chain three copies of the provided module so each stage feeds the next stage.</x:t>
  </x:si>
  <x:si>
    <x:t xml:space="preserve">Modules and vectors</x:t>
  </x:si>
  <x:si>
    <x:t xml:space="preserve">module_shift8</x:t>
  </x:si>
  <x:si>
    <x:t xml:space="preserve">1:53:37 PM</x:t>
  </x:si>
  <x:si>
    <x:t xml:space="preserve">Instantiate the supplied 8-bit module and connect vector signals correctly through the hierarchy.</x:t>
  </x:si>
  <x:si>
    <x:t xml:space="preserve">Adder 1</x:t>
  </x:si>
  <x:si>
    <x:t xml:space="preserve">module_add</x:t>
  </x:si>
  <x:si>
    <x:t xml:space="preserve">2:03:55 PM</x:t>
  </x:si>
  <x:si>
    <x:t xml:space="preserve">Instantiate two 16-bit adders to create a 32-bit adder, propagating the carry between the lower and upper halves.</x:t>
  </x:si>
  <x:si>
    <x:t xml:space="preserve">Adder 2</x:t>
  </x:si>
  <x:si>
    <x:t xml:space="preserve">module_fadd</x:t>
  </x:si>
  <x:si>
    <x:t xml:space="preserve">2:44:10 PM</x:t>
  </x:si>
  <x:si>
    <x:t xml:space="preserve">Build a ripple-carry adder from full-adder instances and expose the carry produced by every bit position.</x:t>
  </x:si>
  <x:si>
    <x:t xml:space="preserve">Carry-select adder</x:t>
  </x:si>
  <x:si>
    <x:t xml:space="preserve">module_cseladd</x:t>
  </x:si>
  <x:si>
    <x:t xml:space="preserve">3:06:09 PM</x:t>
  </x:si>
  <x:si>
    <x:t xml:space="preserve">Build a carry-select adder by computing both possible upper sums and selecting the correct one using the lower carry.</x:t>
  </x:si>
  <x:si>
    <x:t xml:space="preserve">Adder-subtractor</x:t>
  </x:si>
  <x:si>
    <x:t xml:space="preserve">module_addsub</x:t>
  </x:si>
  <x:si>
    <x:t xml:space="preserve">3:21:30 PM</x:t>
  </x:si>
  <x:si>
    <x:t xml:space="preserve">Create an adder-subtractor by conditionally inverting one operand and using the mode signal as the initial carry-in.</x:t>
  </x:si>
  <x:si>
    <x:t xml:space="preserve">SUBSECTION · Procedures</x:t>
  </x:si>
  <x:si>
    <x:t xml:space="preserve">Always blocks (combinational)</x:t>
  </x:si>
  <x:si>
    <x:t xml:space="preserve">alwaysblock1</x:t>
  </x:si>
  <x:si>
    <x:t xml:space="preserve">3:23:21 PM</x:t>
  </x:si>
  <x:si>
    <x:t xml:space="preserve">Describe the same combinational logic with both a continuous assignment and an always block.</x:t>
  </x:si>
  <x:si>
    <x:t xml:space="preserve">Always blocks (clocked)</x:t>
  </x:si>
  <x:si>
    <x:t xml:space="preserve">alwaysblock2</x:t>
  </x:si>
  <x:si>
    <x:t xml:space="preserve">3:25:20 PM</x:t>
  </x:si>
  <x:si>
    <x:t xml:space="preserve">Describe clocked storage in an always block so the output captures the input on each active clock edge.</x:t>
  </x:si>
  <x:si>
    <x:t xml:space="preserve">If statement</x:t>
  </x:si>
  <x:si>
    <x:t xml:space="preserve">always_if</x:t>
  </x:si>
  <x:si>
    <x:t xml:space="preserve">3:30:54 PM</x:t>
  </x:si>
  <x:si>
    <x:t xml:space="preserve">Use an if/else statement in combinational logic to implement the requested multiplexer behaviour.</x:t>
  </x:si>
  <x:si>
    <x:t xml:space="preserve">If statement latches</x:t>
  </x:si>
  <x:si>
    <x:t xml:space="preserve">always_if2</x:t>
  </x:si>
  <x:si>
    <x:t xml:space="preserve">4:18:47 PM</x:t>
  </x:si>
  <x:si>
    <x:t xml:space="preserve">Correct an incomplete combinational if statement by assigning every output on every path and thereby avoiding latches.</x:t>
  </x:si>
  <x:si>
    <x:t xml:space="preserve">Case statement</x:t>
  </x:si>
  <x:si>
    <x:t xml:space="preserve">always_case</x:t>
  </x:si>
  <x:si>
    <x:t xml:space="preserve">4:22:44 PM</x:t>
  </x:si>
  <x:si>
    <x:t xml:space="preserve">Use a case statement to select one of several input values according to the selector.</x:t>
  </x:si>
  <x:si>
    <x:t xml:space="preserve">Priority encoder</x:t>
  </x:si>
  <x:si>
    <x:t xml:space="preserve">always_case2</x:t>
  </x:si>
  <x:si>
    <x:t xml:space="preserve">5:09:06 PM</x:t>
  </x:si>
  <x:si>
    <x:t xml:space="preserve">Implement a priority encoder whose output identifies the highest-priority asserted input bit.</x:t>
  </x:si>
  <x:si>
    <x:t xml:space="preserve">Priority encoder with casez</x:t>
  </x:si>
  <x:si>
    <x:t xml:space="preserve">always_casez</x:t>
  </x:si>
  <x:si>
    <x:t xml:space="preserve">5:44:37 PM</x:t>
  </x:si>
  <x:si>
    <x:t xml:space="preserve">Implement the priority encoder compactly with casez patterns and don't-care bits.</x:t>
  </x:si>
  <x:si>
    <x:t xml:space="preserve">Avoiding latches</x:t>
  </x:si>
  <x:si>
    <x:t xml:space="preserve">always_nolatches</x:t>
  </x:si>
  <x:si>
    <x:t xml:space="preserve">6:00:14 PM</x:t>
  </x:si>
  <x:si>
    <x:t xml:space="preserve">Complete the combinational case logic with safe defaults so no output retains an old value or infers a latch.</x:t>
  </x:si>
  <x:si>
    <x:t xml:space="preserve">SUBSECTION · More Verilog Features</x:t>
  </x:si>
  <x:si>
    <x:t xml:space="preserve">Conditional ternary operator</x:t>
  </x:si>
  <x:si>
    <x:t xml:space="preserve">conditional</x:t>
  </x:si>
  <x:si>
    <x:t xml:space="preserve">6:09:15 PM</x:t>
  </x:si>
  <x:si>
    <x:t xml:space="preserve">Use nested ternary operators to select the smallest unsigned value from several inputs.</x:t>
  </x:si>
  <x:si>
    <x:t xml:space="preserve">Reduction operators</x:t>
  </x:si>
  <x:si>
    <x:t xml:space="preserve">reduction</x:t>
  </x:si>
  <x:si>
    <x:t xml:space="preserve">6:14:36 PM</x:t>
  </x:si>
  <x:si>
    <x:t xml:space="preserve">Compare bitwise and reduction operators by producing per-bit results and single-bit reductions from two vectors.</x:t>
  </x:si>
  <x:si>
    <x:t xml:space="preserve">Reduction: Even wider gates</x:t>
  </x:si>
  <x:si>
    <x:t xml:space="preserve">gates100</x:t>
  </x:si>
  <x:si>
    <x:t xml:space="preserve">6:17:42 PM</x:t>
  </x:si>
  <x:si>
    <x:t xml:space="preserve">Apply reduction operators across a 100-bit vector to implement very wide AND, OR, and XOR gates.</x:t>
  </x:si>
  <x:si>
    <x:t xml:space="preserve">Combinational for-loop: Vector reversal 2</x:t>
  </x:si>
  <x:si>
    <x:t xml:space="preserve">vector100r</x:t>
  </x:si>
  <x:si>
    <x:t xml:space="preserve">6:22:35 PM</x:t>
  </x:si>
  <x:si>
    <x:t xml:space="preserve">Use a combinational for loop to reverse all 100 bits of a vector.</x:t>
  </x:si>
  <x:si>
    <x:t xml:space="preserve">Combinational for-loop: 255-bit population count</x:t>
  </x:si>
  <x:si>
    <x:t xml:space="preserve">popcount255</x:t>
  </x:si>
  <x:si>
    <x:t xml:space="preserve">6:39:46 PM</x:t>
  </x:si>
  <x:si>
    <x:t xml:space="preserve">Count how many bits are high in a 255-bit input vector using combinational accumulation.</x:t>
  </x:si>
  <x:si>
    <x:t xml:space="preserve">Generate for-loop: 100-bit binary adder 2</x:t>
  </x:si>
  <x:si>
    <x:t xml:space="preserve">adder100i</x:t>
  </x:si>
  <x:si>
    <x:t xml:space="preserve">10:43:46 PM</x:t>
  </x:si>
  <x:si>
    <x:t xml:space="preserve">Generate a 100-bit ripple-carry adder and return both the sum and the carry from every bit stage.</x:t>
  </x:si>
  <x:si>
    <x:t xml:space="preserve">Generate for-loop: 100-digit BCD adder</x:t>
  </x:si>
  <x:si>
    <x:t xml:space="preserve">bcdadd100</x:t>
  </x:si>
  <x:si>
    <x:t xml:space="preserve">12:00:14 AM</x:t>
  </x:si>
  <x:si>
    <x:t xml:space="preserve">Chain 100 one-digit BCD adders to add two 100-digit decimal numbers with carry propagation.</x:t>
  </x:si>
  <x:si>
    <x:t xml:space="preserve">SECTION · Circuits</x:t>
  </x:si>
  <x:si>
    <x:t xml:space="preserve">SUBSECTION · Combinational Logic → Basic Gates</x:t>
  </x:si>
  <x:si>
    <x:t xml:space="preserve">Wire</x:t>
  </x:si>
  <x:si>
    <x:t xml:space="preserve">exams/m2014_q4h</x:t>
  </x:si>
  <x:si>
    <x:t xml:space="preserve">11:31:58 PM</x:t>
  </x:si>
  <x:si>
    <x:t xml:space="preserve">Implement the shown circuit's output as a direct wire connection.</x:t>
  </x:si>
  <x:si>
    <x:t xml:space="preserve">GND</x:t>
  </x:si>
  <x:si>
    <x:t xml:space="preserve">exams/m2014_q4i</x:t>
  </x:si>
  <x:si>
    <x:t xml:space="preserve">11:32:26 PM</x:t>
  </x:si>
  <x:si>
    <x:t xml:space="preserve">Tie the requested output permanently low to represent ground.</x:t>
  </x:si>
  <x:si>
    <x:t xml:space="preserve">NOR</x:t>
  </x:si>
  <x:si>
    <x:t xml:space="preserve">exams/m2014_q4e</x:t>
  </x:si>
  <x:si>
    <x:t xml:space="preserve">11:33:43 PM</x:t>
  </x:si>
  <x:si>
    <x:t xml:space="preserve">Translate the shown gate symbol into the equivalent NOR logic expression.</x:t>
  </x:si>
  <x:si>
    <x:t xml:space="preserve">Another gate</x:t>
  </x:si>
  <x:si>
    <x:t xml:space="preserve">exams/m2014_q4f</x:t>
  </x:si>
  <x:si>
    <x:t xml:space="preserve">11:33:25 PM</x:t>
  </x:si>
  <x:si>
    <x:t xml:space="preserve">Identify the function of the shown gate circuit and express it correctly in Verilog.</x:t>
  </x:si>
  <x:si>
    <x:t xml:space="preserve">Two gates</x:t>
  </x:si>
  <x:si>
    <x:t xml:space="preserve">exams/m2014_q4g</x:t>
  </x:si>
  <x:si>
    <x:t xml:space="preserve">11:58:42 PM</x:t>
  </x:si>
  <x:si>
    <x:t xml:space="preserve">Translate the two-gate schematic into a single correct combinational output expression.</x:t>
  </x:si>
  <x:si>
    <x:t xml:space="preserve">More logic gates</x:t>
  </x:si>
  <x:si>
    <x:t xml:space="preserve">gates</x:t>
  </x:si>
  <x:si>
    <x:t xml:space="preserve">12:04:10 AM</x:t>
  </x:si>
  <x:si>
    <x:t xml:space="preserve">Implement several basic gates at once, including bitwise outputs and their logical complements.</x:t>
  </x:si>
  <x:si>
    <x:t xml:space="preserve">7420 chip</x:t>
  </x:si>
  <x:si>
    <x:t xml:space="preserve">7420</x:t>
  </x:si>
  <x:si>
    <x:t xml:space="preserve">12:05:55 AM</x:t>
  </x:si>
  <x:si>
    <x:t xml:space="preserve">Model a 7420 chip containing two independent four-input NAND gates.</x:t>
  </x:si>
  <x:si>
    <x:t xml:space="preserve">Truth tables</x:t>
  </x:si>
  <x:si>
    <x:t xml:space="preserve">truthtable1</x:t>
  </x:si>
  <x:si>
    <x:t xml:space="preserve">12:12:33 AM</x:t>
  </x:si>
  <x:si>
    <x:t xml:space="preserve">Convert the supplied truth table into combinational Verilog that produces the specified output for every input combination.</x:t>
  </x:si>
  <x:si>
    <x:t xml:space="preserve">Two-bit equality</x:t>
  </x:si>
  <x:si>
    <x:t xml:space="preserve">mt2015_eq2</x:t>
  </x:si>
  <x:si>
    <x:t xml:space="preserve">12:14:30 AM</x:t>
  </x:si>
  <x:si>
    <x:t xml:space="preserve">Compare two 2-bit inputs and assert the output only when both vectors are equal.</x:t>
  </x:si>
  <x:si>
    <x:t xml:space="preserve">Simple circuit A</x:t>
  </x:si>
  <x:si>
    <x:t xml:space="preserve">mt2015_q4a</x:t>
  </x:si>
  <x:si>
    <x:t xml:space="preserve">12:15:29 AM</x:t>
  </x:si>
  <x:si>
    <x:t xml:space="preserve">Implement the first small combinational circuit exactly as shown in the diagram.</x:t>
  </x:si>
  <x:si>
    <x:t xml:space="preserve">Simple circuit B</x:t>
  </x:si>
  <x:si>
    <x:t xml:space="preserve">mt2015_q4b</x:t>
  </x:si>
  <x:si>
    <x:t xml:space="preserve">12:16:24 AM</x:t>
  </x:si>
  <x:si>
    <x:t xml:space="preserve">Implement the second small combinational circuit exactly as shown in the diagram.</x:t>
  </x:si>
  <x:si>
    <x:t xml:space="preserve">Combine circuits A and B</x:t>
  </x:si>
  <x:si>
    <x:t xml:space="preserve">mt2015_q4</x:t>
  </x:si>
  <x:si>
    <x:t xml:space="preserve">12:33:06 AM</x:t>
  </x:si>
  <x:si>
    <x:t xml:space="preserve">Instantiate or combine circuits A and B so they operate together with the requested top-level connections.</x:t>
  </x:si>
  <x:si>
    <x:t xml:space="preserve">Ring or vibrate?</x:t>
  </x:si>
  <x:si>
    <x:t xml:space="preserve">ringer</x:t>
  </x:si>
  <x:si>
    <x:t xml:space="preserve">12:48:24 AM</x:t>
  </x:si>
  <x:si>
    <x:t xml:space="preserve">Choose whether a phone should ring or vibrate from the incoming-call and silent-mode control signals.</x:t>
  </x:si>
  <x:si>
    <x:t xml:space="preserve">Thermostat</x:t>
  </x:si>
  <x:si>
    <x:t xml:space="preserve">thermostat</x:t>
  </x:si>
  <x:si>
    <x:t xml:space="preserve">4:47:58 PM</x:t>
  </x:si>
  <x:si>
    <x:t xml:space="preserve">Implement the thermostat's heater, air-conditioner, and fan control rules from the temperature and mode inputs.</x:t>
  </x:si>
  <x:si>
    <x:t xml:space="preserve">3-bit population count</x:t>
  </x:si>
  <x:si>
    <x:t xml:space="preserve">popcount3</x:t>
  </x:si>
  <x:si>
    <x:t xml:space="preserve">12:58:42 AM</x:t>
  </x:si>
  <x:si>
    <x:t xml:space="preserve">Count the number of asserted bits in a 3-bit input and return that count as a binary value.</x:t>
  </x:si>
  <x:si>
    <x:t xml:space="preserve">Gates and vectors</x:t>
  </x:si>
  <x:si>
    <x:t xml:space="preserve">gatesv</x:t>
  </x:si>
  <x:si>
    <x:t xml:space="preserve">9:45:17 PM</x:t>
  </x:si>
  <x:si>
    <x:t xml:space="preserve">For two vectors, compute bitwise gate results and also indicate whether the vectors differ at any or every position.</x:t>
  </x:si>
  <x:si>
    <x:t xml:space="preserve">Even longer vectors</x:t>
  </x:si>
  <x:si>
    <x:t xml:space="preserve">gatesv100</x:t>
  </x:si>
  <x:si>
    <x:t xml:space="preserve">10:13:17 PM</x:t>
  </x:si>
  <x:si>
    <x:t xml:space="preserve">Extend the vector-gate comparison to 100-bit inputs, including per-bit outputs and wide reduction results.</x:t>
  </x:si>
  <x:si>
    <x:t xml:space="preserve">SUBSECTION · Combinational Logic → Multiplexers</x:t>
  </x:si>
  <x:si>
    <x:t xml:space="preserve">2-to-1 multiplexer</x:t>
  </x:si>
  <x:si>
    <x:t xml:space="preserve">mux2to1</x:t>
  </x:si>
  <x:si>
    <x:t xml:space="preserve">1:06:47 AM</x:t>
  </x:si>
  <x:si>
    <x:t xml:space="preserve">Implement a one-bit 2-to-1 multiplexer that selects one input according to the select signal.</x:t>
  </x:si>
  <x:si>
    <x:t xml:space="preserve">2-to-1 bus multiplexer</x:t>
  </x:si>
  <x:si>
    <x:t xml:space="preserve">mux2to1v</x:t>
  </x:si>
  <x:si>
    <x:t xml:space="preserve">1:07:52 AM</x:t>
  </x:si>
  <x:si>
    <x:t xml:space="preserve">Implement a 2-to-1 multiplexer that selects an entire vector rather than a single bit.</x:t>
  </x:si>
  <x:si>
    <x:t xml:space="preserve">9-to-1 multiplexer</x:t>
  </x:si>
  <x:si>
    <x:t xml:space="preserve">mux9to1v</x:t>
  </x:si>
  <x:si>
    <x:t xml:space="preserve">2:44:03 PM</x:t>
  </x:si>
  <x:si>
    <x:t xml:space="preserve">Select one of nine 16-bit inputs; produce the required default value when the selector is outside the valid range.</x:t>
  </x:si>
  <x:si>
    <x:t xml:space="preserve">256-to-1 multiplexer</x:t>
  </x:si>
  <x:si>
    <x:t xml:space="preserve">mux256to1</x:t>
  </x:si>
  <x:si>
    <x:t xml:space="preserve">2:42:55 PM</x:t>
  </x:si>
  <x:si>
    <x:t xml:space="preserve">Select one bit from a 256-bit input vector using an 8-bit selector as the index.</x:t>
  </x:si>
  <x:si>
    <x:t xml:space="preserve">256-to-1 4-bit multiplexer</x:t>
  </x:si>
  <x:si>
    <x:t xml:space="preserve">mux256to1v</x:t>
  </x:si>
  <x:si>
    <x:t xml:space="preserve">2:46:53 PM</x:t>
  </x:si>
  <x:si>
    <x:t xml:space="preserve">Select one 4-bit word from 256 packed words by calculating the correct vector slice from the selector.</x:t>
  </x:si>
  <x:si>
    <x:t xml:space="preserve">SUBSECTION · Combinational Logic → Arithmetic Circuits</x:t>
  </x:si>
  <x:si>
    <x:t xml:space="preserve">Half adder</x:t>
  </x:si>
  <x:si>
    <x:t xml:space="preserve">hadd</x:t>
  </x:si>
  <x:si>
    <x:t xml:space="preserve">3:25:33 PM</x:t>
  </x:si>
  <x:si>
    <x:t xml:space="preserve">Implement a half adder that produces a one-bit sum and carry from two input bits.</x:t>
  </x:si>
  <x:si>
    <x:t xml:space="preserve">Full adder</x:t>
  </x:si>
  <x:si>
    <x:t xml:space="preserve">fadd</x:t>
  </x:si>
  <x:si>
    <x:t xml:space="preserve">10:21:26 PM</x:t>
  </x:si>
  <x:si>
    <x:t xml:space="preserve">Implement a full adder that includes carry-in and produces both sum and carry-out.</x:t>
  </x:si>
  <x:si>
    <x:t xml:space="preserve">3-bit binary adder</x:t>
  </x:si>
  <x:si>
    <x:t xml:space="preserve">adder3</x:t>
  </x:si>
  <x:si>
    <x:t xml:space="preserve">3:24:38 PM</x:t>
  </x:si>
  <x:si>
    <x:t xml:space="preserve">Chain three full adders to add two 3-bit numbers and expose the intermediate carry signals.</x:t>
  </x:si>
  <x:si>
    <x:t xml:space="preserve">Adder</x:t>
  </x:si>
  <x:si>
    <x:t xml:space="preserve">exams/m2014_q4j</x:t>
  </x:si>
  <x:si>
    <x:t xml:space="preserve">3:20:07 PM</x:t>
  </x:si>
  <x:si>
    <x:t xml:space="preserve">Implement the adder circuit shown in the exam diagram with the requested sum and carry behaviour.</x:t>
  </x:si>
  <x:si>
    <x:t xml:space="preserve">Signed addition overflow</x:t>
  </x:si>
  <x:si>
    <x:t xml:space="preserve">exams/ece241_2014_q1c</x:t>
  </x:si>
  <x:si>
    <x:t xml:space="preserve">5:28:33 PM</x:t>
  </x:si>
  <x:si>
    <x:t xml:space="preserve">Add two signed values and assert overflow when the mathematical result cannot fit in the signed output width.</x:t>
  </x:si>
  <x:si>
    <x:t xml:space="preserve">100-bit binary adder</x:t>
  </x:si>
  <x:si>
    <x:t xml:space="preserve">adder100</x:t>
  </x:si>
  <x:si>
    <x:t xml:space="preserve">5:26:53 PM</x:t>
  </x:si>
  <x:si>
    <x:t xml:space="preserve">Implement a 100-bit combinational adder and return the final carry-out together with the sum.</x:t>
  </x:si>
  <x:si>
    <x:t xml:space="preserve">4-digit BCD adder</x:t>
  </x:si>
  <x:si>
    <x:t xml:space="preserve">bcdadd4</x:t>
  </x:si>
  <x:si>
    <x:t xml:space="preserve">5:16:55 PM</x:t>
  </x:si>
  <x:si>
    <x:t xml:space="preserve">Chain four BCD full adders to add two four-digit decimal values and propagate decimal carry between digits.</x:t>
  </x:si>
  <x:si>
    <x:t xml:space="preserve">SUBSECTION · Combinational Logic → Karnaugh Map to Circuit</x:t>
  </x:si>
  <x:si>
    <x:t xml:space="preserve">3-variable</x:t>
  </x:si>
  <x:si>
    <x:t xml:space="preserve">kmap1</x:t>
  </x:si>
  <x:si>
    <x:t xml:space="preserve">5:31:33 PM</x:t>
  </x:si>
  <x:si>
    <x:t xml:space="preserve">Derive and implement the simplified logic function represented by the supplied 3-variable Karnaugh map.</x:t>
  </x:si>
  <x:si>
    <x:t xml:space="preserve">4-variable</x:t>
  </x:si>
  <x:si>
    <x:t xml:space="preserve">kmap2</x:t>
  </x:si>
  <x:si>
    <x:t xml:space="preserve">5:35:18 PM</x:t>
  </x:si>
  <x:si>
    <x:t xml:space="preserve">Derive a minimal combinational expression from the supplied 4-variable Karnaugh map.</x:t>
  </x:si>
  <x:si>
    <x:t xml:space="preserve">kmap3</x:t>
  </x:si>
  <x:si>
    <x:t xml:space="preserve">3:39:22 PM</x:t>
  </x:si>
  <x:si>
    <x:t xml:space="preserve">Implement the 4-variable Karnaugh-map function while using the indicated don't-care cells for simplification.</x:t>
  </x:si>
  <x:si>
    <x:t xml:space="preserve">kmap4</x:t>
  </x:si>
  <x:si>
    <x:t xml:space="preserve">3:49:07 PM</x:t>
  </x:si>
  <x:si>
    <x:t xml:space="preserve">Translate the supplied 4-variable Karnaugh map into a correct simplified Verilog expression.</x:t>
  </x:si>
  <x:si>
    <x:t xml:space="preserve">Minimum SOP and POS</x:t>
  </x:si>
  <x:si>
    <x:t xml:space="preserve">exams/ece241_2013_q2</x:t>
  </x:si>
  <x:si>
    <x:t xml:space="preserve">6:04:35 PM</x:t>
  </x:si>
  <x:si>
    <x:t xml:space="preserve">Implement both the minimum sum-of-products and minimum product-of-sums forms for the given logic function.</x:t>
  </x:si>
  <x:si>
    <x:t xml:space="preserve">Karnaugh map</x:t>
  </x:si>
  <x:si>
    <x:t xml:space="preserve">exams/m2014_q3</x:t>
  </x:si>
  <x:si>
    <x:t xml:space="preserve">5:39:50 PM</x:t>
  </x:si>
  <x:si>
    <x:t xml:space="preserve">Simplify the exam Karnaugh map and implement the resulting combinational output.</x:t>
  </x:si>
  <x:si>
    <x:t xml:space="preserve">exams/2012_q1g</x:t>
  </x:si>
  <x:si>
    <x:t xml:space="preserve">10:17:24 PM</x:t>
  </x:si>
  <x:si>
    <x:t xml:space="preserve">Convert the supplied Karnaugh map, including any don't-care conditions, into simplified logic.</x:t>
  </x:si>
  <x:si>
    <x:t xml:space="preserve">K-map implemented with a multiplexer</x:t>
  </x:si>
  <x:si>
    <x:t xml:space="preserve">exams/ece241_2014_q3</x:t>
  </x:si>
  <x:si>
    <x:t xml:space="preserve">10:07:59 PM</x:t>
  </x:si>
  <x:si>
    <x:t xml:space="preserve">Implement the Karnaugh-map function using the specified multiplexer structure and input assignments.</x:t>
  </x:si>
  <x:si>
    <x:t xml:space="preserve">SUBSECTION · Sequential Logic → Latches and Flip-Flops</x:t>
  </x:si>
  <x:si>
    <x:t xml:space="preserve">D flip-flop</x:t>
  </x:si>
  <x:si>
    <x:t xml:space="preserve">dff</x:t>
  </x:si>
  <x:si>
    <x:t xml:space="preserve">10:21:47 PM</x:t>
  </x:si>
  <x:si>
    <x:t xml:space="preserve">Create a positive-edge-triggered D flip-flop that stores the input value on each rising clock edge.</x:t>
  </x:si>
  <x:si>
    <x:t xml:space="preserve">D flip-flops</x:t>
  </x:si>
  <x:si>
    <x:t xml:space="preserve">dff8</x:t>
  </x:si>
  <x:si>
    <x:t xml:space="preserve">10:22:47 PM</x:t>
  </x:si>
  <x:si>
    <x:t xml:space="preserve">Create eight D flip-flops in parallel so an entire 8-bit vector is registered on the rising clock edge.</x:t>
  </x:si>
  <x:si>
    <x:t xml:space="preserve">DFF with reset</x:t>
  </x:si>
  <x:si>
    <x:t xml:space="preserve">dff8r</x:t>
  </x:si>
  <x:si>
    <x:t xml:space="preserve">10:25:54 PM</x:t>
  </x:si>
  <x:si>
    <x:t xml:space="preserve">Add a synchronous reset to an 8-bit register so reset is sampled on the active clock edge.</x:t>
  </x:si>
  <x:si>
    <x:t xml:space="preserve">DFF with reset value</x:t>
  </x:si>
  <x:si>
    <x:t xml:space="preserve">dff8p</x:t>
  </x:si>
  <x:si>
    <x:t xml:space="preserve">10:28:00 PM</x:t>
  </x:si>
  <x:si>
    <x:t xml:space="preserve">Create an 8-bit register whose synchronous reset loads the specified non-zero reset value.</x:t>
  </x:si>
  <x:si>
    <x:t xml:space="preserve">DFF with asynchronous reset</x:t>
  </x:si>
  <x:si>
    <x:t xml:space="preserve">dff8ar</x:t>
  </x:si>
  <x:si>
    <x:t xml:space="preserve">10:29:11 PM</x:t>
  </x:si>
  <x:si>
    <x:t xml:space="preserve">Create an 8-bit register with asynchronous reset, allowing reset to change the output without waiting for a clock edge.</x:t>
  </x:si>
  <x:si>
    <x:t xml:space="preserve">DFF with byte enable</x:t>
  </x:si>
  <x:si>
    <x:t xml:space="preserve">dff16e</x:t>
  </x:si>
  <x:si>
    <x:t xml:space="preserve">10:53:33 PM</x:t>
  </x:si>
  <x:si>
    <x:t xml:space="preserve">Build a 16-bit register with synchronous reset and independent byte-enable controls for its upper and lower bytes.</x:t>
  </x:si>
  <x:si>
    <x:t xml:space="preserve">D Latch</x:t>
  </x:si>
  <x:si>
    <x:t xml:space="preserve">exams/m2014_q4a</x:t>
  </x:si>
  <x:si>
    <x:t xml:space="preserve">11:13:53 PM</x:t>
  </x:si>
  <x:si>
    <x:t xml:space="preserve">Model the level-sensitive D latch shown in the exam circuit.</x:t>
  </x:si>
  <x:si>
    <x:t xml:space="preserve">DFF</x:t>
  </x:si>
  <x:si>
    <x:t xml:space="preserve">exams/m2014_q4b</x:t>
  </x:si>
  <x:si>
    <x:t xml:space="preserve">10:43:06 PM</x:t>
  </x:si>
  <x:si>
    <x:t xml:space="preserve">Model the positive-edge-triggered D flip-flop shown in the exam circuit.</x:t>
  </x:si>
  <x:si>
    <x:t xml:space="preserve">exams/m2014_q4c</x:t>
  </x:si>
  <x:si>
    <x:t xml:space="preserve">10:56:24 PM</x:t>
  </x:si>
  <x:si>
    <x:t xml:space="preserve">Model the specified D flip-flop behaviour and its control connection from the diagram.</x:t>
  </x:si>
  <x:si>
    <x:t xml:space="preserve">DFF+gate</x:t>
  </x:si>
  <x:si>
    <x:t xml:space="preserve">exams/m2014_q4d</x:t>
  </x:si>
  <x:si>
    <x:t xml:space="preserve">11:16:12 PM</x:t>
  </x:si>
  <x:si>
    <x:t xml:space="preserve">Implement the shown combination of a D flip-flop and combinational gate.</x:t>
  </x:si>
  <x:si>
    <x:t xml:space="preserve">Mux and DFF</x:t>
  </x:si>
  <x:si>
    <x:t xml:space="preserve">mt2015_muxdff</x:t>
  </x:si>
  <x:si>
    <x:t xml:space="preserve">12:09:54 AM</x:t>
  </x:si>
  <x:si>
    <x:t xml:space="preserve">Implement the circuit in which a multiplexer chooses the value captured by a D flip-flop.</x:t>
  </x:si>
  <x:si>
    <x:t xml:space="preserve">exams/2014_q4a</x:t>
  </x:si>
  <x:si>
    <x:t xml:space="preserve">12:25:46 AM</x:t>
  </x:si>
  <x:si>
    <x:t xml:space="preserve">Translate the exam's multiplexer-and-DFF schematic into equivalent sequential Verilog.</x:t>
  </x:si>
  <x:si>
    <x:t xml:space="preserve">DFFs and gates</x:t>
  </x:si>
  <x:si>
    <x:t xml:space="preserve">exams/ece241_2014_q4</x:t>
  </x:si>
  <x:si>
    <x:t xml:space="preserve">12:00:31 AM</x:t>
  </x:si>
  <x:si>
    <x:t xml:space="preserve">Implement the shown network of D flip-flops and logic gates with the correct cycle-to-cycle behaviour.</x:t>
  </x:si>
  <x:si>
    <x:t xml:space="preserve">Create circuit from truth table</x:t>
  </x:si>
  <x:si>
    <x:t xml:space="preserve">exams/ece241_2013_q7</x:t>
  </x:si>
  <x:si>
    <x:t xml:space="preserve">2:12:29 PM</x:t>
  </x:si>
  <x:si>
    <x:t xml:space="preserve">Build the sequential circuit described by the state/output truth table, including its registered state.</x:t>
  </x:si>
  <x:si>
    <x:t xml:space="preserve">Detect an edge</x:t>
  </x:si>
  <x:si>
    <x:t xml:space="preserve">edgedetect</x:t>
  </x:si>
  <x:si>
    <x:t xml:space="preserve">2:28:20 PM</x:t>
  </x:si>
  <x:si>
    <x:t xml:space="preserve">Generate a one-cycle pulse whenever each input bit makes a 0-to-1 transition.</x:t>
  </x:si>
  <x:si>
    <x:t xml:space="preserve">Detect both edges</x:t>
  </x:si>
  <x:si>
    <x:t xml:space="preserve">edgedetect2</x:t>
  </x:si>
  <x:si>
    <x:t xml:space="preserve">2:31:22 PM</x:t>
  </x:si>
  <x:si>
    <x:t xml:space="preserve">Generate a one-cycle pulse whenever each input bit changes in either direction.</x:t>
  </x:si>
  <x:si>
    <x:t xml:space="preserve">Edge capture register</x:t>
  </x:si>
  <x:si>
    <x:t xml:space="preserve">edgecapture</x:t>
  </x:si>
  <x:si>
    <x:t xml:space="preserve">2:50:42 PM</x:t>
  </x:si>
  <x:si>
    <x:t xml:space="preserve">Set a register bit when a falling edge occurs and keep it set until a synchronous reset clears it.</x:t>
  </x:si>
  <x:si>
    <x:t xml:space="preserve">Dual-edge triggered flip-flop</x:t>
  </x:si>
  <x:si>
    <x:t xml:space="preserve">dualedge</x:t>
  </x:si>
  <x:si>
    <x:t xml:space="preserve">3:07:56 PM</x:t>
  </x:si>
  <x:si>
    <x:t xml:space="preserve">Emulate dual-edge-triggered storage using logic that captures data on both rising and falling clock edges.</x:t>
  </x:si>
  <x:si>
    <x:t xml:space="preserve">SUBSECTION · Sequential Logic → Counters</x:t>
  </x:si>
  <x:si>
    <x:t xml:space="preserve">Four-bit binary counter</x:t>
  </x:si>
  <x:si>
    <x:t xml:space="preserve">count15</x:t>
  </x:si>
  <x:si>
    <x:t xml:space="preserve">1:01:36 AM</x:t>
  </x:si>
  <x:si>
    <x:t xml:space="preserve">Implement a 4-bit binary counter with synchronous reset that naturally wraps after 15.</x:t>
  </x:si>
  <x:si>
    <x:t xml:space="preserve">Decade counter</x:t>
  </x:si>
  <x:si>
    <x:t xml:space="preserve">count10</x:t>
  </x:si>
  <x:si>
    <x:t xml:space="preserve">1:12:51 AM</x:t>
  </x:si>
  <x:si>
    <x:t xml:space="preserve">Implement a decade counter that counts from 0 through 9 and then wraps to 0.</x:t>
  </x:si>
  <x:si>
    <x:t xml:space="preserve">Decade counter again</x:t>
  </x:si>
  <x:si>
    <x:t xml:space="preserve">count1to10</x:t>
  </x:si>
  <x:si>
    <x:t xml:space="preserve">1:21:20 AM</x:t>
  </x:si>
  <x:si>
    <x:t xml:space="preserve">Implement the specified 1-to-10 decade count sequence with the required reset and enable behaviour.</x:t>
  </x:si>
  <x:si>
    <x:t xml:space="preserve">Slow decade counter</x:t>
  </x:si>
  <x:si>
    <x:t xml:space="preserve">countslow</x:t>
  </x:si>
  <x:si>
    <x:t xml:space="preserve">1:31:52 AM</x:t>
  </x:si>
  <x:si>
    <x:t xml:space="preserve">Create a decade counter that advances only when the slow-enable input is asserted.</x:t>
  </x:si>
  <x:si>
    <x:t xml:space="preserve">Counter 1-12</x:t>
  </x:si>
  <x:si>
    <x:t xml:space="preserve">exams/ece241_2014_q7a</x:t>
  </x:si>
  <x:si>
    <x:t xml:space="preserve">This problem does not ask for a new counter datapath. HDLBits supplies a four-bit counter and asks for the control signals that make it behave as a synchronous 1-through-12 counter. The datapath always loads the constant 1, so `c_d = 4'd1`. Its enable input follows the external enable, while its load input is asserted for either reset or the enabled rollover condition at Q=12.
Load has higher priority than enable inside the supplied `count4`. Therefore, when Q is 12 and enable is high, the same rising edge loads 1 instead of incrementing to 13. When Q is 12 and enable is low, neither load nor counting occurs, so the counter correctly holds 12. Reset forces `c_load` high independently of enable and synchronously loads 1 at the next rising edge.
**Control trace:** reset=1 loads 1; Q=7 with enable=1 advances to 8; Q=12 with enable=1 loads 1; Q=12 with enable=0 remains 12. A common error is making rollover depend only on Q=12, which would reload continuously even while the counter is disabled.</x:t>
  </x:si>
  <x:si>
    <x:t xml:space="preserve">Counter 1000</x:t>
  </x:si>
  <x:si>
    <x:t xml:space="preserve">exams/ece241_2014_q7b</x:t>
  </x:si>
  <x:si>
    <x:t xml:space="preserve">The 1000 Hz input is divided by cascading three synchronous decade counters. Every counter receives the same clock; the hierarchy is created entirely with enable pulses, so this is a synchronous design rather than a ripple-clock chain.
The least-significant decade runs every cycle, making `c_enable[0]=1`. The middle decade advances only while the least-significant digit is 9, and the most-significant decade advances only while both lower digits are 9. On the 999th terminal state all three enable conditions are active. The next rising edge rolls the digits to 000, so the terminal decode `msb==9 &amp;&amp; middle==9 &amp;&amp; lsb==9` is high for exactly one 1000 Hz cycle before that edge.
That one-cycle terminal decode is the requested `OneHertz` pulse. It repeats every 1000 input cycles, or once per second. The important design rule is that carry enables are combinational functions of the pre-edge digit values; registering them would delay the carry and corrupt the decimal sequence.</x:t>
  </x:si>
  <x:si>
    <x:t xml:space="preserve">4-digit decimal counter</x:t>
  </x:si>
  <x:si>
    <x:t xml:space="preserve">countbcd</x:t>
  </x:si>
  <x:si>
    <x:t xml:space="preserve">This is a four-digit synchronous BCD counter. Each four-bit digit stores only 0 through 9, and every digit is clocked by the same rising edge. The ones digit advances on every enabled cycle of the overall design. Each higher digit advances only when every less-significant digit is currently 9.
The enable outputs expose those carry conditions: `ena[1]` is high at x9, `ena[2]` at x99, and `ena[3]` at x999. Because nonblocking assignments evaluate their right-hand sides from the old state, the same edge that changes 0099 to 0100 sees both lower digits at 9, clears them, and increments the hundreds digit.
The output concatenation `{digit3,digit2,digit1,digit0}` places the thousands nibble in q[15:12] and the ones nibble in q[3:0]. Reset is synchronous and clears all four digits together. The key pitfall is checking an already-updated lower digit; synchronous carry must be derived from the values present immediately before the active edge.</x:t>
  </x:si>
  <x:si>
    <x:t xml:space="preserve">12-hour clock</x:t>
  </x:si>
  <x:si>
    <x:t xml:space="preserve">count_clock</x:t>
  </x:si>
  <x:si>
    <x:t xml:space="preserve">The clock contains six BCD digits plus one AM/PM state bit. The outer enable gates the entire time update, while synchronous reset has priority and loads the required 12:00:00 AM state. If enable is low, every register retains its previous value.
Seconds normally increment their ones nibble. At x9, the ones nibble clears and the tens nibble increments; at 59, the complete seconds byte clears and the same edge advances minutes. Minutes use the identical BCD rollover pattern. Only when both seconds and minutes are 59 does the hour update.
Hours require a non-decimal sequence: 01 through 12. The 09-to-10 transition uses the BCD nibble carry, 11 advances to 12 and toggles PM, and 12 rolls to 01 without toggling PM. This places the AM/PM transition at 11:59:59 to 12:00:00, not at 12:59:59 to 01:00:00.
All state changes use nonblocking assignments in one clocked process, so each decision observes the same pre-edge time. That property lets the nested terminal-count tests propagate a one-cycle carry from seconds through minutes into hours without generating derived clocks.</x:t>
  </x:si>
  <x:si>
    <x:t xml:space="preserve">SUBSECTION · Sequential Logic → Shift Registers</x:t>
  </x:si>
  <x:si>
    <x:t xml:space="preserve">4-bit shift register</x:t>
  </x:si>
  <x:si>
    <x:t xml:space="preserve">shift4</x:t>
  </x:si>
  <x:si>
    <x:t xml:space="preserve">4:10:18 PM</x:t>
  </x:si>
  <x:si>
    <x:t xml:space="preserve">Build a 4-bit shift register with the specified load/shift controls and expose the requested stage output.</x:t>
  </x:si>
  <x:si>
    <x:t xml:space="preserve">Left/right rotator</x:t>
  </x:si>
  <x:si>
    <x:t xml:space="preserve">rotate100</x:t>
  </x:si>
  <x:si>
    <x:t xml:space="preserve">4:23:55 PM</x:t>
  </x:si>
  <x:si>
    <x:t xml:space="preserve">Build a 100-bit register that can hold, load, rotate left, or rotate right according to the controls.</x:t>
  </x:si>
  <x:si>
    <x:t xml:space="preserve">Left/right arithmetic shift by 1 or 8</x:t>
  </x:si>
  <x:si>
    <x:t xml:space="preserve">shift18</x:t>
  </x:si>
  <x:si>
    <x:t xml:space="preserve">4:42:03 PM</x:t>
  </x:si>
  <x:si>
    <x:t xml:space="preserve">Build a 64-bit register that can load or perform left/right arithmetic shifts by either 1 or 8 positions.</x:t>
  </x:si>
  <x:si>
    <x:t xml:space="preserve">5-bit LFSR</x:t>
  </x:si>
  <x:si>
    <x:t xml:space="preserve">lfsr5</x:t>
  </x:si>
  <x:si>
    <x:t xml:space="preserve">5:21:13 PM</x:t>
  </x:si>
  <x:si>
    <x:t xml:space="preserve">Implement the specified 5-bit linear-feedback shift register using the given feedback taps and reset state.</x:t>
  </x:si>
  <x:si>
    <x:t xml:space="preserve">3-bit LFSR</x:t>
  </x:si>
  <x:si>
    <x:t xml:space="preserve">mt2015_lfsr</x:t>
  </x:si>
  <x:si>
    <x:t xml:space="preserve">11:37:29 PM</x:t>
  </x:si>
  <x:si>
    <x:t xml:space="preserve">Implement the shown 3-bit LFSR and reproduce its required feedback sequence.</x:t>
  </x:si>
  <x:si>
    <x:t xml:space="preserve">32-bit LFSR</x:t>
  </x:si>
  <x:si>
    <x:t xml:space="preserve">lfsr32</x:t>
  </x:si>
  <x:si>
    <x:t xml:space="preserve">11:03:20 PM</x:t>
  </x:si>
  <x:si>
    <x:t xml:space="preserve">Implement a 32-bit linear-feedback shift register with the specified tap positions.</x:t>
  </x:si>
  <x:si>
    <x:t xml:space="preserve">Shift register</x:t>
  </x:si>
  <x:si>
    <x:t xml:space="preserve">exams/m2014_q4k</x:t>
  </x:si>
  <x:si>
    <x:t xml:space="preserve">11:20:08 PM</x:t>
  </x:si>
  <x:si>
    <x:t xml:space="preserve">Translate the exam shift-register schematic into clocked Verilog with the same data movement.</x:t>
  </x:si>
  <x:si>
    <x:t xml:space="preserve">exams/2014_q4b</x:t>
  </x:si>
  <x:si>
    <x:t xml:space="preserve">12:13:30 AM</x:t>
  </x:si>
  <x:si>
    <x:t xml:space="preserve">Implement the shown shift register and its control logic exactly as specified by the exam circuit.</x:t>
  </x:si>
  <x:si>
    <x:t xml:space="preserve">3-input LUT</x:t>
  </x:si>
  <x:si>
    <x:t xml:space="preserve">exams/ece241_2013_q12</x:t>
  </x:si>
  <x:si>
    <x:t xml:space="preserve">12:36:42 AM</x:t>
  </x:si>
  <x:si>
    <x:t xml:space="preserve">Build a 3-input lookup table from a shift register and multiplexer so its truth table can be loaded serially.</x:t>
  </x:si>
  <x:si>
    <x:t xml:space="preserve">SUBSECTION · Sequential Logic → More Circuits</x:t>
  </x:si>
  <x:si>
    <x:t xml:space="preserve">SUBSECTION · Sequential Logic → Finite State Machines</x:t>
  </x:si>
  <x:si>
    <x:t xml:space="preserve">Simple FSM 1 (asynchronous reset)</x:t>
  </x:si>
  <x:si>
    <x:t xml:space="preserve">fsm1</x:t>
  </x:si>
  <x:si>
    <x:t xml:space="preserve">1:04:37 AM</x:t>
  </x:si>
  <x:si>
    <x:t xml:space="preserve">Implement the provided two-state FSM, using an asynchronous reset and the diagram's transition and output rules.</x:t>
  </x:si>
  <x:si>
    <x:t xml:space="preserve">Simple FSM 1 (synchronous reset)</x:t>
  </x:si>
  <x:si>
    <x:t xml:space="preserve">fsm1s</x:t>
  </x:si>
  <x:si>
    <x:t xml:space="preserve">1:25:24 AM</x:t>
  </x:si>
  <x:si>
    <x:t xml:space="preserve">Implement the same two-state FSM with a synchronous reset instead of an asynchronous reset.</x:t>
  </x:si>
  <x:si>
    <x:t xml:space="preserve">Simple FSM 2 (asynchronous reset)</x:t>
  </x:si>
  <x:si>
    <x:t xml:space="preserve">fsm2</x:t>
  </x:si>
  <x:si>
    <x:t xml:space="preserve">1:59:48 AM</x:t>
  </x:si>
  <x:si>
    <x:t xml:space="preserve">Implement the second supplied finite-state machine, including its asynchronous reset, transitions, and output decoding.</x:t>
  </x:si>
  <x:si>
    <x:t xml:space="preserve">Simple FSM 2 (synchronous reset)</x:t>
  </x:si>
  <x:si>
    <x:t xml:space="preserve">fsm2s</x:t>
  </x:si>
  <x:si>
    <x:t xml:space="preserve">2:04:20 AM</x:t>
  </x:si>
  <x:si>
    <x:t xml:space="preserve">Implement the second FSM with a synchronous reset while preserving the transition and output behaviour.</x:t>
  </x:si>
  <x:si>
    <x:t xml:space="preserve">Simple state transitions 3</x:t>
  </x:si>
  <x:si>
    <x:t xml:space="preserve">fsm3comb</x:t>
  </x:si>
  <x:si>
    <x:t xml:space="preserve">2:15:08 AM</x:t>
  </x:si>
  <x:si>
    <x:t xml:space="preserve">Write only the combinational next-state logic for the supplied state-transition diagram.</x:t>
  </x:si>
  <x:si>
    <x:t xml:space="preserve">Simple one-hot state transitions 3</x:t>
  </x:si>
  <x:si>
    <x:t xml:space="preserve">fsm3onehot</x:t>
  </x:si>
  <x:si>
    <x:t xml:space="preserve">4:45:28 PM</x:t>
  </x:si>
  <x:si>
    <x:t xml:space="preserve">This problem gives the four-state Moore machine as a transition table, but supplies the current state as a one-hot vector instead of asking for a state register. The implementation therefore derives each bit of `next_state` from the incoming transitions to that state.</x:t>
  </x:si>
  <x:si>
    <x:t xml:space="preserve">Simple FSM 3 (asynchronous reset)</x:t>
  </x:si>
  <x:si>
    <x:t xml:space="preserve">fsm3</x:t>
  </x:si>
  <x:si>
    <x:t xml:space="preserve">5:05:31 PM</x:t>
  </x:si>
  <x:si>
    <x:t xml:space="preserve">This is the complete four-state Moore FSM whose combinational transition table was implemented in the preceding exercises. The design separates three concerns: combinational next-state decoding, the clocked state register, and Moore output decoding.</x:t>
  </x:si>
  <x:si>
    <x:t xml:space="preserve">Simple FSM 3 (synchronous reset)</x:t>
  </x:si>
  <x:si>
    <x:t xml:space="preserve">fsm3s</x:t>
  </x:si>
  <x:si>
    <x:t xml:space="preserve">5:07:35 PM</x:t>
  </x:si>
  <x:si>
    <x:t xml:space="preserve">This exercise uses the same A/B/C/D transition graph and Moore output as `fsm3`, but changes the reset timing. The transition decoder still computes A: 0→A/1→B, B: 0→C/1→B, C: 0→A/1→D, and D: 0→C/1→B, while `out` is high only when the registered state is D.</x:t>
  </x:si>
  <x:si>
    <x:t xml:space="preserve">Design a Moore FSM</x:t>
  </x:si>
  <x:si>
    <x:t xml:space="preserve">exams/ece241_2013_q4</x:t>
  </x:si>
  <x:si>
    <x:t xml:space="preserve">11:58:25 PM</x:t>
  </x:si>
  <x:si>
    <x:t xml:space="preserve">This problem is more than a water-level decoder: the outputs depend on both the current sensor pattern and whether the water level was rising or falling. That history requirement makes it a Moore FSM rather than pure combinational logic.</x:t>
  </x:si>
  <x:si>
    <x:t xml:space="preserve">Lemmings 1</x:t>
  </x:si>
  <x:si>
    <x:t xml:space="preserve">lemmings1</x:t>
  </x:si>
  <x:si>
    <x:t xml:space="preserve">6:32:59 PM</x:t>
  </x:si>
  <x:si>
    <x:t xml:space="preserve">The Lemming has only two Moore states: walking left and walking right. Direction changes occur only when an obstacle is encountered on the side toward which it is currently walking.</x:t>
  </x:si>
  <x:si>
    <x:t xml:space="preserve">Lemmings 2</x:t>
  </x:si>
  <x:si>
    <x:t xml:space="preserve">lemmings2</x:t>
  </x:si>
  <x:si>
    <x:t xml:space="preserve">Lemmings 3</x:t>
  </x:si>
  <x:si>
    <x:t xml:space="preserve">lemmings3</x:t>
  </x:si>
  <x:si>
    <x:t xml:space="preserve">Lemmings 4</x:t>
  </x:si>
  <x:si>
    <x:t xml:space="preserve">lemmings4</x:t>
  </x:si>
  <x:si>
    <x:t xml:space="preserve">One-hot FSM</x:t>
  </x:si>
  <x:si>
    <x:t xml:space="preserve">fsm_onehot</x:t>
  </x:si>
  <x:si>
    <x:t xml:space="preserve">PS/2 packet parser</x:t>
  </x:si>
  <x:si>
    <x:t xml:space="preserve">fsm_ps2</x:t>
  </x:si>
  <x:si>
    <x:t xml:space="preserve">PS/2 packet parser and datapath</x:t>
  </x:si>
  <x:si>
    <x:t xml:space="preserve">fsm_ps2data</x:t>
  </x:si>
  <x:si>
    <x:t xml:space="preserve">Serial receiver</x:t>
  </x:si>
  <x:si>
    <x:t xml:space="preserve">fsm_serial</x:t>
  </x:si>
  <x:si>
    <x:t xml:space="preserve">Serial receiver and datapath</x:t>
  </x:si>
  <x:si>
    <x:t xml:space="preserve">fsm_serialdata</x:t>
  </x:si>
  <x:si>
    <x:t xml:space="preserve">Serial receiver with parity checking</x:t>
  </x:si>
  <x:si>
    <x:t xml:space="preserve">fsm_serialdp</x:t>
  </x:si>
  <x:si>
    <x:t xml:space="preserve">Sequence recognition</x:t>
  </x:si>
  <x:si>
    <x:t xml:space="preserve">fsm_hdlc</x:t>
  </x:si>
  <x:si>
    <x:t xml:space="preserve">Q8: Design a Mealy FSM</x:t>
  </x:si>
  <x:si>
    <x:t xml:space="preserve">exams/ece241_2013_q8</x:t>
  </x:si>
  <x:si>
    <x:t xml:space="preserve">12:02:40 AM</x:t>
  </x:si>
  <x:si>
    <x:t xml:space="preserve">Three-state Mealy detector for overlapping 101 with active-low asynchronous reset. State S10 plus input 1 asserts z in the detection cycle.</x:t>
  </x:si>
  <x:si>
    <x:t xml:space="preserve">Q3a: FSM</x:t>
  </x:si>
  <x:si>
    <x:t xml:space="preserve">exams/2014_q3fsm</x:t>
  </x:si>
  <x:si>
    <x:t xml:space="preserve">Q3b: FSM</x:t>
  </x:si>
  <x:si>
    <x:t xml:space="preserve">exams/2014_q3bfsm</x:t>
  </x:si>
  <x:si>
    <x:t xml:space="preserve">Q3c: FSM logic</x:t>
  </x:si>
  <x:si>
    <x:t xml:space="preserve">exams/2014_q3c</x:t>
  </x:si>
  <x:si>
    <x:t xml:space="preserve">Q6c: FSM one-hot next-state logic</x:t>
  </x:si>
  <x:si>
    <x:t xml:space="preserve">exams/m2014_q6c</x:t>
  </x:si>
  <x:si>
    <x:t xml:space="preserve">Q2b: Another FSM</x:t>
  </x:si>
  <x:si>
    <x:t xml:space="preserve">exams/2013_q2bfsm</x:t>
  </x:si>
  <x:si>
    <x:t xml:space="preserve">12:22:36 AM</x:t>
  </x:si>
  <x:si>
    <x:t xml:space="preserve">This controller combines a one-cycle start pulse, a serial sequence detector, a two-cycle deadline, and two absorbing terminal outcomes.</x:t>
  </x:si>
  <x:si>
    <x:t xml:space="preserve">SUBSECTION · Building Larger Circuits</x:t>
  </x:si>
  <x:si>
    <x:t xml:space="preserve">Counter with period 1000</x:t>
  </x:si>
  <x:si>
    <x:t xml:space="preserve">exams/review2015_count1k</x:t>
  </x:si>
  <x:si>
    <x:t xml:space="preserve">This design is a modulo-1000 synchronous counter. Its legal sequence is 0, 1, 2, ... 999, then back to 0, which gives exactly 1000 distinct states and therefore a period of 1000 clock cycles. Ten bits are required because nine bits can represent only 0 through 511, while ten bits can represent the terminal value 999.
The clocked process gives synchronous reset the highest priority. When reset is sampled high on a rising edge, the register becomes zero. Otherwise, the terminal-count comparison is evaluated using the old value: 999 loads zero, and every other value increments by one. A nonblocking assignment is appropriate because q represents registered state and changes only after the active clock edge.
The explicit terminal comparison is essential. Letting a 10-bit binary register overflow naturally would produce a modulo-1024 counter, so values 1000 through 1023 would incorrectly appear in the sequence. The separate internal register is connected continuously to q, although q could equivalently be declared as a register and updated directly.
**Boundary trace:** 998 advances to 999; 999 advances to 0; asserting reset while the count is 417 loads 0 at the next rising edge.</x:t>
  </x:si>
  <x:si>
    <x:t xml:space="preserve">4-bit shift register and down counter</x:t>
  </x:si>
  <x:si>
    <x:t xml:space="preserve">exams/review2015_shiftcount</x:t>
  </x:si>
  <x:si>
    <x:t xml:space="preserve">One four-bit register performs two different operations. When shift_ena is asserted, the existing bits move toward the most-significant end and the serial data bit enters bit 0 through {register[2:0], data}. Supplying a four-bit word most-significant bit first therefore reconstructs that word after four enabled shifts.
When count_ena is asserted, the same storage acts as a modulo-16 down counter. Values 15 through 1 decrement normally, while 0 explicitly wraps to 15. Four-bit subtraction would also wrap naturally, but the terminal branch makes the intended rollover unambiguous.
The specification guarantees that shift_ena and count_ena are never high together, so their relative priority is intentionally irrelevant. The saved solution uses two independent if statements to reflect that contract. If both controls were asserted despite the contract, the later nonblocking assignment would win; a production interface without the guarantee should instead define priority explicitly with if/else if.
With both controls low, no assignment occurs and the register holds its value. There is no reset input, so the environment must shift in a complete value before relying on the state.</x:t>
  </x:si>
  <x:si>
    <x:t xml:space="preserve">FSM: Sequence 1101 recognizer</x:t>
  </x:si>
  <x:si>
    <x:t xml:space="preserve">exams/review2015_fsmseq</x:t>
  </x:si>
  <x:si>
    <x:t xml:space="preserve">This Moore finite-state machine recognizes the serial bit pattern 1101 and then latches a permanent command to begin shifting. States S0 through S3 record how much of the target prefix has been matched: no useful prefix, 1, 11, and 110. DONE means the complete 1101 sequence has appeared.
The transitions preserve useful overlap. From S2 (the suffix 11), another 1 remains in S2 because the newest two bits are still 11; a 0 advances to S3. From S3, a 1 completes 1101 and enters DONE, while a 0 has no useful suffix and returns to S0. Earlier mismatches similarly return to the correct prefix state.
DONE is absorbing: both possible data values leave the machine in DONE. Therefore start_shifting, decoded solely from the registered state, stays asserted forever after recognition and can be cleared only by reset. Reset is synchronous because it is tested inside an always @(posedge clk) process rather than included in the sensitivity list.
**Example trace:** after reset, inputs 1,1,0,1 move S0→S1→S2→S3→DONE. The output becomes high after the edge accepting the final 1 and remains high on all later edges.</x:t>
  </x:si>
  <x:si>
    <x:t xml:space="preserve">FSM: Enable shift register</x:t>
  </x:si>
  <x:si>
    <x:t xml:space="preserve">exams/review2015_fsmshift</x:t>
  </x:si>
  <x:si>
    <x:t xml:space="preserve">This control circuit produces a pulse window measured in clock cycles rather than detecting a data pattern. A three-bit saturating counter records how many post-reset rising edges have occurred. Synchronous reset loads zero; while the value is below four, each later edge increments it; after reaching four, the missing assignment deliberately holds the state.
shift_ena is a Moore-style combinational decode of the registered count. It is high for count values 0, 1, 2, and 3, giving exactly four complete clock intervals, and becomes low when the fourth post-reset edge changes the count to 4. Saturation prevents the counter from wrapping back to zero and accidentally reasserting the enable after eight cycles.
Reset timing matters. Because reset is synchronous, asserting it between clock edges does not immediately modify count or the output. The next rising edge loads zero, after which the output is high and the four-cycle window starts again. No explicit else count &lt;= count assignment is needed in clocked logic: when no branch assigns the register, the flip-flops retain their previous value.
**Cycle trace:** reset edge→0/high, then successive edges produce 1/high, 2/high, 3/high, 4/low, followed by 4/low indefinitely until another reset edge.</x:t>
  </x:si>
  <x:si>
    <x:t xml:space="preserve">SECTION · Verification: Reading Simulations</x:t>
  </x:si>
  <x:si>
    <x:t xml:space="preserve">SUBSECTION · Finding bugs in code</x:t>
  </x:si>
  <x:si>
    <x:t xml:space="preserve">Mux</x:t>
  </x:si>
  <x:si>
    <x:t xml:space="preserve">bugs_mux2</x:t>
  </x:si>
  <x:si>
    <x:t xml:space="preserve">12:54:12 AM</x:t>
  </x:si>
  <x:si>
    <x:t xml:space="preserve">The broken circuit mixed two independent mistakes: the output was declared as a scalar even though both data inputs are 8-bit buses, and the selection expression did not implement the required bus mux correctly.</x:t>
  </x:si>
  <x:si>
    <x:t xml:space="preserve">NAND</x:t>
  </x:si>
  <x:si>
    <x:t xml:space="preserve">bugs_nand3</x:t>
  </x:si>
  <x:si>
    <x:t xml:space="preserve">1:04:51 AM</x:t>
  </x:si>
  <x:si>
    <x:t xml:space="preserve">The required primitive is a five-input AND gate with positional port order `(out, a, b, c, d, e)`. To create a three-input AND, the unused inputs must be tied to the AND identity value 1, not 0. The intermediate `ando` is therefore `a &amp; b &amp; c &amp; 1 &amp; 1`.</x:t>
  </x:si>
  <x:si>
    <x:t xml:space="preserve">bugs_mux4</x:t>
  </x:si>
  <x:si>
    <x:t xml:space="preserve">1:01:34 AM</x:t>
  </x:si>
  <x:si>
    <x:t xml:space="preserve">A 4-to-1 bus multiplexer can be built as a two-level tree of the supplied 2-to-1 muxes. The first level uses `sel[0]` to choose A/B and C/D independently. The second level uses `sel[1]` to choose between those two intermediate buses.</x:t>
  </x:si>
  <x:si>
    <x:t xml:space="preserve">Add/sub</x:t>
  </x:si>
  <x:si>
    <x:t xml:space="preserve">bugs_addsubz</x:t>
  </x:si>
  <x:si>
    <x:t xml:space="preserve">1:31:18 AM</x:t>
  </x:si>
  <x:si>
    <x:t xml:space="preserve">The combinational block first computes either `a+b` or `a-b` according to `do_sub`, then derives `result_is_zero` from the newly computed `out`.</x:t>
  </x:si>
  <x:si>
    <x:t xml:space="preserve">bugs_case</x:t>
  </x:si>
  <x:si>
    <x:t xml:space="preserve">1:28:42 AM</x:t>
  </x:si>
  <x:si>
    <x:t xml:space="preserve">This decoder recognizes the PS/2 scan codes for decimal keys 0 through 9. Each recognized hexadecimal code assigns the corresponding 4-bit digit and asserts `valid`.</x:t>
  </x:si>
  <x:si>
    <x:t xml:space="preserve">SUBSECTION · Build a circuit from a simulation waveform</x:t>
  </x:si>
  <x:si>
    <x:t xml:space="preserve">Combinational circuit 1</x:t>
  </x:si>
  <x:si>
    <x:t xml:space="preserve">sim/circuit1</x:t>
  </x:si>
  <x:si>
    <x:t xml:space="preserve">1:33:25 AM</x:t>
  </x:si>
  <x:si>
    <x:t xml:space="preserve">The waveform shows a combinational AND function. Output `q` is high only during intervals in which both `a` and `b` are high, so the implementation is `q = a &amp; b`.</x:t>
  </x:si>
  <x:si>
    <x:t xml:space="preserve">Combinational circuit 2</x:t>
  </x:si>
  <x:si>
    <x:t xml:space="preserve">sim/circuit2</x:t>
  </x:si>
  <x:si>
    <x:t xml:space="preserve">3:19:03 PM</x:t>
  </x:si>
  <x:si>
    <x:t xml:space="preserve">The waveform corresponds to four-input even parity, implemented as the inverse of a four-way XOR: `q = ~(a ^ b ^ c ^ d)`.</x:t>
  </x:si>
  <x:si>
    <x:t xml:space="preserve">Combinational circuit 3</x:t>
  </x:si>
  <x:si>
    <x:t xml:space="preserve">sim/circuit3</x:t>
  </x:si>
  <x:si>
    <x:t xml:space="preserve">3:26:19 PM</x:t>
  </x:si>
  <x:si>
    <x:t xml:space="preserve">The submitted expression factors to `q = (a | b) &amp; (c | d)`. Thus at least one signal from the A/B pair and at least one signal from the C/D pair must be high.</x:t>
  </x:si>
  <x:si>
    <x:t xml:space="preserve">Combinational circuit 4</x:t>
  </x:si>
  <x:si>
    <x:t xml:space="preserve">sim/circuit4</x:t>
  </x:si>
  <x:si>
    <x:t xml:space="preserve">3:35:24 PM</x:t>
  </x:si>
  <x:si>
    <x:t xml:space="preserve">The waveform shows that only `b` and `c` affect the output. Q is high whenever either is high, giving `q = b | c`; inputs A and D are observable distractors with no functional influence.</x:t>
  </x:si>
  <x:si>
    <x:t xml:space="preserve">Combinational circuit 5</x:t>
  </x:si>
  <x:si>
    <x:t xml:space="preserve">sim/circuit5</x:t>
  </x:si>
  <x:si>
    <x:t xml:space="preserve">3:57:19 PM</x:t>
  </x:si>
  <x:si>
    <x:t xml:space="preserve">This circuit is a 4-bit lookup/multiplexer controlled by `c`. For selector values 0 through 3, Q chooses different input buses: 0→B, 1→E, 2→A, and 3→D. All other selector values produce `4'hf`.</x:t>
  </x:si>
  <x:si>
    <x:t xml:space="preserve">Combinational circuit 6</x:t>
  </x:si>
  <x:si>
    <x:t xml:space="preserve">sim/circuit6</x:t>
  </x:si>
  <x:si>
    <x:t xml:space="preserve">4:07:13 PM</x:t>
  </x:si>
  <x:si>
    <x:t xml:space="preserve">The waveform describes a small combinational ROM. The 3-bit address `a` selects one of eight fixed 16-bit words.</x:t>
  </x:si>
  <x:si>
    <x:t xml:space="preserve">Sequential circuit 7</x:t>
  </x:si>
  <x:si>
    <x:t xml:space="preserve">sim/circuit7</x:t>
  </x:si>
  <x:si>
    <x:t xml:space="preserve">2:20:37 PM</x:t>
  </x:si>
  <x:si>
    <x:t xml:space="preserve">This is a positive-edge-triggered register whose D input is the inverse of `a`. On each rising edge, `q &lt;= ~a`; between rising edges Q holds its previous value even if A changes.</x:t>
  </x:si>
  <x:si>
    <x:t xml:space="preserve">Sequential circuit 8</x:t>
  </x:si>
  <x:si>
    <x:t xml:space="preserve">sim/circuit8</x:t>
  </x:si>
  <x:si>
    <x:t xml:space="preserve">The waveform is reproduced by two level/edge-sensitive storage stages. P is a transparent-high latch: while `clock=1`, P follows A; while the clock is low, P holds the last value seen during the high phase. The incomplete assignment inside the combinational block intentionally infers that latch.</x:t>
  </x:si>
  <x:si>
    <x:t xml:space="preserve">Sequential circuit 9</x:t>
  </x:si>
  <x:si>
    <x:t xml:space="preserve">sim/circuit9</x:t>
  </x:si>
  <x:si>
    <x:t xml:space="preserve">2:35:52 PM</x:t>
  </x:si>
  <x:si>
    <x:t xml:space="preserve">The circuit is a modulo-7 counter with a synchronous load-like control. When `a=0`, the 4-bit state counts 0,1,2,3,4,5,6 and then wraps to 0. When `a=1` at a rising edge, the state is loaded with 4 instead of incrementing.</x:t>
  </x:si>
  <x:si>
    <x:t xml:space="preserve">Sequential circuit 10</x:t>
  </x:si>
  <x:si>
    <x:t xml:space="preserve">sim/circuit10</x:t>
  </x:si>
  <x:si>
    <x:t xml:space="preserve">4:28:35 PM</x:t>
  </x:si>
  <x:si>
    <x:t xml:space="preserve">This circuit behaves like a serial full adder with one stored carry bit. The combinational output `q = a ^ b ^ state` is the one-bit sum of A, B, and the previous carry.</x:t>
  </x:si>
  <x:si>
    <x:t xml:space="preserve">SECTION · Verification: Writing Testbenches</x:t>
  </x:si>
  <x:si>
    <x:t xml:space="preserve">Clock</x:t>
  </x:si>
  <x:si>
    <x:t xml:space="preserve">tb/clock</x:t>
  </x:si>
  <x:si>
    <x:t xml:space="preserve">5:45:53 PM</x:t>
  </x:si>
  <x:si>
    <x:t xml:space="preserve">This exercise moves from describing hardware to controlling simulation time. The top-level testbench has no ports because it is the simulation root. It declares an internal `reg clk`, connects that signal to the supplied `dut` instance, initializes it to zero at time 0, and toggles it every 5 ps.</x:t>
  </x:si>
  <x:si>
    <x:t xml:space="preserve">Testbench1</x:t>
  </x:si>
  <x:si>
    <x:t xml:space="preserve">tb/tb1</x:t>
  </x:si>
  <x:si>
    <x:t xml:space="preserve">5:51:57 PM</x:t>
  </x:si>
  <x:si>
    <x:t xml:space="preserve">The goal is to generate two output waveforms directly from procedural stimulus. Because A and B are assigned inside an `initial` block, the module declares them as `output reg`. Both begin low at time 0, then the delays reproduce each transition in chronological order.</x:t>
  </x:si>
  <x:si>
    <x:t xml:space="preserve">tb/and</x:t>
  </x:si>
  <x:si>
    <x:t xml:space="preserve">6:15:10 PM</x:t>
  </x:si>
  <x:si>
    <x:t xml:space="preserve">This testbench verifies a two-input AND gate exhaustively. The DUT input is a 2-bit procedural register, while the DUT output is a wire because it is driven by the instantiated module. A loop enumerates the four binary input combinations 00, 01, 10, and 11, holding each combination for 10 simulation time units.</x:t>
  </x:si>
  <x:si>
    <x:t xml:space="preserve">Testbench2</x:t>
  </x:si>
  <x:si>
    <x:t xml:space="preserve">tb/tb2</x:t>
  </x:si>
  <x:si>
    <x:t xml:space="preserve">11:14:42 PM</x:t>
  </x:si>
  <x:si>
    <x:t xml:space="preserve">This testbench coordinates two independent timelines: a free-running clock and a directed sequence for `in` and the 3-bit bus `s`. One `initial` block initializes the clock and toggles it every 5 time units, producing a 10-unit period. A second block applies the waveform values at the required boundaries, while the `q7` instance connects all generated signals to the supplied DUT.</x:t>
  </x:si>
  <x:si>
    <x:t xml:space="preserve">T flip-flop</x:t>
  </x:si>
  <x:si>
    <x:t xml:space="preserve">tb/tff</x:t>
  </x:si>
  <x:si>
    <x:t xml:space="preserve">6:29:03 PM</x:t>
  </x:si>
  <x:si>
    <x:t xml:space="preserve">The testbench instantiates the supplied T flip-flop and creates separate clock and control processes. The clock starts low and toggles every 5 time units. Reset starts high and `t` starts low, so the first rising edge samples the synchronous reset and forces Q to its reset state. After 10 time units, reset is deasserted and T is asserted; subsequent rising edges toggle Q.</x:t>
  </x:si>
</x:sst>
</file>

<file path=xl/styles.xml><?xml version="1.0" encoding="utf-8"?>
<x:styleSheet xmlns:x="http://schemas.openxmlformats.org/spreadsheetml/2006/main">
  <x:numFmts count="7">
    <x:numFmt numFmtId="164" formatCode="yyyy\-mm\-dd"/>
    <x:numFmt numFmtId="165" formatCode="yyyy/mm/dd"/>
    <x:numFmt numFmtId="200" formatCode="yyyy-mm-dd"/>
    <x:numFmt numFmtId="201" formatCode="0"/>
    <x:numFmt numFmtId="202" formatCode="0%"/>
    <x:numFmt numFmtId="203" formatCode="#,##0"/>
    <x:numFmt numFmtId="204" formatCode="0&quot;%&quot;"/>
  </x:numFmts>
  <x:fonts count="18">
    <x:font>
      <x:sz val="11"/>
      <x:name val="Carlito"/>
    </x:font>
    <x:font>
      <x:b/>
      <x:sz val="18"/>
      <x:color rgb="FFFFFFFF"/>
      <x:name val="Carlito"/>
    </x:font>
    <x:font>
      <x:i/>
      <x:sz val="10"/>
      <x:color rgb="FF002060"/>
      <x:name val="Carlito"/>
    </x:font>
    <x:font>
      <x:b/>
      <x:sz val="9"/>
      <x:color rgb="FFFFFFFF"/>
      <x:name val="Carlito"/>
    </x:font>
    <x:font>
      <x:sz val="9"/>
      <x:color rgb="FF1F1F1F"/>
      <x:name val="Carlito"/>
    </x:font>
    <x:font>
      <x:sz val="9"/>
      <x:color rgb="FF0563C1"/>
      <x:name val="Carlito"/>
    </x:font>
    <x:font>
      <x:b/>
      <x:sz val="11"/>
      <x:color rgb="FFFFFFFF"/>
      <x:name val="Carlito"/>
    </x:font>
    <x:font>
      <x:b/>
      <x:i/>
      <x:sz val="10"/>
      <x:color rgb="FF002060"/>
      <x:name val="Carlito"/>
    </x:font>
    <x:font>
      <x:b/>
      <x:sz val="20"/>
      <x:color rgb="FFFFFFFF"/>
      <x:name val="Carlito"/>
    </x:font>
    <x:font>
      <x:i/>
      <x:sz val="11"/>
      <x:color rgb="FF002060"/>
      <x:name val="Carlito"/>
    </x:font>
    <x:font>
      <x:b/>
      <x:sz val="11"/>
      <x:color rgb="FF002060"/>
      <x:name val="Carlito"/>
    </x:font>
    <x:font>
      <x:b/>
      <x:sz val="16"/>
      <x:color rgb="FF002060"/>
      <x:name val="Carlito"/>
    </x:font>
    <x:font>
      <x:b/>
      <x:sz val="10"/>
      <x:color rgb="FF375623"/>
      <x:name val="Carlito"/>
    </x:font>
    <x:font>
      <x:sz val="11"/>
      <x:color rgb="FF0563C1"/>
      <x:name val="Carlito"/>
    </x:font>
    <x:font>
      <x:sz val="11"/>
      <x:color rgb="FF1F1F1F"/>
      <x:name val="Carlito"/>
    </x:font>
    <x:font>
      <x:sz val="11"/>
      <x:color theme="10"/>
      <x:name val="Carlito"/>
    </x:font>
    <x:font>
      <x:sz val="11"/>
      <x:color rgb="FF002060"/>
      <x:name val="Carlito"/>
    </x:font>
    <x:font>
      <x:b/>
      <x:sz val="11"/>
      <x:color rgb="FF375623"/>
      <x:name val="Carlito"/>
    </x:font>
  </x:fonts>
  <x:fills count="33">
    <x:fill>
      <x:patternFill patternType="none"/>
    </x:fill>
    <x:fill>
      <x:patternFill patternType="gray125"/>
    </x:fill>
    <x:fill>
      <x:patternFill patternType="solid">
        <x:fgColor rgb="FF002060"/>
      </x:patternFill>
    </x:fill>
    <x:fill>
      <x:patternFill patternType="solid">
        <x:fgColor rgb="FFD9E1F2"/>
      </x:patternFill>
    </x:fill>
    <x:fill>
      <x:patternFill patternType="solid">
        <x:fgColor rgb="FF001A4D"/>
      </x:patternFill>
    </x:fill>
    <x:fill>
      <x:patternFill patternType="solid">
        <x:fgColor rgb="FFEEF4FB"/>
      </x:patternFill>
    </x:fill>
    <x:fill>
      <x:patternFill patternType="solid">
        <x:fgColor rgb="FFE2F0D9"/>
      </x:patternFill>
    </x:fill>
    <x:fill>
      <x:patternFill patternType="solid">
        <x:fgColor rgb="FFFFFF99"/>
      </x:patternFill>
    </x:fill>
    <x:fill>
      <x:patternFill patternType="solid">
        <x:fgColor rgb="FFCCFFCC"/>
      </x:patternFill>
    </x:fill>
    <x:fill>
      <x:patternFill patternType="solid">
        <x:fgColor rgb="FFD9E1F2"/>
      </x:patternFill>
    </x:fill>
    <x:fill>
      <x:patternFill patternType="solid">
        <x:fgColor rgb="FFFFFFFF"/>
      </x:patternFill>
    </x:fill>
    <x:fill>
      <x:patternFill patternType="solid">
        <x:fgColor rgb="FFCCFFCC"/>
      </x:patternFill>
    </x:fill>
    <x:fill>
      <x:patternFill patternType="solid">
        <x:fgColor rgb="FFFFFF99"/>
      </x:patternFill>
    </x:fill>
    <x:fill>
      <x:patternFill patternType="solid">
        <x:fgColor rgb="FFD9E1F2"/>
      </x:patternFill>
    </x:fill>
    <x:fill>
      <x:patternFill patternType="solid">
        <x:fgColor rgb="FFCCFFCC"/>
      </x:patternFill>
    </x:fill>
    <x:fill>
      <x:patternFill patternType="solid">
        <x:fgColor rgb="FFD9E1F2"/>
      </x:patternFill>
    </x:fill>
    <x:fill>
      <x:patternFill patternType="solid">
        <x:fgColor rgb="FFFFFF99"/>
      </x:patternFill>
    </x:fill>
    <x:fill>
      <x:patternFill patternType="solid">
        <x:fgColor rgb="FFD9E1F2"/>
      </x:patternFill>
    </x:fill>
    <x:fill>
      <x:patternFill patternType="solid">
        <x:fgColor rgb="FFFFFFFF"/>
      </x:patternFill>
    </x:fill>
    <x:fill>
      <x:patternFill patternType="solid">
        <x:fgColor rgb="FFFFFF99"/>
      </x:patternFill>
    </x:fill>
    <x:fill>
      <x:patternFill patternType="solid">
        <x:fgColor rgb="FFFFFFFF"/>
      </x:patternFill>
    </x:fill>
    <x:fill>
      <x:patternFill patternType="solid">
        <x:fgColor rgb="FFFFFFFF"/>
      </x:patternFill>
    </x:fill>
    <x:fill>
      <x:patternFill patternType="solid">
        <x:fgColor rgb="FFD9E1F2"/>
      </x:patternFill>
    </x:fill>
    <x:fill>
      <x:patternFill patternType="solid">
        <x:fgColor rgb="FFFFFFFF"/>
      </x:patternFill>
    </x:fill>
    <x:fill>
      <x:patternFill patternType="solid">
        <x:fgColor rgb="FFFFFF99"/>
      </x:patternFill>
    </x:fill>
    <x:fill>
      <x:patternFill patternType="solid">
        <x:fgColor rgb="FF002060"/>
      </x:patternFill>
    </x:fill>
    <x:fill>
      <x:patternFill patternType="solid">
        <x:fgColor rgb="FFD9E2F3"/>
      </x:patternFill>
    </x:fill>
    <x:fill>
      <x:patternFill patternType="solid">
        <x:fgColor rgb="FFEAF1FB"/>
      </x:patternFill>
    </x:fill>
    <x:fill>
      <x:patternFill patternType="solid">
        <x:fgColor rgb="FFC6EFCE"/>
      </x:patternFill>
    </x:fill>
    <x:fill>
      <x:patternFill patternType="solid">
        <x:fgColor rgb="FF002060"/>
      </x:patternFill>
    </x:fill>
    <x:fill>
      <x:patternFill patternType="solid">
        <x:fgColor rgb="FFD9E2F3"/>
      </x:patternFill>
    </x:fill>
    <x:fill>
      <x:patternFill patternType="solid">
        <x:fgColor rgb="FFEAF1FB"/>
      </x:patternFill>
    </x:fill>
    <x:fill>
      <x:patternFill patternType="solid">
        <x:fgColor rgb="FFC6EFCE"/>
      </x:patternFill>
    </x:fill>
  </x:fills>
  <x:borders count="12">
    <x:border/>
    <x:border>
      <x:left style="thin">
        <x:color rgb="FFB4C6E7"/>
      </x:left>
      <x:right style="thin">
        <x:color rgb="FFB4C6E7"/>
      </x:right>
      <x:top style="thin">
        <x:color rgb="FFB4C6E7"/>
      </x:top>
      <x:bottom style="thin">
        <x:color rgb="FFB4C6E7"/>
      </x:bottom>
    </x:border>
    <x:border>
      <x:bottom style="thin">
        <x:color rgb="FFD9E2F3"/>
      </x:bottom>
    </x:border>
    <x:border>
      <x:top style="thin">
        <x:color rgb="FFD9E2F3"/>
      </x:top>
      <x:bottom style="thin">
        <x:color rgb="FFD9E2F3"/>
      </x:bottom>
    </x:border>
    <x:border>
      <x:top style="thin">
        <x:color rgb="FFD9E2F3"/>
      </x:top>
    </x:border>
    <x:border>
      <x:top style="thin">
        <x:color rgb="FFD9E2F3"/>
      </x:top>
      <x:bottom style="thin">
        <x:color rgb="FFB4C6E7"/>
      </x:bottom>
    </x:border>
    <x:border>
      <x:left style="thin">
        <x:color rgb="FFA6BCE6"/>
      </x:left>
      <x:right style="thin">
        <x:color rgb="FFA6BCE6"/>
      </x:right>
      <x:top style="thin">
        <x:color rgb="FFA6BCE6"/>
      </x:top>
      <x:bottom style="thin">
        <x:color rgb="FFA6BCE6"/>
      </x:bottom>
    </x:border>
    <x:border>
      <x:left style="thin">
        <x:color rgb="FFAFC5E8"/>
      </x:left>
      <x:right style="thin">
        <x:color rgb="FFAFC5E8"/>
      </x:right>
      <x:top style="thin">
        <x:color rgb="FFAFC5E8"/>
      </x:top>
      <x:bottom style="thin">
        <x:color rgb="FFAFC5E8"/>
      </x:bottom>
    </x:border>
    <x:border>
      <x:left style="thin">
        <x:color rgb="FFB4C6E7"/>
      </x:left>
      <x:top style="thin">
        <x:color rgb="FFB4C6E7"/>
      </x:top>
    </x:border>
    <x:border>
      <x:right style="thin">
        <x:color rgb="FFB4C6E7"/>
      </x:right>
      <x:top style="thin">
        <x:color rgb="FFB4C6E7"/>
      </x:top>
    </x:border>
    <x:border>
      <x:left style="thin">
        <x:color rgb="FFB4C6E7"/>
      </x:left>
      <x:bottom style="thin">
        <x:color rgb="FFB4C6E7"/>
      </x:bottom>
    </x:border>
    <x:border>
      <x:right style="thin">
        <x:color rgb="FFB4C6E7"/>
      </x:right>
      <x:bottom style="thin">
        <x:color rgb="FFB4C6E7"/>
      </x:bottom>
    </x:border>
  </x:borders>
  <x:cellStyleXfs count="2">
    <x:xf numFmtId="0" fontId="0" fillId="0" borderId="0"/>
    <x:xf numFmtId="0" fontId="15" fillId="0" borderId="0" applyNumberFormat="0" applyFill="0" applyBorder="0" applyAlignment="0" applyProtection="0"/>
  </x:cellStyleXfs>
  <x:cellXfs count="148">
    <x:xf numFmtId="0" fontId="0" fillId="0" borderId="0" xfId="0"/>
    <x:xf numFmtId="0" fontId="3" fillId="4" borderId="1" xfId="0" applyFont="1" applyFill="1" applyBorder="1" applyAlignment="1">
      <x:alignment horizontal="center" vertical="center" wrapText="1"/>
    </x:xf>
    <x:xf numFmtId="0" fontId="4" fillId="0" borderId="3" xfId="0" applyFont="1" applyBorder="1" applyAlignment="1">
      <x:alignment vertical="center" wrapText="1"/>
    </x:xf>
    <x:xf numFmtId="0" fontId="4" fillId="0" borderId="3" xfId="0" applyFont="1" applyBorder="1" applyAlignment="1">
      <x:alignment horizontal="center" vertical="center" wrapText="1"/>
    </x:xf>
    <x:xf numFmtId="0" fontId="5" fillId="0" borderId="3" xfId="0" applyFont="1" applyBorder="1" applyAlignment="1">
      <x:alignment horizontal="center" vertical="center" wrapText="1"/>
    </x:xf>
    <x:xf numFmtId="164" fontId="4" fillId="0" borderId="3" xfId="0" applyNumberFormat="1" applyFont="1" applyBorder="1" applyAlignment="1">
      <x:alignment horizontal="center" vertical="center" wrapText="1"/>
    </x:xf>
    <x:xf numFmtId="9" fontId="4" fillId="0" borderId="3" xfId="0" applyNumberFormat="1" applyFont="1" applyBorder="1" applyAlignment="1">
      <x:alignment horizontal="center" vertical="center" wrapText="1"/>
    </x:xf>
    <x:xf numFmtId="0" fontId="4" fillId="5" borderId="3" xfId="0" applyFont="1" applyFill="1" applyBorder="1" applyAlignment="1">
      <x:alignment horizontal="center" vertical="center" wrapText="1"/>
    </x:xf>
    <x:xf numFmtId="0" fontId="4" fillId="5" borderId="3" xfId="0" applyFont="1" applyFill="1" applyBorder="1" applyAlignment="1">
      <x:alignment vertical="center" wrapText="1"/>
    </x:xf>
    <x:xf numFmtId="164" fontId="4" fillId="5" borderId="3" xfId="0" applyNumberFormat="1" applyFont="1" applyFill="1" applyBorder="1" applyAlignment="1">
      <x:alignment horizontal="center" vertical="center" wrapText="1"/>
    </x:xf>
    <x:xf numFmtId="9" fontId="4" fillId="5" borderId="3" xfId="0" applyNumberFormat="1" applyFont="1" applyFill="1" applyBorder="1" applyAlignment="1">
      <x:alignment horizontal="center" vertical="center" wrapText="1"/>
    </x:xf>
    <x:xf numFmtId="0" fontId="5" fillId="5" borderId="3" xfId="0" applyFont="1" applyFill="1" applyBorder="1" applyAlignment="1">
      <x:alignment horizontal="center" vertical="center" wrapText="1"/>
    </x:xf>
    <x:xf numFmtId="0" fontId="4" fillId="5" borderId="4" xfId="0" applyFont="1" applyFill="1" applyBorder="1" applyAlignment="1">
      <x:alignment horizontal="center" vertical="center" wrapText="1"/>
    </x:xf>
    <x:xf numFmtId="0" fontId="4" fillId="5" borderId="4" xfId="0" applyFont="1" applyFill="1" applyBorder="1" applyAlignment="1">
      <x:alignment vertical="center" wrapText="1"/>
    </x:xf>
    <x:xf numFmtId="164" fontId="4" fillId="5" borderId="4" xfId="0" applyNumberFormat="1" applyFont="1" applyFill="1" applyBorder="1" applyAlignment="1">
      <x:alignment horizontal="center" vertical="center" wrapText="1"/>
    </x:xf>
    <x:xf numFmtId="9" fontId="4" fillId="5" borderId="4" xfId="0" applyNumberFormat="1" applyFont="1" applyFill="1" applyBorder="1" applyAlignment="1">
      <x:alignment horizontal="center" vertical="center" wrapText="1"/>
    </x:xf>
    <x:xf numFmtId="0" fontId="5" fillId="5" borderId="4" xfId="0" applyFont="1" applyFill="1" applyBorder="1" applyAlignment="1">
      <x:alignment horizontal="center" vertical="center" wrapText="1"/>
    </x:xf>
    <x:xf numFmtId="0" fontId="10" fillId="3" borderId="0" xfId="0" applyFont="1" applyFill="1" applyAlignment="1">
      <x:alignment horizontal="center"/>
    </x:xf>
    <x:xf numFmtId="0" fontId="11" fillId="0" borderId="1" xfId="0" applyFont="1" applyBorder="1" applyAlignment="1">
      <x:alignment horizontal="center"/>
    </x:xf>
    <x:xf numFmtId="0" fontId="6" fillId="2" borderId="0" xfId="0" applyFont="1" applyFill="1" applyAlignment="1">
      <x:alignment horizontal="center"/>
    </x:xf>
    <x:xf numFmtId="0" fontId="10" fillId="3" borderId="0" xfId="0" applyFont="1" applyFill="1" applyAlignment="1">
      <x:alignment vertical="center"/>
    </x:xf>
    <x:xf numFmtId="0" fontId="0" fillId="3" borderId="1" xfId="0" applyFill="1" applyBorder="1" applyAlignment="1">
      <x:alignment vertical="center"/>
    </x:xf>
    <x:xf numFmtId="164" fontId="0" fillId="0" borderId="1" xfId="0" applyNumberFormat="1" applyBorder="1" applyAlignment="1">
      <x:alignment vertical="center"/>
    </x:xf>
    <x:xf numFmtId="1" fontId="0" fillId="8" borderId="1" xfId="0" applyNumberFormat="1" applyFill="1" applyBorder="1" applyAlignment="1">
      <x:alignment horizontal="right" vertical="center"/>
    </x:xf>
    <x:xf numFmtId="0" fontId="0" fillId="0" borderId="1" xfId="0" applyBorder="1" applyAlignment="1">
      <x:alignment vertical="center" wrapText="1"/>
    </x:xf>
    <x:xf numFmtId="0" fontId="0" fillId="3" borderId="1" xfId="0" applyFill="1" applyBorder="1" applyAlignment="1">
      <x:alignment vertical="center" wrapText="1"/>
    </x:xf>
    <x:xf numFmtId="0" fontId="0" fillId="0" borderId="1" xfId="0" applyBorder="1" applyAlignment="1">
      <x:alignment horizontal="center" vertical="center" wrapText="1"/>
    </x:xf>
    <x:xf numFmtId="0" fontId="14" fillId="9" borderId="1" xfId="0" applyFont="1" applyFill="1" applyBorder="1"/>
    <x:xf numFmtId="164" fontId="14" fillId="10" borderId="1" xfId="0" applyNumberFormat="1" applyFont="1" applyFill="1" applyBorder="1"/>
    <x:xf numFmtId="1" fontId="14" fillId="11" borderId="1" xfId="0" applyNumberFormat="1" applyFont="1" applyFill="1" applyBorder="1"/>
    <x:xf numFmtId="0" fontId="8" fillId="2" borderId="0" xfId="0" applyFont="1" applyFill="1" applyAlignment="1">
      <x:alignment horizontal="center" vertical="center"/>
    </x:xf>
    <x:xf numFmtId="0" fontId="9" fillId="3" borderId="0" xfId="0" applyFont="1" applyFill="1" applyAlignment="1">
      <x:alignment horizontal="center" vertical="center"/>
    </x:xf>
    <x:xf numFmtId="0" fontId="12" fillId="6" borderId="0" xfId="0" applyFont="1" applyFill="1" applyAlignment="1">
      <x:alignment horizontal="center"/>
    </x:xf>
    <x:xf numFmtId="0" fontId="6" fillId="2" borderId="0" xfId="0" applyFont="1" applyFill="1" applyAlignment="1">
      <x:alignment horizontal="center"/>
    </x:xf>
    <x:xf numFmtId="0" fontId="0" fillId="7" borderId="0" xfId="0" applyFill="1" applyAlignment="1">
      <x:alignment vertical="center" wrapText="1"/>
    </x:xf>
    <x:xf numFmtId="0" fontId="13" fillId="7" borderId="0" xfId="0" applyFont="1" applyFill="1" applyAlignment="1">
      <x:alignment vertical="center" wrapText="1"/>
    </x:xf>
    <x:xf numFmtId="0" fontId="1" fillId="2" borderId="0" xfId="0" applyFont="1" applyFill="1" applyAlignment="1">
      <x:alignment horizontal="center" vertical="center"/>
    </x:xf>
    <x:xf numFmtId="0" fontId="2" fillId="3" borderId="0" xfId="0" applyFont="1" applyFill="1" applyAlignment="1">
      <x:alignment horizontal="center" vertical="center"/>
    </x:xf>
    <x:xf numFmtId="0" fontId="6" fillId="2" borderId="2" xfId="0" applyFont="1" applyFill="1" applyBorder="1" applyAlignment="1">
      <x:alignment horizontal="left" vertical="center" wrapText="1"/>
    </x:xf>
    <x:xf numFmtId="164" fontId="6" fillId="2" borderId="2" xfId="0" applyNumberFormat="1" applyFont="1" applyFill="1" applyBorder="1" applyAlignment="1">
      <x:alignment horizontal="left" vertical="center" wrapText="1"/>
    </x:xf>
    <x:xf numFmtId="9" fontId="6" fillId="2" borderId="2" xfId="0" applyNumberFormat="1" applyFont="1" applyFill="1" applyBorder="1" applyAlignment="1">
      <x:alignment horizontal="left" vertical="center" wrapText="1"/>
    </x:xf>
    <x:xf numFmtId="0" fontId="6" fillId="2" borderId="3" xfId="0" applyFont="1" applyFill="1" applyBorder="1" applyAlignment="1">
      <x:alignment horizontal="left" vertical="center" wrapText="1"/>
    </x:xf>
    <x:xf numFmtId="164" fontId="6" fillId="2" borderId="3" xfId="0" applyNumberFormat="1" applyFont="1" applyFill="1" applyBorder="1" applyAlignment="1">
      <x:alignment horizontal="left" vertical="center" wrapText="1"/>
    </x:xf>
    <x:xf numFmtId="9" fontId="6" fillId="2" borderId="3" xfId="0" applyNumberFormat="1" applyFont="1" applyFill="1" applyBorder="1" applyAlignment="1">
      <x:alignment horizontal="left" vertical="center" wrapText="1"/>
    </x:xf>
    <x:xf numFmtId="0" fontId="7" fillId="3" borderId="5" xfId="0" applyFont="1" applyFill="1" applyBorder="1" applyAlignment="1">
      <x:alignment horizontal="left" vertical="center" wrapText="1"/>
    </x:xf>
    <x:xf numFmtId="164" fontId="7" fillId="3" borderId="5" xfId="0" applyNumberFormat="1" applyFont="1" applyFill="1" applyBorder="1" applyAlignment="1">
      <x:alignment horizontal="left" vertical="center" wrapText="1"/>
    </x:xf>
    <x:xf numFmtId="9" fontId="7" fillId="3" borderId="5" xfId="0" applyNumberFormat="1" applyFont="1" applyFill="1" applyBorder="1" applyAlignment="1">
      <x:alignment horizontal="left" vertical="center" wrapText="1"/>
    </x:xf>
    <x:xf numFmtId="165" fontId="4" fillId="0" borderId="3" xfId="0" applyNumberFormat="1" applyFont="1" applyBorder="1" applyAlignment="1">
      <x:alignment horizontal="center" vertical="center" wrapText="1"/>
    </x:xf>
    <x:xf numFmtId="19" fontId="4" fillId="0" borderId="3" xfId="0" applyNumberFormat="1" applyFont="1" applyBorder="1" applyAlignment="1">
      <x:alignment horizontal="center" vertical="center" wrapText="1"/>
    </x:xf>
    <x:xf numFmtId="0" fontId="15" fillId="0" borderId="3" xfId="1" applyBorder="1" applyAlignment="1">
      <x:alignment horizontal="center" vertical="center" wrapText="1"/>
    </x:xf>
    <x:xf numFmtId="165" fontId="4" fillId="5" borderId="3" xfId="0" applyNumberFormat="1" applyFont="1" applyFill="1" applyBorder="1" applyAlignment="1">
      <x:alignment horizontal="center" vertical="center" wrapText="1"/>
    </x:xf>
    <x:xf numFmtId="19" fontId="4" fillId="5" borderId="3" xfId="0" applyNumberFormat="1" applyFont="1" applyFill="1" applyBorder="1" applyAlignment="1">
      <x:alignment horizontal="center" vertical="center" wrapText="1"/>
    </x:xf>
    <x:xf numFmtId="0" fontId="15" fillId="5" borderId="3" xfId="1" applyFill="1" applyBorder="1" applyAlignment="1">
      <x:alignment horizontal="center" vertical="center" wrapText="1"/>
    </x:xf>
    <x:xf numFmtId="165" fontId="14" fillId="10" borderId="1" xfId="0" applyNumberFormat="1" applyFont="1" applyFill="1" applyBorder="1"/>
    <x:xf numFmtId="165" fontId="4" fillId="0" borderId="3" xfId="0" applyNumberFormat="1" applyFont="1" applyFill="1" applyBorder="1" applyAlignment="1">
      <x:alignment horizontal="center" vertical="center" wrapText="1"/>
    </x:xf>
    <x:xf numFmtId="200" fontId="4" fillId="5" borderId="3" xfId="0" applyNumberFormat="1" applyFont="1" applyFill="1" applyBorder="1" applyAlignment="1">
      <x:alignment horizontal="center" vertical="center" wrapText="1"/>
    </x:xf>
    <x:xf numFmtId="200" fontId="4" fillId="0" borderId="3" xfId="0" applyNumberFormat="1" applyFont="1" applyFill="1" applyBorder="1" applyAlignment="1">
      <x:alignment horizontal="center" vertical="center" wrapText="1"/>
    </x:xf>
    <x:xf numFmtId="0" fontId="4" fillId="12" borderId="3" xfId="0" applyNumberFormat="1" applyFont="1" applyFill="1" applyBorder="1" applyAlignment="1">
      <x:alignment horizontal="center" vertical="center" wrapText="1"/>
    </x:xf>
    <x:xf numFmtId="200" fontId="6" fillId="2" borderId="2" xfId="0" applyNumberFormat="1" applyFont="1" applyFill="1" applyBorder="1" applyAlignment="1">
      <x:alignment horizontal="left" vertical="center" wrapText="1"/>
    </x:xf>
    <x:xf numFmtId="200" fontId="6" fillId="2" borderId="3" xfId="0" applyNumberFormat="1" applyFont="1" applyFill="1" applyBorder="1" applyAlignment="1">
      <x:alignment horizontal="left" vertical="center" wrapText="1"/>
    </x:xf>
    <x:xf numFmtId="200" fontId="7" fillId="3" borderId="5" xfId="0" applyNumberFormat="1" applyFont="1" applyFill="1" applyBorder="1" applyAlignment="1">
      <x:alignment horizontal="left" vertical="center" wrapText="1"/>
    </x:xf>
    <x:xf numFmtId="200" fontId="4" fillId="5" borderId="4" xfId="0" applyNumberFormat="1" applyFont="1" applyFill="1" applyBorder="1" applyAlignment="1">
      <x:alignment horizontal="center" vertical="center" wrapText="1"/>
    </x:xf>
    <x:xf numFmtId="200" fontId="0" fillId="7" borderId="0" xfId="0" applyNumberFormat="1" applyFont="1" applyFill="1" applyBorder="1" applyAlignment="1">
      <x:alignment vertical="center" wrapText="1"/>
    </x:xf>
    <x:xf numFmtId="0" fontId="13" fillId="7" borderId="0"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applyAlignment="1">
      <x:alignment vertical="center"/>
    </x:xf>
    <x:xf numFmtId="200" fontId="14" fillId="10" borderId="1" xfId="0" applyNumberFormat="1" applyFont="1" applyFill="1" applyBorder="1"/>
    <x:xf numFmtId="0" fontId="0" fillId="13" borderId="0" xfId="0" applyNumberFormat="1" applyFont="1" applyFill="1" applyBorder="1"/>
    <x:xf numFmtId="0" fontId="0" fillId="14" borderId="0" xfId="0" applyNumberFormat="1" applyFont="1" applyFill="1" applyBorder="1"/>
    <x:xf numFmtId="0" fontId="0" fillId="12" borderId="0" xfId="0" applyNumberFormat="1" applyFont="1" applyFill="1" applyBorder="1"/>
    <x:xf numFmtId="0" fontId="0" fillId="13" borderId="6" xfId="0" applyNumberFormat="1" applyFont="1" applyFill="1" applyBorder="1"/>
    <x:xf numFmtId="200" fontId="0" fillId="0" borderId="6" xfId="0" applyNumberFormat="1" applyFont="1" applyFill="1" applyBorder="1"/>
    <x:xf numFmtId="0" fontId="0" fillId="14" borderId="6" xfId="0" applyNumberFormat="1" applyFont="1" applyFill="1" applyBorder="1"/>
    <x:xf numFmtId="0" fontId="0" fillId="12" borderId="6" xfId="0" applyNumberFormat="1" applyFont="1" applyFill="1" applyBorder="1"/>
    <x:xf numFmtId="0" fontId="0" fillId="15" borderId="0" xfId="0" applyNumberFormat="1" applyFont="1" applyFill="1" applyBorder="1"/>
    <x:xf numFmtId="0" fontId="0" fillId="15" borderId="6" xfId="0" applyNumberFormat="1" applyFont="1" applyFill="1" applyBorder="1"/>
    <x:xf numFmtId="0" fontId="0" fillId="0" borderId="6" xfId="0" applyNumberFormat="1" applyFont="1" applyFill="1" applyBorder="1"/>
    <x:xf numFmtId="0" fontId="0" fillId="16" borderId="0" xfId="0" applyNumberFormat="1" applyFont="1" applyFill="1" applyBorder="1"/>
    <x:xf numFmtId="0" fontId="0" fillId="16" borderId="6" xfId="0" applyNumberFormat="1" applyFont="1" applyFill="1" applyBorder="1"/>
    <x:xf numFmtId="0" fontId="0" fillId="0" borderId="7" xfId="0" applyNumberFormat="1" applyFont="1" applyFill="1" applyBorder="1"/>
    <x:xf numFmtId="200" fontId="0" fillId="0" borderId="7" xfId="0" applyNumberFormat="1" applyFont="1" applyFill="1" applyBorder="1"/>
    <x:xf numFmtId="0" fontId="0" fillId="17" borderId="7" xfId="0" applyNumberFormat="1" applyFont="1" applyFill="1" applyBorder="1"/>
    <x:xf numFmtId="0" fontId="0" fillId="17" borderId="7" xfId="0" applyNumberFormat="1" applyFont="1" applyFill="1" applyBorder="1" applyAlignment="1">
      <x:alignment horizontal="left"/>
    </x:xf>
    <x:xf numFmtId="200" fontId="0" fillId="18" borderId="7" xfId="0" applyNumberFormat="1" applyFont="1" applyFill="1" applyBorder="1"/>
    <x:xf numFmtId="200" fontId="0" fillId="18" borderId="7" xfId="0" applyNumberFormat="1" applyFont="1" applyFill="1" applyBorder="1" applyAlignment="1">
      <x:alignment horizontal="right"/>
    </x:xf>
    <x:xf numFmtId="0" fontId="0" fillId="19" borderId="7" xfId="0" applyNumberFormat="1" applyFont="1" applyFill="1" applyBorder="1"/>
    <x:xf numFmtId="201" fontId="0" fillId="19" borderId="7" xfId="0" applyNumberFormat="1" applyFont="1" applyFill="1" applyBorder="1"/>
    <x:xf numFmtId="201" fontId="0" fillId="19" borderId="7" xfId="0" applyNumberFormat="1" applyFont="1" applyFill="1" applyBorder="1" applyAlignment="1">
      <x:alignment horizontal="right"/>
    </x:xf>
    <x:xf numFmtId="202" fontId="4" fillId="0" borderId="3" xfId="0" applyNumberFormat="1" applyFont="1" applyFill="1" applyBorder="1" applyAlignment="1">
      <x:alignment horizontal="center" vertical="center" wrapText="1"/>
    </x:xf>
    <x:xf numFmtId="0" fontId="4" fillId="20" borderId="3" xfId="0" applyNumberFormat="1" applyFont="1" applyFill="1" applyBorder="1" applyAlignment="1">
      <x:alignment horizontal="center" vertical="center" wrapText="1"/>
    </x:xf>
    <x:xf numFmtId="202" fontId="4" fillId="5" borderId="3" xfId="0" applyNumberFormat="1" applyFont="1" applyFill="1" applyBorder="1" applyAlignment="1">
      <x:alignment horizontal="center" vertical="center" wrapText="1"/>
    </x:xf>
    <x:xf numFmtId="0" fontId="4" fillId="21" borderId="3" xfId="0" applyNumberFormat="1" applyFont="1" applyFill="1" applyBorder="1" applyAlignment="1">
      <x:alignment horizontal="center" vertical="center" wrapText="1"/>
    </x:xf>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0" fillId="22" borderId="1" xfId="0" applyNumberFormat="1" applyFont="1" applyFill="1" applyBorder="1"/>
    <x:xf numFmtId="0" fontId="0" fillId="23" borderId="1" xfId="0" applyNumberFormat="1" applyFont="1" applyFill="1" applyBorder="1"/>
    <x:xf numFmtId="0" fontId="0" fillId="24" borderId="1" xfId="0" applyNumberFormat="1" applyFont="1" applyFill="1" applyBorder="1"/>
    <x:xf numFmtId="0" fontId="0" fillId="22" borderId="1" xfId="0" applyNumberFormat="1" applyFont="1" applyFill="1" applyBorder="1" applyAlignment="1">
      <x:alignment wrapText="0"/>
    </x:xf>
    <x:xf numFmtId="0" fontId="0" fillId="23" borderId="1" xfId="0" applyNumberFormat="1" applyFont="1" applyFill="1" applyBorder="1" applyAlignment="1">
      <x:alignment wrapText="0"/>
    </x:xf>
    <x:xf numFmtId="0" fontId="0" fillId="24" borderId="1" xfId="0" applyNumberFormat="1" applyFont="1" applyFill="1" applyBorder="1" applyAlignment="1">
      <x:alignment wrapText="0"/>
    </x:xf>
    <x:xf numFmtId="0" fontId="0" fillId="22" borderId="1" xfId="0" applyNumberFormat="1" applyFont="1" applyFill="1" applyBorder="1" applyAlignment="1">
      <x:alignment horizontal="left" wrapText="0"/>
    </x:xf>
    <x:xf numFmtId="0" fontId="0" fillId="23" borderId="1" xfId="0" applyNumberFormat="1" applyFont="1" applyFill="1" applyBorder="1" applyAlignment="1">
      <x:alignment horizontal="right" wrapText="0"/>
    </x:xf>
    <x:xf numFmtId="0" fontId="0" fillId="24" borderId="1" xfId="0" applyNumberFormat="1" applyFont="1" applyFill="1" applyBorder="1" applyAlignment="1">
      <x:alignment horizontal="right" wrapText="0"/>
    </x:xf>
    <x:xf numFmtId="200" fontId="0" fillId="23" borderId="1" xfId="0" applyNumberFormat="1" applyFont="1" applyFill="1" applyBorder="1" applyAlignment="1">
      <x:alignment horizontal="right" wrapText="0"/>
    </x:xf>
    <x:xf numFmtId="203" fontId="0" fillId="24" borderId="1" xfId="0" applyNumberFormat="1" applyFont="1" applyFill="1" applyBorder="1" applyAlignment="1">
      <x:alignment horizontal="right" wrapText="0"/>
    </x:xf>
    <x:xf numFmtId="0" fontId="0" fillId="25" borderId="0" xfId="0" applyNumberFormat="1" applyFont="1" applyFill="1" applyBorder="1"/>
    <x:xf numFmtId="0" fontId="6" fillId="25" borderId="0" xfId="0" applyNumberFormat="1" applyFont="1" applyFill="1" applyBorder="1"/>
    <x:xf numFmtId="0" fontId="6" fillId="25" borderId="0" xfId="0" applyNumberFormat="1" applyFont="1" applyFill="1" applyBorder="1" applyAlignment="1">
      <x:alignment horizontal="center"/>
    </x:xf>
    <x:xf numFmtId="0" fontId="6" fillId="25" borderId="0" xfId="0" applyNumberFormat="1" applyFont="1" applyFill="1" applyBorder="1" applyAlignment="1">
      <x:alignment horizontal="center" vertical="center"/>
    </x:xf>
    <x:xf numFmtId="0" fontId="0" fillId="26" borderId="0" xfId="0" applyNumberFormat="1" applyFont="1" applyFill="1" applyBorder="1"/>
    <x:xf numFmtId="0" fontId="9" fillId="26" borderId="0" xfId="0" applyNumberFormat="1" applyFont="1" applyFill="1" applyBorder="1"/>
    <x:xf numFmtId="0" fontId="9" fillId="26" borderId="0" xfId="0" applyNumberFormat="1" applyFont="1" applyFill="1" applyBorder="1" applyAlignment="1">
      <x:alignment wrapText="1"/>
    </x:xf>
    <x:xf numFmtId="0" fontId="9" fillId="26" borderId="0" xfId="0" applyNumberFormat="1" applyFont="1" applyFill="1" applyBorder="1" applyAlignment="1">
      <x:alignment horizontal="center" wrapText="1"/>
    </x:xf>
    <x:xf numFmtId="0" fontId="9" fillId="26" borderId="0" xfId="0" applyNumberFormat="1" applyFont="1" applyFill="1" applyBorder="1" applyAlignment="1">
      <x:alignment horizontal="center" vertical="center" wrapText="1"/>
    </x:xf>
    <x:xf numFmtId="0" fontId="0" fillId="27" borderId="0" xfId="0" applyNumberFormat="1" applyFont="1" applyFill="1" applyBorder="1"/>
    <x:xf numFmtId="0" fontId="16" fillId="27" borderId="0" xfId="0" applyNumberFormat="1" applyFont="1" applyFill="1" applyBorder="1"/>
    <x:xf numFmtId="0" fontId="16" fillId="27" borderId="8" xfId="0" applyNumberFormat="1" applyFont="1" applyFill="1" applyBorder="1"/>
    <x:xf numFmtId="0" fontId="16" fillId="27" borderId="9" xfId="0" applyNumberFormat="1" applyFont="1" applyFill="1" applyBorder="1"/>
    <x:xf numFmtId="0" fontId="16" fillId="27" borderId="10" xfId="0" applyNumberFormat="1" applyFont="1" applyFill="1" applyBorder="1"/>
    <x:xf numFmtId="0" fontId="16" fillId="27" borderId="11" xfId="0" applyNumberFormat="1" applyFont="1" applyFill="1" applyBorder="1"/>
    <x:xf numFmtId="0" fontId="10" fillId="27" borderId="8" xfId="0" applyNumberFormat="1" applyFont="1" applyFill="1" applyBorder="1"/>
    <x:xf numFmtId="0" fontId="10" fillId="27" borderId="9" xfId="0" applyNumberFormat="1" applyFont="1" applyFill="1" applyBorder="1"/>
    <x:xf numFmtId="0" fontId="10" fillId="27" borderId="10" xfId="0" applyNumberFormat="1" applyFont="1" applyFill="1" applyBorder="1"/>
    <x:xf numFmtId="0" fontId="10" fillId="27" borderId="11" xfId="0" applyNumberFormat="1" applyFont="1" applyFill="1" applyBorder="1"/>
    <x:xf numFmtId="202" fontId="10" fillId="27" borderId="10" xfId="0" applyNumberFormat="1" applyFont="1" applyFill="1" applyBorder="1"/>
    <x:xf numFmtId="200" fontId="10" fillId="27" borderId="10" xfId="0" applyNumberFormat="1" applyFont="1" applyFill="1" applyBorder="1"/>
    <x:xf numFmtId="0" fontId="0" fillId="28" borderId="0" xfId="0" applyNumberFormat="1" applyFont="1" applyFill="1" applyBorder="1"/>
    <x:xf numFmtId="0" fontId="17" fillId="28" borderId="0" xfId="0" applyNumberFormat="1" applyFont="1" applyFill="1" applyBorder="1"/>
    <x:xf numFmtId="0" fontId="17" fillId="28" borderId="0" xfId="0" applyNumberFormat="1" applyFont="1" applyFill="1" applyBorder="1" applyAlignment="1">
      <x:alignment wrapText="1"/>
    </x:xf>
    <x:xf numFmtId="0" fontId="17" fillId="28" borderId="0" xfId="0" applyNumberFormat="1" applyFont="1" applyFill="1" applyBorder="1" applyAlignment="1">
      <x:alignment horizontal="center" wrapText="1"/>
    </x:xf>
    <x:xf numFmtId="204" fontId="0" fillId="0" borderId="0" xfId="0" applyNumberFormat="1" applyFont="1" applyFill="1" applyBorder="1"/>
    <x:xf numFmtId="0" fontId="0" fillId="0" borderId="0" xfId="0" applyNumberFormat="1" applyFont="1" applyFill="1" applyBorder="1"/>
    <x:xf numFmtId="0" fontId="6" fillId="25" borderId="0" xfId="0" applyNumberFormat="1" applyFont="1" applyFill="1" applyBorder="1" applyAlignment="1">
      <x:alignment wrapText="1"/>
    </x:xf>
    <x:xf numFmtId="0" fontId="6" fillId="25" borderId="0" xfId="0" applyNumberFormat="1" applyFont="1" applyFill="1" applyBorder="1" applyAlignment="1">
      <x:alignment horizontal="center" wrapText="1"/>
    </x:xf>
    <x:xf numFmtId="0" fontId="6" fillId="2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6" fillId="29" borderId="0" xfId="0" applyNumberFormat="1" applyFont="1" applyFill="1" applyBorder="1" applyAlignment="1">
      <x:alignment horizontal="center" vertical="center"/>
    </x:xf>
    <x:xf numFmtId="0" fontId="9" fillId="30" borderId="0" xfId="0" applyNumberFormat="1" applyFont="1" applyFill="1" applyBorder="1" applyAlignment="1">
      <x:alignment horizontal="center" vertical="center" wrapText="1"/>
    </x:xf>
    <x:xf numFmtId="0" fontId="10" fillId="31" borderId="8" xfId="0" applyNumberFormat="1" applyFont="1" applyFill="1" applyBorder="1"/>
    <x:xf numFmtId="0" fontId="10" fillId="31" borderId="9" xfId="0" applyNumberFormat="1" applyFont="1" applyFill="1" applyBorder="1"/>
    <x:xf numFmtId="0" fontId="10" fillId="31" borderId="10" xfId="0" applyNumberFormat="1" applyFont="1" applyFill="1" applyBorder="1"/>
    <x:xf numFmtId="0" fontId="10" fillId="31" borderId="11" xfId="0" applyNumberFormat="1" applyFont="1" applyFill="1" applyBorder="1"/>
    <x:xf numFmtId="202" fontId="10" fillId="31" borderId="10" xfId="0" applyNumberFormat="1" applyFont="1" applyFill="1" applyBorder="1"/>
    <x:xf numFmtId="200" fontId="10" fillId="31" borderId="10" xfId="0" applyNumberFormat="1" applyFont="1" applyFill="1" applyBorder="1"/>
    <x:xf numFmtId="0" fontId="17" fillId="3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6" fillId="29" borderId="0" xfId="0" applyNumberFormat="1" applyFont="1" applyFill="1" applyBorder="1" applyAlignment="1">
      <x:alignment horizontal="center" vertical="center" wrapText="1"/>
    </x:xf>
  </x:cellXfs>
  <x:cellStyles count="2">
    <x:cellStyle name="Hyperlink" xfId="1"/>
    <x:cellStyle name="Normal" xfId="0"/>
  </x:cellStyles>
  <x:dxfs count="58">
    <x:dxf>
      <x:font>
        <x:color rgb="FF666666"/>
      </x:font>
      <x:fill>
        <x:patternFill>
          <x:bgColor rgb="FFF3F3F3"/>
        </x:patternFill>
      </x:fill>
    </x:dxf>
    <x:dxf>
      <x:font>
        <x:b/>
        <x:color rgb="FF7F6000"/>
      </x:font>
      <x:fill>
        <x:patternFill>
          <x:bgColor rgb="FFFFFF99"/>
        </x:patternFill>
      </x:fill>
    </x:dxf>
    <x:dxf>
      <x:font>
        <x:color rgb="FF006100"/>
      </x:font>
      <x:fill>
        <x:patternFill>
          <x:bgColor rgb="FFCCFFCC"/>
        </x:patternFill>
      </x:fill>
    </x:dxf>
    <x:dxf>
      <x:font>
        <x:color rgb="FF006100"/>
      </x:font>
      <x:fill>
        <x:patternFill>
          <x:bgColor rgb="FFCCFF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x:bgColor rgb="FFC6EFCE"/>
        </x:patternFill>
      </x:fill>
    </x:dxf>
    <x:dxf>
      <x:font>
        <x:b/>
        <x:color rgb="FF9C0006"/>
      </x:font>
      <x:fill>
        <x:patternFill>
          <x:bgColor rgb="FFF4CCCC"/>
        </x:patternFill>
      </x:fill>
    </x:dxf>
    <x:dxf>
      <x:font>
        <x:color rgb="FF7F6000"/>
      </x:font>
      <x:fill>
        <x:patternFill>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
      <x:font>
        <x:b/>
        <x:color rgb="FF006100"/>
      </x:font>
      <x:fill>
        <x:patternFill patternType="solid">
          <x:bgColor rgb="FFC6EFCE"/>
        </x:patternFill>
      </x:fill>
    </x:dxf>
    <x:dxf>
      <x:font>
        <x:b/>
        <x:color rgb="FF9C0006"/>
      </x:font>
      <x:fill>
        <x:patternFill patternType="solid">
          <x:bgColor rgb="FFF4CCCC"/>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1a139b6666407f" /><Relationship Type="http://schemas.openxmlformats.org/officeDocument/2006/relationships/theme" Target="/xl/theme/theme1.xml" Id="R0592047b7f8b4167" /><Relationship Type="http://schemas.openxmlformats.org/officeDocument/2006/relationships/sharedStrings" Target="/xl/sharedStrings.xml" Id="R541eb0dd727c4bb4" /><Relationship Type="http://schemas.openxmlformats.org/officeDocument/2006/relationships/worksheet" Target="/xl/worksheets/sheet1.xml" Id="Rc60e765eac9e4d46" /><Relationship Type="http://schemas.openxmlformats.org/officeDocument/2006/relationships/worksheet" Target="/xl/worksheets/sheet2.xml" Id="R963abc3801ef45c6" /><Relationship Type="http://schemas.openxmlformats.org/officeDocument/2006/relationships/worksheet" Target="/xl/worksheets/sheet3.xml" Id="Redbe176dff8d457d" /><Relationship Type="http://schemas.openxmlformats.org/officeDocument/2006/relationships/worksheet" Target="/xl/worksheets/sheet4.xml" Id="R852bbf71863b435f" /><Relationship Type="http://schemas.openxmlformats.org/officeDocument/2006/relationships/worksheet" Target="/xl/worksheets/sheet5.xml" Id="Re952568753294ed6" /></Relationships>
</file>

<file path=xl/tables/table1.xml><?xml version="1.0" encoding="utf-8"?>
<x:table xmlns:x="http://schemas.openxmlformats.org/spreadsheetml/2006/main" id="1" name="RevisionPlanTable" displayName="RevisionPlanTable" ref="A11:N28" headerRowCount="1" totalsRowCount="0" totalsRowShown="0">
  <x:autoFilter ref="A11:N28"/>
  <x:tableColumns count="14">
    <x:tableColumn id="1" name="Batch"/>
    <x:tableColumn id="2" name="First pass"/>
    <x:tableColumn id="3" name="Coverage"/>
    <x:tableColumn id="4" name="Archive IDs"/>
    <x:tableColumn id="5" name="Count"/>
    <x:tableColumn id="6" name="First status"/>
    <x:tableColumn id="7" name="+2 date"/>
    <x:tableColumn id="8" name="+2 status"/>
    <x:tableColumn id="9" name="+7 date"/>
    <x:tableColumn id="10" name="+7 status"/>
    <x:tableColumn id="11" name="+21 date"/>
    <x:tableColumn id="12" name="+21 status"/>
    <x:tableColumn id="13" name="Best blind score"/>
    <x:tableColumn id="14" name="Notes"/>
  </x:tableColumns>
  <x:tableStyleInfo name="TableStyleMedium2" showFirstColumn="0" showLastColumn="0" showRowStripes="1" showColumnStripes="0"/>
</x:table>
</file>

<file path=xl/tables/table2.xml><?xml version="1.0" encoding="utf-8"?>
<x:table xmlns:x="http://schemas.openxmlformats.org/spreadsheetml/2006/main" id="4" name="RevisionPlanTable" displayName="RevisionPlanTable" ref="A11:N28" headerRowCount="1" totalsRowCount="0" totalsRowShown="0">
  <x:autoFilter ref="A11:N28"/>
  <x:tableColumns count="14">
    <x:tableColumn id="1" name="Batch"/>
    <x:tableColumn id="2" name="First pass"/>
    <x:tableColumn id="3" name="Coverage"/>
    <x:tableColumn id="4" name="Archive IDs"/>
    <x:tableColumn id="5" name="Count"/>
    <x:tableColumn id="6" name="First status"/>
    <x:tableColumn id="7" name="+2 date"/>
    <x:tableColumn id="8" name="+2 status"/>
    <x:tableColumn id="9" name="+7 date"/>
    <x:tableColumn id="10" name="+7 status"/>
    <x:tableColumn id="11" name="+21 date"/>
    <x:tableColumn id="12" name="+21 status"/>
    <x:tableColumn id="13" name="Best blind score"/>
    <x:tableColumn id="14" name="Notes"/>
  </x:tableColumns>
  <x:tableStyleInfo name="TableStyleMedium2" showFirstColumn="0" showLastColumn="0" showRowStripes="1" showColumnStripes="0"/>
</x:table>
</file>

<file path=xl/tables/table3.xml><?xml version="1.0" encoding="utf-8"?>
<x:table xmlns:x="http://schemas.openxmlformats.org/spreadsheetml/2006/main" id="2" name="ProblemRevisionTable" displayName="ProblemRevisionTable" ref="A7:Q185" headerRowCount="1" totalsRowCount="0" totalsRowShown="0">
  <x:autoFilter ref="A7:Q185"/>
  <x:tableColumns count="17">
    <x:tableColumn id="1" name="Website #"/>
    <x:tableColumn id="2" name="Archive #"/>
    <x:tableColumn id="3" name="Topic"/>
    <x:tableColumn id="4" name="Problem"/>
    <x:tableColumn id="5" name="HDLBits ID"/>
    <x:tableColumn id="6" name="Batch"/>
    <x:tableColumn id="7" name="First date"/>
    <x:tableColumn id="8" name="First status"/>
    <x:tableColumn id="9" name="+2 date"/>
    <x:tableColumn id="10" name="+2 status"/>
    <x:tableColumn id="11" name="+7 date"/>
    <x:tableColumn id="12" name="+7 status"/>
    <x:tableColumn id="13" name="+21 date"/>
    <x:tableColumn id="14" name="+21 status"/>
    <x:tableColumn id="15" name="Confidence 1–5"/>
    <x:tableColumn id="16" name="Last mistake"/>
    <x:tableColumn id="17" name="Next action"/>
  </x:tableColumns>
  <x:tableStyleInfo name="TableStyleMedium2" showFirstColumn="0" showLastColumn="0" showRowStripes="1" showColumnStripes="0"/>
</x:table>
</file>

<file path=xl/tables/table4.xml><?xml version="1.0" encoding="utf-8"?>
<x:table xmlns:x="http://schemas.openxmlformats.org/spreadsheetml/2006/main" id="5" name="ProblemRevisionTable" displayName="ProblemRevisionTable" ref="A7:Q185" headerRowCount="1" totalsRowCount="0" totalsRowShown="0">
  <x:autoFilter ref="A7:Q185"/>
  <x:tableColumns count="17">
    <x:tableColumn id="1" name="Website #"/>
    <x:tableColumn id="2" name="Archive #"/>
    <x:tableColumn id="3" name="Topic"/>
    <x:tableColumn id="4" name="Problem"/>
    <x:tableColumn id="5" name="HDLBits ID"/>
    <x:tableColumn id="6" name="Batch"/>
    <x:tableColumn id="7" name="First date"/>
    <x:tableColumn id="8" name="First status"/>
    <x:tableColumn id="9" name="+2 date"/>
    <x:tableColumn id="10" name="+2 status"/>
    <x:tableColumn id="11" name="+7 date"/>
    <x:tableColumn id="12" name="+7 status"/>
    <x:tableColumn id="13" name="+21 date"/>
    <x:tableColumn id="14" name="+21 status"/>
    <x:tableColumn id="15" name="Confidence 1–5"/>
    <x:tableColumn id="16" name="Last mistake"/>
    <x:tableColumn id="17" name="Next action"/>
  </x:tableColumns>
  <x:tableStyleInfo name="TableStyleMedium2" showFirstColumn="0" showLastColumn="0" showRowStripes="1" showColumnStripes="0"/>
</x:table>
</file>

<file path=xl/tables/table5.xml><?xml version="1.0" encoding="utf-8"?>
<x:table xmlns:x="http://schemas.openxmlformats.org/spreadsheetml/2006/main" id="3" name="WeaknessReviewTable" displayName="WeaknessReviewTable" ref="A5:F29" headerRowCount="1" totalsRowCount="0" totalsRowShown="0">
  <x:autoFilter ref="A5:F29"/>
  <x:tableColumns count="6">
    <x:tableColumn id="1" name="#"/>
    <x:tableColumn id="2" name="Weakness"/>
    <x:tableColumn id="3" name="Review date"/>
    <x:tableColumn id="4" name="Status"/>
    <x:tableColumn id="5" name="My one-line rule"/>
    <x:tableColumn id="6" name="Retest evidence / result"/>
  </x:tableColumns>
  <x:tableStyleInfo name="TableStyleMedium2" showFirstColumn="0" showLastColumn="0" showRowStripes="1" showColumnStripes="0"/>
</x:table>
</file>

<file path=xl/tables/table6.xml><?xml version="1.0" encoding="utf-8"?>
<x:table xmlns:x="http://schemas.openxmlformats.org/spreadsheetml/2006/main" id="6" name="WeaknessReviewTable" displayName="WeaknessReviewTable" ref="A5:F29" headerRowCount="1" totalsRowCount="0" totalsRowShown="0">
  <x:autoFilter ref="A5:F29"/>
  <x:tableColumns count="6">
    <x:tableColumn id="1" name="#"/>
    <x:tableColumn id="2" name="Weakness"/>
    <x:tableColumn id="3" name="Review date"/>
    <x:tableColumn id="4" name="Status"/>
    <x:tableColumn id="5" name="My one-line rule"/>
    <x:tableColumn id="6" name="Retest evidence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cfc9a58669c47a3" /><Relationship Type="http://schemas.openxmlformats.org/officeDocument/2006/relationships/table" Target="/xl/tables/table2.xml" Id="Rb75ad98349e340bb" /></Relationships>
</file>

<file path=xl/worksheets/_rels/sheet4.xml.rels>&#65279;<?xml version="1.0" encoding="utf-8"?><Relationships xmlns="http://schemas.openxmlformats.org/package/2006/relationships"><Relationship Type="http://schemas.openxmlformats.org/officeDocument/2006/relationships/table" Target="/xl/tables/table3.xml" Id="R9dfcf1e0e21c41e8" /><Relationship Type="http://schemas.openxmlformats.org/officeDocument/2006/relationships/table" Target="/xl/tables/table4.xml" Id="Reded4bc6e79342a7" /></Relationships>
</file>

<file path=xl/worksheets/_rels/sheet5.xml.rels>&#65279;<?xml version="1.0" encoding="utf-8"?><Relationships xmlns="http://schemas.openxmlformats.org/package/2006/relationships"><Relationship Type="http://schemas.openxmlformats.org/officeDocument/2006/relationships/table" Target="/xl/tables/table5.xml" Id="R0c33ce0997fa410d" /><Relationship Type="http://schemas.openxmlformats.org/officeDocument/2006/relationships/table" Target="/xl/tables/table6.xml" Id="R4bc8b95aa7d44c89" /></Relationships>
</file>

<file path=xl/worksheets/sheet1.xml><?xml version="1.0" encoding="utf-8"?>
<x:worksheet xmlns:x="http://schemas.openxmlformats.org/spreadsheetml/2006/main">
  <x:sheetViews>
    <x:sheetView showGridLines="0" workbookViewId="0"/>
  </x:sheetViews>
  <x:sheetFormatPr defaultRowHeight="13.800000190734863"/>
  <x:cols>
    <x:col min="1" max="4" width="18" customWidth="1"/>
    <x:col min="5" max="5" width="28" customWidth="1"/>
    <x:col min="6" max="6" width="47" customWidth="1"/>
    <x:col min="7" max="8" width="15" customWidth="1"/>
  </x:cols>
  <x:sheetData>
    <x:row r="1" ht="31.950000762939453" customHeight="1">
      <x:c r="A1" s="30" t="s">
        <x:v>0</x:v>
      </x:c>
      <x:c r="B1" s="30" t="s">
        <x:v>0</x:v>
      </x:c>
      <x:c r="C1" s="30" t="s">
        <x:v>0</x:v>
      </x:c>
      <x:c r="D1" s="30" t="s">
        <x:v>0</x:v>
      </x:c>
      <x:c r="E1" s="30" t="s">
        <x:v>0</x:v>
      </x:c>
      <x:c r="F1" s="30" t="s">
        <x:v>0</x:v>
      </x:c>
      <x:c r="G1" s="30" t="s">
        <x:v>0</x:v>
      </x:c>
      <x:c r="H1" s="30" t="s">
        <x:v>0</x:v>
      </x:c>
    </x:row>
    <x:row r="2" ht="31.950000762939453" customHeight="1">
      <x:c r="A2" s="30" t="s">
        <x:v>0</x:v>
      </x:c>
      <x:c r="B2" s="30" t="s">
        <x:v>0</x:v>
      </x:c>
      <x:c r="C2" s="30" t="s">
        <x:v>0</x:v>
      </x:c>
      <x:c r="D2" s="30" t="s">
        <x:v>0</x:v>
      </x:c>
      <x:c r="E2" s="30" t="s">
        <x:v>0</x:v>
      </x:c>
      <x:c r="F2" s="30" t="s">
        <x:v>0</x:v>
      </x:c>
      <x:c r="G2" s="30" t="s">
        <x:v>0</x:v>
      </x:c>
      <x:c r="H2" s="30" t="s">
        <x:v>0</x:v>
      </x:c>
    </x:row>
    <x:row r="3" ht="24" customHeight="1">
      <x:c r="A3" s="31" t="str">
        <x:v>Exact website sequence · 178 of 178 completed · 0 review · 0 to do</x:v>
      </x:c>
      <x:c r="B3" s="31"/>
      <x:c r="C3" s="31"/>
      <x:c r="D3" s="31"/>
      <x:c r="E3" s="31"/>
      <x:c r="F3" s="31"/>
      <x:c r="G3" s="31"/>
      <x:c r="H3" s="31"/>
    </x:row>
    <x:row r="5" ht="28.049999237060547" customHeight="1">
      <x:c r="A5" s="17" t="s">
        <x:v>1</x:v>
      </x:c>
      <x:c r="B5" s="17" t="s">
        <x:v>2</x:v>
      </x:c>
      <x:c r="C5" s="17" t="s">
        <x:v>3</x:v>
      </x:c>
      <x:c r="D5" s="17" t="s">
        <x:v>4</x:v>
      </x:c>
      <x:c r="F5" s="33" t="str">
        <x:v>Day 14 status</x:v>
      </x:c>
      <x:c r="G5" s="33" t="str">
        <x:v>Live profile</x:v>
      </x:c>
      <x:c r="H5" s="33" t="str">
        <x:v>Live profile</x:v>
      </x:c>
    </x:row>
    <x:row r="6" ht="28.049999237060547" customHeight="1">
      <x:c r="A6" s="18" t="n">
        <x:v>178</x:v>
      </x:c>
      <x:c r="B6" s="18" t="n">
        <x:v>0</x:v>
      </x:c>
      <x:c r="C6" s="18" t="n">
        <x:v>0</x:v>
      </x:c>
      <x:c r="D6" s="18" t="n">
        <x:v>178</x:v>
      </x:c>
      <x:c r="F6" s="20" t="str">
        <x:v>Date</x:v>
      </x:c>
      <x:c r="G6" s="62" t="n">
        <x:v>46210</x:v>
      </x:c>
      <x:c r="H6" s="34"/>
    </x:row>
    <x:row r="7">
      <x:c r="F7" s="20" t="str">
        <x:v>Remaining</x:v>
      </x:c>
      <x:c r="G7" s="34" t="str">
        <x:v>0 questions · 0 To Do + 0 Review</x:v>
      </x:c>
      <x:c r="H7" s="34"/>
    </x:row>
    <x:row r="8" ht="25.049999237060547" customHeight="1">
      <x:c r="A8" s="32" t="s">
        <x:v>5</x:v>
      </x:c>
      <x:c r="B8" s="32"/>
      <x:c r="C8" s="32"/>
      <x:c r="D8" s="32"/>
      <x:c r="F8" s="20" t="str">
        <x:v>Queue</x:v>
      </x:c>
      <x:c r="G8" s="63" t="str">
        <x:v>study/Review.md</x:v>
      </x:c>
      <x:c r="H8" s="35"/>
    </x:row>
    <x:row r="10">
      <x:c r="A10" s="19" t="s">
        <x:v>6</x:v>
      </x:c>
      <x:c r="B10" s="19" t="s">
        <x:v>7</x:v>
      </x:c>
      <x:c r="C10" s="19" t="s">
        <x:v>8</x:v>
      </x:c>
      <x:c r="E10" s="19" t="s">
        <x:v>9</x:v>
      </x:c>
      <x:c r="F10" s="19" t="s">
        <x:v>10</x:v>
      </x:c>
      <x:c r="G10" s="19" t="s">
        <x:v>1</x:v>
      </x:c>
      <x:c r="H10" s="19" t="s">
        <x:v>11</x:v>
      </x:c>
    </x:row>
    <x:row r="11">
      <x:c r="A11" s="21" t="s">
        <x:v>12</x:v>
      </x:c>
      <x:c r="B11" s="65">
        <x:v>46196</x:v>
      </x:c>
      <x:c r="C11" s="23" t="n">
        <x:f>COUNTIFS('Tracker'!$H$6:$H$205,A11,'Tracker'!$G$6:$G$205,"Completed")</x:f>
        <x:v>12</x:v>
      </x:c>
      <x:c r="E11" s="25" t="s">
        <x:v>13</x:v>
      </x:c>
      <x:c r="F11" s="24" t="s">
        <x:v>14</x:v>
      </x:c>
      <x:c r="G11" s="26" t="n">
        <x:f>COUNTIFS('Tracker'!$C$6:$C$205,E11,'Tracker'!$G$6:$G$205,"Completed")</x:f>
        <x:v>2</x:v>
      </x:c>
      <x:c r="H11" s="26" t="n">
        <x:f>COUNTIF('Tracker'!$C$6:$C$205,E11)</x:f>
        <x:v>2</x:v>
      </x:c>
    </x:row>
    <x:row r="12">
      <x:c r="A12" s="21" t="s">
        <x:v>15</x:v>
      </x:c>
      <x:c r="B12" s="65">
        <x:v>46197</x:v>
      </x:c>
      <x:c r="C12" s="23" t="n">
        <x:f>COUNTIFS('Tracker'!$H$6:$H$205,A12,'Tracker'!$G$6:$G$205,"Completed")</x:f>
        <x:v>34</x:v>
      </x:c>
      <x:c r="E12" s="25" t="s">
        <x:v>16</x:v>
      </x:c>
      <x:c r="F12" s="24" t="s">
        <x:v>17</x:v>
      </x:c>
      <x:c r="G12" s="26" t="n">
        <x:f>COUNTIFS('Tracker'!$C$6:$C$205,E12,'Tracker'!$D$6:$D$205,F12,'Tracker'!$G$6:$G$205,"Completed")</x:f>
        <x:v>8</x:v>
      </x:c>
      <x:c r="H12" s="26" t="n">
        <x:f>COUNTIFS('Tracker'!$C$6:$C$205,E12,'Tracker'!$D$6:$D$205,F12)</x:f>
        <x:v>8</x:v>
      </x:c>
    </x:row>
    <x:row r="13">
      <x:c r="A13" s="21" t="s">
        <x:v>18</x:v>
      </x:c>
      <x:c r="B13" s="65">
        <x:v>46198</x:v>
      </x:c>
      <x:c r="C13" s="23" t="n">
        <x:f>COUNTIFS('Tracker'!$H$6:$H$205,A13,'Tracker'!$G$6:$G$205,"Completed")</x:f>
        <x:v>42</x:v>
      </x:c>
      <x:c r="E13" s="25" t="s">
        <x:v>16</x:v>
      </x:c>
      <x:c r="F13" s="24" t="s">
        <x:v>19</x:v>
      </x:c>
      <x:c r="G13" s="26" t="n">
        <x:f>COUNTIFS('Tracker'!$C$6:$C$205,E13,'Tracker'!$D$6:$D$205,F13,'Tracker'!$G$6:$G$205,"Completed")</x:f>
        <x:v>9</x:v>
      </x:c>
      <x:c r="H13" s="26" t="n">
        <x:f>COUNTIFS('Tracker'!$C$6:$C$205,E13,'Tracker'!$D$6:$D$205,F13)</x:f>
        <x:v>9</x:v>
      </x:c>
    </x:row>
    <x:row r="14">
      <x:c r="A14" s="21" t="s">
        <x:v>20</x:v>
      </x:c>
      <x:c r="B14" s="65">
        <x:v>46199</x:v>
      </x:c>
      <x:c r="C14" s="23" t="n">
        <x:f>COUNTIFS('Tracker'!$H$6:$H$205,A14,'Tracker'!$G$6:$G$205,"Completed")</x:f>
        <x:v>19</x:v>
      </x:c>
      <x:c r="E14" s="25" t="s">
        <x:v>16</x:v>
      </x:c>
      <x:c r="F14" s="24" t="s">
        <x:v>21</x:v>
      </x:c>
      <x:c r="G14" s="26" t="n">
        <x:f>COUNTIFS('Tracker'!$C$6:$C$205,E14,'Tracker'!$D$6:$D$205,F14,'Tracker'!$G$6:$G$205,"Completed")</x:f>
        <x:v>9</x:v>
      </x:c>
      <x:c r="H14" s="26" t="n">
        <x:f>COUNTIFS('Tracker'!$C$6:$C$205,E14,'Tracker'!$D$6:$D$205,F14)</x:f>
        <x:v>9</x:v>
      </x:c>
    </x:row>
    <x:row r="15">
      <x:c r="A15" s="21" t="s">
        <x:v>22</x:v>
      </x:c>
      <x:c r="B15" s="65">
        <x:v>46200</x:v>
      </x:c>
      <x:c r="C15" s="23" t="n">
        <x:f>COUNTIFS('Tracker'!$H$6:$H$205,A15,'Tracker'!$G$6:$G$205,"Completed")</x:f>
        <x:v>12</x:v>
      </x:c>
      <x:c r="E15" s="25" t="s">
        <x:v>16</x:v>
      </x:c>
      <x:c r="F15" s="24" t="s">
        <x:v>23</x:v>
      </x:c>
      <x:c r="G15" s="26" t="n">
        <x:f>COUNTIFS('Tracker'!$C$6:$C$205,E15,'Tracker'!$D$6:$D$205,F15,'Tracker'!$G$6:$G$205,"Completed")</x:f>
        <x:v>8</x:v>
      </x:c>
      <x:c r="H15" s="26" t="n">
        <x:f>COUNTIFS('Tracker'!$C$6:$C$205,E15,'Tracker'!$D$6:$D$205,F15)</x:f>
        <x:v>8</x:v>
      </x:c>
    </x:row>
    <x:row r="16">
      <x:c r="A16" s="21" t="s">
        <x:v>24</x:v>
      </x:c>
      <x:c r="B16" s="65">
        <x:v>46201</x:v>
      </x:c>
      <x:c r="C16" s="23" t="n">
        <x:f>COUNTIFS('Tracker'!$H$6:$H$205,A16,'Tracker'!$G$6:$G$205,"Completed")</x:f>
        <x:v>21</x:v>
      </x:c>
      <x:c r="E16" s="25" t="s">
        <x:v>16</x:v>
      </x:c>
      <x:c r="F16" s="24" t="s">
        <x:v>25</x:v>
      </x:c>
      <x:c r="G16" s="26" t="n">
        <x:f>COUNTIFS('Tracker'!$C$6:$C$205,E16,'Tracker'!$D$6:$D$205,F16,'Tracker'!$G$6:$G$205,"Completed")</x:f>
        <x:v>7</x:v>
      </x:c>
      <x:c r="H16" s="26" t="n">
        <x:f>COUNTIFS('Tracker'!$C$6:$C$205,E16,'Tracker'!$D$6:$D$205,F16)</x:f>
        <x:v>7</x:v>
      </x:c>
    </x:row>
    <x:row r="17">
      <x:c r="A17" s="27" t="s">
        <x:v>26</x:v>
      </x:c>
      <x:c r="B17" s="66">
        <x:v>46202</x:v>
      </x:c>
      <x:c r="C17" s="29" t="n">
        <x:f>COUNTIFS('Tracker'!$H$6:$H$205,A17,'Tracker'!$G$6:$G$205,"Completed")</x:f>
        <x:v>1</x:v>
      </x:c>
      <x:c r="E17" s="25" t="s">
        <x:v>27</x:v>
      </x:c>
      <x:c r="F17" s="24" t="s">
        <x:v>28</x:v>
      </x:c>
      <x:c r="G17" s="26" t="n">
        <x:f>COUNTIFS('Tracker'!$C$6:$C$205,E17,'Tracker'!$D$6:$D$205,F17,'Tracker'!$G$6:$G$205,"Completed")</x:f>
        <x:v>17</x:v>
      </x:c>
      <x:c r="H17" s="26" t="n">
        <x:f>COUNTIFS('Tracker'!$C$6:$C$205,E17,'Tracker'!$D$6:$D$205,F17)</x:f>
        <x:v>17</x:v>
      </x:c>
    </x:row>
    <x:row r="18">
      <x:c r="A18" s="27" t="s">
        <x:v>29</x:v>
      </x:c>
      <x:c r="B18" s="66">
        <x:v>46203</x:v>
      </x:c>
      <x:c r="C18" s="29" t="n">
        <x:f>COUNTIFS('Tracker'!$H$6:$H$205,A18,'Tracker'!$G$6:$G$205,"Completed")</x:f>
        <x:v>1</x:v>
      </x:c>
      <x:c r="E18" s="25" t="s">
        <x:v>27</x:v>
      </x:c>
      <x:c r="F18" s="24" t="s">
        <x:v>30</x:v>
      </x:c>
      <x:c r="G18" s="26" t="n">
        <x:f>COUNTIFS('Tracker'!$C$6:$C$205,E18,'Tracker'!$D$6:$D$205,F18,'Tracker'!$G$6:$G$205,"Completed")</x:f>
        <x:v>5</x:v>
      </x:c>
      <x:c r="H18" s="26" t="n">
        <x:f>COUNTIFS('Tracker'!$C$6:$C$205,E18,'Tracker'!$D$6:$D$205,F18)</x:f>
        <x:v>5</x:v>
      </x:c>
    </x:row>
    <x:row r="19">
      <x:c r="A19" s="27" t="s">
        <x:v>31</x:v>
      </x:c>
      <x:c r="B19" s="66">
        <x:v>46205</x:v>
      </x:c>
      <x:c r="C19" s="29" t="n">
        <x:f>COUNTIFS('Tracker'!$H$6:$H$205,A19,'Tracker'!$G$6:$G$205,"Completed")</x:f>
        <x:v>11</x:v>
      </x:c>
      <x:c r="E19" s="25" t="s">
        <x:v>27</x:v>
      </x:c>
      <x:c r="F19" s="24" t="s">
        <x:v>32</x:v>
      </x:c>
      <x:c r="G19" s="26" t="n">
        <x:f>COUNTIFS('Tracker'!$C$6:$C$205,E19,'Tracker'!$D$6:$D$205,F19,'Tracker'!$G$6:$G$205,"Completed")</x:f>
        <x:v>7</x:v>
      </x:c>
      <x:c r="H19" s="26" t="n">
        <x:f>COUNTIFS('Tracker'!$C$6:$C$205,E19,'Tracker'!$D$6:$D$205,F19)</x:f>
        <x:v>7</x:v>
      </x:c>
    </x:row>
    <x:row r="20">
      <x:c r="A20" s="70" t="str">
        <x:v>Day 10</x:v>
      </x:c>
      <x:c r="B20" s="71" t="n">
        <x:v>46206</x:v>
      </x:c>
      <x:c r="C20" s="72" t="n">
        <x:f>COUNTIFS('Tracker'!$H$6:$H$205,A20,'Tracker'!$G$6:$G$205,"Completed")</x:f>
        <x:v>4</x:v>
      </x:c>
      <x:c r="E20" s="25" t="s">
        <x:v>27</x:v>
      </x:c>
      <x:c r="F20" s="24" t="s">
        <x:v>33</x:v>
      </x:c>
      <x:c r="G20" s="26" t="n">
        <x:f>COUNTIFS('Tracker'!$C$6:$C$205,E20,'Tracker'!$D$6:$D$205,F20,'Tracker'!$G$6:$G$205,"Completed")</x:f>
        <x:v>8</x:v>
      </x:c>
      <x:c r="H20" s="26" t="n">
        <x:f>COUNTIFS('Tracker'!$C$6:$C$205,E20,'Tracker'!$D$6:$D$205,F20)</x:f>
        <x:v>8</x:v>
      </x:c>
    </x:row>
    <x:row r="21">
      <x:c r="A21" s="70" t="str">
        <x:v>Day 11</x:v>
      </x:c>
      <x:c r="B21" s="71" t="n">
        <x:v>46207</x:v>
      </x:c>
      <x:c r="C21" s="73" t="n">
        <x:f>COUNTIFS('Tracker'!$H$6:$H$205,A21,'Tracker'!$G$6:$G$205,"Completed")</x:f>
        <x:v>2</x:v>
      </x:c>
      <x:c r="E21" s="25" t="s">
        <x:v>27</x:v>
      </x:c>
      <x:c r="F21" s="24" t="s">
        <x:v>34</x:v>
      </x:c>
      <x:c r="G21" s="26" t="n">
        <x:f>COUNTIFS('Tracker'!$C$6:$C$205,E21,'Tracker'!$D$6:$D$205,F21,'Tracker'!$G$6:$G$205,"Completed")</x:f>
        <x:v>18</x:v>
      </x:c>
      <x:c r="H21" s="26" t="n">
        <x:f>COUNTIFS('Tracker'!$C$6:$C$205,E21,'Tracker'!$D$6:$D$205,F21)</x:f>
        <x:v>18</x:v>
      </x:c>
    </x:row>
    <x:row r="22">
      <x:c r="A22" s="75" t="str">
        <x:v>Day 12</x:v>
      </x:c>
      <x:c r="B22" s="71" t="n">
        <x:v>46208</x:v>
      </x:c>
      <x:c r="C22" s="78" t="n">
        <x:f>COUNTIFS('Tracker'!$H$6:$H$205,A22,'Tracker'!$G$6:$G$205,"Completed")</x:f>
        <x:v>4</x:v>
      </x:c>
      <x:c r="E22" s="25" t="s">
        <x:v>27</x:v>
      </x:c>
      <x:c r="F22" s="24" t="s">
        <x:v>35</x:v>
      </x:c>
      <x:c r="G22" s="26" t="n">
        <x:f>COUNTIFS('Tracker'!$C$6:$C$205,E22,'Tracker'!$D$6:$D$205,F22,'Tracker'!$G$6:$G$205,"Completed")</x:f>
        <x:v>8</x:v>
      </x:c>
      <x:c r="H22" s="26" t="n">
        <x:f>COUNTIFS('Tracker'!$C$6:$C$205,E22,'Tracker'!$D$6:$D$205,F22)</x:f>
        <x:v>8</x:v>
      </x:c>
    </x:row>
    <x:row r="23">
      <x:c r="A23" s="82" t="str">
        <x:v>Day 13</x:v>
      </x:c>
      <x:c r="B23" s="84" t="n">
        <x:v>46209</x:v>
      </x:c>
      <x:c r="C23" s="87" t="n">
        <x:f>COUNTIFS('Tracker'!$H$6:$H$205,A23,'Tracker'!$G$6:$G$205,"Completed")</x:f>
        <x:v>10</x:v>
      </x:c>
      <x:c r="E23" s="25" t="s">
        <x:v>27</x:v>
      </x:c>
      <x:c r="F23" s="24" t="s">
        <x:v>36</x:v>
      </x:c>
      <x:c r="G23" s="26" t="n">
        <x:f>COUNTIFS('Tracker'!$C$6:$C$205,E23,'Tracker'!$D$6:$D$205,F23,'Tracker'!$G$6:$G$205,"Completed")</x:f>
        <x:v>9</x:v>
      </x:c>
      <x:c r="H23" s="26" t="n">
        <x:f>COUNTIFS('Tracker'!$C$6:$C$205,E23,'Tracker'!$D$6:$D$205,F23)</x:f>
        <x:v>9</x:v>
      </x:c>
    </x:row>
    <x:row r="24">
      <x:c r="A24" s="101" t="str">
        <x:v>Day 14</x:v>
      </x:c>
      <x:c r="B24" s="104" t="n">
        <x:v>46210</x:v>
      </x:c>
      <x:c r="C24" s="105" t="n">
        <x:v>5</x:v>
      </x:c>
      <x:c r="E24" s="25" t="s">
        <x:v>27</x:v>
      </x:c>
      <x:c r="F24" s="24" t="s">
        <x:v>37</x:v>
      </x:c>
      <x:c r="G24" s="26" t="n">
        <x:v>3</x:v>
      </x:c>
      <x:c r="H24" s="26" t="n">
        <x:v>3</x:v>
      </x:c>
    </x:row>
    <x:row r="25">
      <x:c r="E25" s="25" t="s">
        <x:v>27</x:v>
      </x:c>
      <x:c r="F25" s="24" t="s">
        <x:v>38</x:v>
      </x:c>
      <x:c r="G25" s="26" t="n">
        <x:f>COUNTIFS('Tracker'!$C$6:$C$205,E25,'Tracker'!$D$6:$D$205,F25,'Tracker'!$G$6:$G$205,"Completed")</x:f>
        <x:v>33</x:v>
      </x:c>
      <x:c r="H25" s="26" t="n">
        <x:f>COUNTIFS('Tracker'!$C$6:$C$205,E25,'Tracker'!$D$6:$D$205,F25)</x:f>
        <x:v>33</x:v>
      </x:c>
    </x:row>
    <x:row r="26">
      <x:c r="E26" s="25" t="s">
        <x:v>27</x:v>
      </x:c>
      <x:c r="F26" s="24" t="s">
        <x:v>39</x:v>
      </x:c>
      <x:c r="G26" s="26" t="n">
        <x:v>7</x:v>
      </x:c>
      <x:c r="H26" s="26" t="n">
        <x:v>7</x:v>
      </x:c>
    </x:row>
    <x:row r="27">
      <x:c r="E27" s="25" t="s">
        <x:v>40</x:v>
      </x:c>
      <x:c r="F27" s="24" t="s">
        <x:v>41</x:v>
      </x:c>
      <x:c r="G27" s="26" t="n">
        <x:f>COUNTIFS('Tracker'!$C$6:$C$205,E27,'Tracker'!$D$6:$D$205,F27,'Tracker'!$G$6:$G$205,"Completed")</x:f>
        <x:v>5</x:v>
      </x:c>
      <x:c r="H27" s="26" t="n">
        <x:f>COUNTIFS('Tracker'!$C$6:$C$205,E27,'Tracker'!$D$6:$D$205,F27)</x:f>
        <x:v>5</x:v>
      </x:c>
    </x:row>
    <x:row r="28">
      <x:c r="E28" s="25" t="s">
        <x:v>40</x:v>
      </x:c>
      <x:c r="F28" s="24" t="s">
        <x:v>42</x:v>
      </x:c>
      <x:c r="G28" s="26" t="n">
        <x:f>COUNTIFS('Tracker'!$C$6:$C$205,E28,'Tracker'!$D$6:$D$205,F28,'Tracker'!$G$6:$G$205,"Completed")</x:f>
        <x:v>10</x:v>
      </x:c>
      <x:c r="H28" s="26" t="n">
        <x:f>COUNTIFS('Tracker'!$C$6:$C$205,E28,'Tracker'!$D$6:$D$205,F28)</x:f>
        <x:v>10</x:v>
      </x:c>
    </x:row>
    <x:row r="29">
      <x:c r="E29" s="25" t="s">
        <x:v>43</x:v>
      </x:c>
      <x:c r="F29" s="24" t="s">
        <x:v>14</x:v>
      </x:c>
      <x:c r="G29" s="26" t="n">
        <x:f>COUNTIFS('Tracker'!$C$6:$C$205,E29,'Tracker'!$G$6:$G$205,"Completed")</x:f>
        <x:v>5</x:v>
      </x:c>
      <x:c r="H29" s="26" t="n">
        <x:f>COUNTIF('Tracker'!$C$6:$C$205,E29)</x:f>
        <x:v>5</x:v>
      </x:c>
    </x:row>
  </x:sheetData>
  <x:mergeCells>
    <x:mergeCell ref="A1:H2"/>
    <x:mergeCell ref="A3:H3"/>
    <x:mergeCell ref="A8:D8"/>
    <x:mergeCell ref="F5:H5"/>
    <x:mergeCell ref="G6:H6"/>
    <x:mergeCell ref="G7:H7"/>
    <x:mergeCell ref="G8:H8"/>
  </x:mergeCells>
  <x:conditionalFormatting sqref="G11:G29">
    <x:cfRule type="cellIs" dxfId="3" priority="1" operator="equal">
      <x:formula>H11</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3.800000190734863"/>
  <x:cols>
    <x:col min="1" max="2" width="10" customWidth="1"/>
    <x:col min="3" max="3" width="27" customWidth="1"/>
    <x:col min="4" max="4" width="38" customWidth="1"/>
    <x:col min="5" max="5" width="31" customWidth="1"/>
    <x:col min="6" max="6" width="26" customWidth="1"/>
    <x:col min="7" max="7" width="13" customWidth="1"/>
    <x:col min="8" max="8" width="11" customWidth="1"/>
    <x:col min="9" max="10" width="15" customWidth="1"/>
    <x:col min="11" max="14" width="11" customWidth="1"/>
    <x:col min="15" max="15" width="12" customWidth="1"/>
    <x:col min="16" max="19" width="13" customWidth="1"/>
    <x:col min="20" max="20" width="58" customWidth="1"/>
    <x:col min="21" max="21" width="34" customWidth="1"/>
  </x:cols>
  <x:sheetData>
    <x:row r="1" ht="30" customHeight="1">
      <x:c r="A1" s="36" t="s">
        <x:v>44</x:v>
      </x:c>
      <x:c r="B1" s="36" t="s">
        <x:v>44</x:v>
      </x:c>
      <x:c r="C1" s="36" t="s">
        <x:v>44</x:v>
      </x:c>
      <x:c r="D1" s="36" t="s">
        <x:v>44</x:v>
      </x:c>
      <x:c r="E1" s="36" t="s">
        <x:v>44</x:v>
      </x:c>
      <x:c r="F1" s="36" t="s">
        <x:v>44</x:v>
      </x:c>
      <x:c r="G1" s="36" t="s">
        <x:v>44</x:v>
      </x:c>
      <x:c r="H1" s="36" t="s">
        <x:v>44</x:v>
      </x:c>
      <x:c r="I1" s="36" t="s">
        <x:v>44</x:v>
      </x:c>
      <x:c r="J1" s="36" t="s">
        <x:v>44</x:v>
      </x:c>
      <x:c r="K1" s="36" t="s">
        <x:v>44</x:v>
      </x:c>
      <x:c r="L1" s="36" t="s">
        <x:v>44</x:v>
      </x:c>
      <x:c r="M1" s="36" t="s">
        <x:v>44</x:v>
      </x:c>
      <x:c r="N1" s="36" t="s">
        <x:v>44</x:v>
      </x:c>
      <x:c r="O1" s="36" t="s">
        <x:v>44</x:v>
      </x:c>
      <x:c r="P1" s="36" t="s">
        <x:v>44</x:v>
      </x:c>
      <x:c r="Q1" s="36" t="s">
        <x:v>44</x:v>
      </x:c>
      <x:c r="R1" s="36" t="s">
        <x:v>44</x:v>
      </x:c>
      <x:c r="S1" s="36" t="s">
        <x:v>44</x:v>
      </x:c>
      <x:c r="T1" s="36" t="s">
        <x:v>44</x:v>
      </x:c>
      <x:c r="U1" s="36" t="s">
        <x:v>44</x:v>
      </x:c>
    </x:row>
    <x:row r="2" ht="30" customHeight="1">
      <x:c r="A2" s="36" t="s">
        <x:v>44</x:v>
      </x:c>
      <x:c r="B2" s="36" t="s">
        <x:v>44</x:v>
      </x:c>
      <x:c r="C2" s="36" t="s">
        <x:v>44</x:v>
      </x:c>
      <x:c r="D2" s="36" t="s">
        <x:v>44</x:v>
      </x:c>
      <x:c r="E2" s="36" t="s">
        <x:v>44</x:v>
      </x:c>
      <x:c r="F2" s="36" t="s">
        <x:v>44</x:v>
      </x:c>
      <x:c r="G2" s="36" t="s">
        <x:v>44</x:v>
      </x:c>
      <x:c r="H2" s="36" t="s">
        <x:v>44</x:v>
      </x:c>
      <x:c r="I2" s="36" t="s">
        <x:v>44</x:v>
      </x:c>
      <x:c r="J2" s="36" t="s">
        <x:v>44</x:v>
      </x:c>
      <x:c r="K2" s="36" t="s">
        <x:v>44</x:v>
      </x:c>
      <x:c r="L2" s="36" t="s">
        <x:v>44</x:v>
      </x:c>
      <x:c r="M2" s="36" t="s">
        <x:v>44</x:v>
      </x:c>
      <x:c r="N2" s="36" t="s">
        <x:v>44</x:v>
      </x:c>
      <x:c r="O2" s="36" t="s">
        <x:v>44</x:v>
      </x:c>
      <x:c r="P2" s="36" t="s">
        <x:v>44</x:v>
      </x:c>
      <x:c r="Q2" s="36" t="s">
        <x:v>44</x:v>
      </x:c>
      <x:c r="R2" s="36" t="s">
        <x:v>44</x:v>
      </x:c>
      <x:c r="S2" s="36" t="s">
        <x:v>44</x:v>
      </x:c>
      <x:c r="T2" s="36" t="s">
        <x:v>44</x:v>
      </x:c>
      <x:c r="U2" s="36" t="s">
        <x:v>44</x:v>
      </x:c>
    </x:row>
    <x:row r="3" ht="22.950000762939453" customHeight="1">
      <x:c r="A3" s="37" t="str">
        <x:v>Website sequence verified: 178 of 178 IDs in exact order · 178 completed · 0 review · 0 to do</x:v>
      </x:c>
      <x:c r="B3" s="37"/>
      <x:c r="C3" s="37"/>
      <x:c r="D3" s="37"/>
      <x:c r="E3" s="37"/>
      <x:c r="F3" s="37"/>
      <x:c r="G3" s="37"/>
      <x:c r="H3" s="37"/>
      <x:c r="I3" s="37"/>
      <x:c r="J3" s="37"/>
      <x:c r="K3" s="37"/>
      <x:c r="L3" s="37"/>
      <x:c r="M3" s="37"/>
      <x:c r="N3" s="37"/>
      <x:c r="O3" s="37"/>
      <x:c r="P3" s="37"/>
      <x:c r="Q3" s="37"/>
      <x:c r="R3" s="37"/>
      <x:c r="S3" s="37"/>
      <x:c r="T3" s="37"/>
      <x:c r="U3" s="37"/>
    </x:row>
    <x:row r="5" ht="37.95000076293945" customHeight="1">
      <x:c r="A5" s="1" t="s">
        <x:v>45</x:v>
      </x:c>
      <x:c r="B5" s="1" t="s">
        <x:v>46</x:v>
      </x:c>
      <x:c r="C5" s="1" t="s">
        <x:v>9</x:v>
      </x:c>
      <x:c r="D5" s="1" t="s">
        <x:v>10</x:v>
      </x:c>
      <x:c r="E5" s="1" t="s">
        <x:v>47</x:v>
      </x:c>
      <x:c r="F5" s="1" t="s">
        <x:v>48</x:v>
      </x:c>
      <x:c r="G5" s="1" t="s">
        <x:v>49</x:v>
      </x:c>
      <x:c r="H5" s="1" t="s">
        <x:v>6</x:v>
      </x:c>
      <x:c r="I5" s="1" t="s">
        <x:v>50</x:v>
      </x:c>
      <x:c r="J5" s="1" t="s">
        <x:v>51</x:v>
      </x:c>
      <x:c r="K5" s="1" t="s">
        <x:v>52</x:v>
      </x:c>
      <x:c r="L5" s="1" t="s">
        <x:v>53</x:v>
      </x:c>
      <x:c r="M5" s="1" t="s">
        <x:v>54</x:v>
      </x:c>
      <x:c r="N5" s="1" t="s">
        <x:v>55</x:v>
      </x:c>
      <x:c r="O5" s="1" t="s">
        <x:v>56</x:v>
      </x:c>
      <x:c r="P5" s="1" t="s">
        <x:v>57</x:v>
      </x:c>
      <x:c r="Q5" s="1" t="s">
        <x:v>58</x:v>
      </x:c>
      <x:c r="R5" s="1" t="s">
        <x:v>59</x:v>
      </x:c>
      <x:c r="S5" s="1" t="s">
        <x:v>60</x:v>
      </x:c>
      <x:c r="T5" s="1" t="s">
        <x:v>61</x:v>
      </x:c>
      <x:c r="U5" s="1" t="s">
        <x:v>62</x:v>
      </x:c>
    </x:row>
    <x:row r="6" ht="25.049999237060547" customHeight="1">
      <x:c r="A6" s="38" t="s">
        <x:v>63</x:v>
      </x:c>
      <x:c r="B6" s="38"/>
      <x:c r="C6" s="38"/>
      <x:c r="D6" s="38"/>
      <x:c r="E6" s="38"/>
      <x:c r="F6" s="38"/>
      <x:c r="G6" s="38"/>
      <x:c r="H6" s="38"/>
      <x:c r="I6" s="58"/>
      <x:c r="J6" s="38"/>
      <x:c r="K6" s="38"/>
      <x:c r="L6" s="38"/>
      <x:c r="M6" s="38"/>
      <x:c r="N6" s="38"/>
      <x:c r="O6" s="40"/>
      <x:c r="P6" s="38"/>
      <x:c r="Q6" s="38"/>
      <x:c r="R6" s="38"/>
      <x:c r="S6" s="38"/>
      <x:c r="T6" s="38"/>
      <x:c r="U6" s="38"/>
    </x:row>
    <x:row r="7" ht="34.04999923706055" customHeight="1">
      <x:c r="A7" s="3">
        <x:v>1</x:v>
      </x:c>
      <x:c r="B7" s="3" t="n">
        <x:v>151</x:v>
      </x:c>
      <x:c r="C7" s="2" t="str">
        <x:v>Getting Started</x:v>
      </x:c>
      <x:c r="D7" s="2"/>
      <x:c r="E7" s="2" t="str">
        <x:v>Getting Started</x:v>
      </x:c>
      <x:c r="F7" s="2" t="str">
        <x:v>step_one</x:v>
      </x:c>
      <x:c r="G7" s="3" t="str">
        <x:v>Completed</x:v>
      </x:c>
      <x:c r="H7" s="3" t="str">
        <x:v>Day 09</x:v>
      </x:c>
      <x:c r="I7" s="56" t="n">
        <x:v>46205</x:v>
      </x:c>
      <x:c r="J7" s="3" t="str">
        <x:v>9:12:14 PM</x:v>
      </x:c>
      <x:c r="K7" s="3" t="n">
        <x:v>1</x:v>
      </x:c>
      <x:c r="L7" s="3" t="n">
        <x:v>0</x:v>
      </x:c>
      <x:c r="M7" s="3" t="n">
        <x:v>0</x:v>
      </x:c>
      <x:c r="N7" s="3" t="n">
        <x:v>0</x:v>
      </x:c>
      <x:c r="O7" s="6" t="n">
        <x:v>1</x:v>
      </x:c>
      <x:c r="P7" s="4" t="e">
        <x:f>HYPERLINK("https://github.com/kapiltrip/hdlBits/blob/main/study/problems/Day%2009/151-step_one.md","Note")</x:f>
        <x:v>HYPERLINK is not implemented. linkLocation=https://github.com/kapiltrip/hdlBits/blob/main/study/problems/Day%2009/151-step_one.md, friendlyName=Note</x:v>
      </x:c>
      <x:c r="Q7" s="4" t="e">
        <x:f>HYPERLINK("https://github.com/kapiltrip/hdlBits/blob/main/study/images/Day%2009/151-step_one-solution.png","Image")</x:f>
        <x:v>HYPERLINK is not implemented. linkLocation=https://github.com/kapiltrip/hdlBits/blob/main/study/images/Day%2009/151-step_one-solution.png, friendlyName=Image</x:v>
      </x:c>
      <x:c r="R7" s="4" t="e">
        <x:f>HYPERLINK("https://github.com/kapiltrip/hdlBits/blob/main/study/solutions/Day%2009/151-step_one.sv","Code")</x:f>
        <x:v>HYPERLINK is not implemented. linkLocation=https://github.com/kapiltrip/hdlBits/blob/main/study/solutions/Day%2009/151-step_one.sv, friendlyName=Code</x:v>
      </x:c>
      <x:c r="S7" s="4" t="e">
        <x:f>HYPERLINK("https://hdlbits.01xz.net/wiki/step_one","HDLBits")</x:f>
        <x:v>HYPERLINK is not implemented. linkLocation=https://hdlbits.01xz.net/wiki/step_one, friendlyName=HDLBits</x:v>
      </x:c>
      <x:c r="T7" s="2" t="str">
        <x:v>Drive the only output permanently high with a one-bit constant continuous assignment. No input, clock, procedural block, or stored state is required.</x:v>
      </x:c>
      <x:c r="U7" s="2"/>
    </x:row>
    <x:row r="8" ht="34.04999923706055" customHeight="1">
      <x:c r="A8" s="7">
        <x:v>2</x:v>
      </x:c>
      <x:c r="B8" s="7" t="n">
        <x:v>152</x:v>
      </x:c>
      <x:c r="C8" s="8" t="str">
        <x:v>Getting Started</x:v>
      </x:c>
      <x:c r="D8" s="8"/>
      <x:c r="E8" s="8" t="str">
        <x:v>Output Zero</x:v>
      </x:c>
      <x:c r="F8" s="8" t="str">
        <x:v>zero</x:v>
      </x:c>
      <x:c r="G8" s="7" t="str">
        <x:v>Completed</x:v>
      </x:c>
      <x:c r="H8" s="7" t="str">
        <x:v>Day 09</x:v>
      </x:c>
      <x:c r="I8" s="55" t="n">
        <x:v>46205</x:v>
      </x:c>
      <x:c r="J8" s="7" t="str">
        <x:v>9:12:38 PM</x:v>
      </x:c>
      <x:c r="K8" s="7" t="n">
        <x:v>1</x:v>
      </x:c>
      <x:c r="L8" s="7" t="n">
        <x:v>0</x:v>
      </x:c>
      <x:c r="M8" s="7" t="n">
        <x:v>0</x:v>
      </x:c>
      <x:c r="N8" s="7" t="n">
        <x:v>0</x:v>
      </x:c>
      <x:c r="O8" s="10" t="n">
        <x:v>1</x:v>
      </x:c>
      <x:c r="P8" s="11" t="e">
        <x:f>HYPERLINK("https://github.com/kapiltrip/hdlBits/blob/main/study/problems/Day%2009/152-zero.md","Note")</x:f>
        <x:v>HYPERLINK is not implemented. linkLocation=https://github.com/kapiltrip/hdlBits/blob/main/study/problems/Day%2009/152-zero.md, friendlyName=Note</x:v>
      </x:c>
      <x:c r="Q8" s="11" t="e">
        <x:f>HYPERLINK("https://github.com/kapiltrip/hdlBits/blob/main/study/images/Day%2009/152-zero.png","Image")</x:f>
        <x:v>HYPERLINK is not implemented. linkLocation=https://github.com/kapiltrip/hdlBits/blob/main/study/images/Day%2009/152-zero.png, friendlyName=Image</x:v>
      </x:c>
      <x:c r="R8" s="11" t="e">
        <x:f>HYPERLINK("https://github.com/kapiltrip/hdlBits/blob/main/study/solutions/Day%2009/152-zero.sv","Code")</x:f>
        <x:v>HYPERLINK is not implemented. linkLocation=https://github.com/kapiltrip/hdlBits/blob/main/study/solutions/Day%2009/152-zero.sv, friendlyName=Code</x:v>
      </x:c>
      <x:c r="S8" s="11" t="e">
        <x:f>HYPERLINK("https://hdlbits.01xz.net/wiki/zero","HDLBits")</x:f>
        <x:v>HYPERLINK is not implemented. linkLocation=https://hdlbits.01xz.net/wiki/zero, friendlyName=HDLBits</x:v>
      </x:c>
      <x:c r="T8" s="8" t="str">
        <x:v>Drive the only output permanently low with a one-bit constant continuous assignment. This reinforces ANSI-style ports and direct combinational wiring.</x:v>
      </x:c>
      <x:c r="U8" s="8"/>
    </x:row>
    <x:row r="9" ht="25.049999237060547" customHeight="1">
      <x:c r="A9" s="41" t="s">
        <x:v>64</x:v>
      </x:c>
      <x:c r="B9" s="41"/>
      <x:c r="C9" s="41"/>
      <x:c r="D9" s="41"/>
      <x:c r="E9" s="41"/>
      <x:c r="F9" s="41"/>
      <x:c r="G9" s="41"/>
      <x:c r="H9" s="41"/>
      <x:c r="I9" s="59"/>
      <x:c r="J9" s="41"/>
      <x:c r="K9" s="41"/>
      <x:c r="L9" s="41"/>
      <x:c r="M9" s="41"/>
      <x:c r="N9" s="41"/>
      <x:c r="O9" s="43"/>
      <x:c r="P9" s="41"/>
      <x:c r="Q9" s="41"/>
      <x:c r="R9" s="41"/>
      <x:c r="S9" s="41"/>
      <x:c r="T9" s="41"/>
      <x:c r="U9" s="41"/>
    </x:row>
    <x:row r="10" ht="22.049999237060547" customHeight="1">
      <x:c r="A10" s="44" t="s">
        <x:v>65</x:v>
      </x:c>
      <x:c r="B10" s="44"/>
      <x:c r="C10" s="44"/>
      <x:c r="D10" s="44"/>
      <x:c r="E10" s="44"/>
      <x:c r="F10" s="44"/>
      <x:c r="G10" s="44"/>
      <x:c r="H10" s="44"/>
      <x:c r="I10" s="60"/>
      <x:c r="J10" s="44"/>
      <x:c r="K10" s="44"/>
      <x:c r="L10" s="44"/>
      <x:c r="M10" s="44"/>
      <x:c r="N10" s="44"/>
      <x:c r="O10" s="46"/>
      <x:c r="P10" s="44"/>
      <x:c r="Q10" s="44"/>
      <x:c r="R10" s="44"/>
      <x:c r="S10" s="44"/>
      <x:c r="T10" s="44"/>
      <x:c r="U10" s="44"/>
    </x:row>
    <x:row r="11" ht="34.04999923706055" customHeight="1">
      <x:c r="A11" s="3">
        <x:v>3</x:v>
      </x:c>
      <x:c r="B11" s="3" t="n">
        <x:v>1</x:v>
      </x:c>
      <x:c r="C11" s="2" t="s">
        <x:v>16</x:v>
      </x:c>
      <x:c r="D11" s="2" t="s">
        <x:v>17</x:v>
      </x:c>
      <x:c r="E11" s="2" t="s">
        <x:v>66</x:v>
      </x:c>
      <x:c r="F11" s="2" t="s">
        <x:v>67</x:v>
      </x:c>
      <x:c r="G11" s="3" t="s">
        <x:v>1</x:v>
      </x:c>
      <x:c r="H11" s="3" t="str">
        <x:v>Day 01</x:v>
      </x:c>
      <x:c r="I11" s="56">
        <x:v>46196</x:v>
      </x:c>
      <x:c r="J11" s="3" t="s">
        <x:v>68</x:v>
      </x:c>
      <x:c r="K11" s="3">
        <x:v>1</x:v>
      </x:c>
      <x:c r="L11" s="3">
        <x:v>0</x:v>
      </x:c>
      <x:c r="M11" s="3">
        <x:v>0</x:v>
      </x:c>
      <x:c r="N11" s="3">
        <x:v>0</x:v>
      </x:c>
      <x:c r="O11" s="6">
        <x:v>1</x:v>
      </x:c>
      <x:c r="P11" s="4" t="e">
        <x:f>HYPERLINK("https://github.com/kapiltrip/hdlBits/blob/main/study/problems/Day%2001/001-wire.md","Note")</x:f>
        <x:v>HYPERLINK is not implemented. linkLocation=https://github.com/kapiltrip/hdlBits/blob/main/study/problems/Day%2001/001-wire.md, friendlyName=Note</x:v>
      </x:c>
      <x:c r="Q11" s="4" t="e">
        <x:f>HYPERLINK("https://github.com/kapiltrip/hdlBits/blob/main/study/images/Day%2001/001-wire.png","Image")</x:f>
        <x:v>HYPERLINK is not implemented. linkLocation=https://github.com/kapiltrip/hdlBits/blob/main/study/images/Day%2001/001-wire.png, friendlyName=Image</x:v>
      </x:c>
      <x:c r="R11" s="4" t="e">
        <x:f>HYPERLINK("https://github.com/kapiltrip/hdlBits/blob/main/study/solutions/Day%2001/001-wire.sv","Code")</x:f>
        <x:v>HYPERLINK is not implemented. linkLocation=https://github.com/kapiltrip/hdlBits/blob/main/study/solutions/Day%2001/001-wire.sv, friendlyName=Code</x:v>
      </x:c>
      <x:c r="S11" s="4" t="e">
        <x:f>HYPERLINK("https://hdlbits.01xz.net/wiki/wire","HDLBits")</x:f>
        <x:v>HYPERLINK is not implemented. linkLocation=https://hdlbits.01xz.net/wiki/wire, friendlyName=HDLBits</x:v>
      </x:c>
      <x:c r="T11" s="2" t="s">
        <x:v>69</x:v>
      </x:c>
      <x:c r="U11" s="2"/>
    </x:row>
    <x:row r="12" ht="34.04999923706055" customHeight="1">
      <x:c r="A12" s="7">
        <x:v>4</x:v>
      </x:c>
      <x:c r="B12" s="7" t="n">
        <x:v>2</x:v>
      </x:c>
      <x:c r="C12" s="8" t="s">
        <x:v>16</x:v>
      </x:c>
      <x:c r="D12" s="8" t="s">
        <x:v>17</x:v>
      </x:c>
      <x:c r="E12" s="8" t="s">
        <x:v>70</x:v>
      </x:c>
      <x:c r="F12" s="8" t="s">
        <x:v>71</x:v>
      </x:c>
      <x:c r="G12" s="7" t="s">
        <x:v>1</x:v>
      </x:c>
      <x:c r="H12" s="7" t="str">
        <x:v>Day 01</x:v>
      </x:c>
      <x:c r="I12" s="55">
        <x:v>46196</x:v>
      </x:c>
      <x:c r="J12" s="7" t="s">
        <x:v>72</x:v>
      </x:c>
      <x:c r="K12" s="7">
        <x:v>2</x:v>
      </x:c>
      <x:c r="L12" s="7">
        <x:v>0</x:v>
      </x:c>
      <x:c r="M12" s="7">
        <x:v>1</x:v>
      </x:c>
      <x:c r="N12" s="7">
        <x:v>0</x:v>
      </x:c>
      <x:c r="O12" s="10">
        <x:v>0.5</x:v>
      </x:c>
      <x:c r="P12" s="11" t="e">
        <x:f>HYPERLINK("https://github.com/kapiltrip/hdlBits/blob/main/study/problems/Day%2001/002-wire4.md","Note")</x:f>
        <x:v>HYPERLINK is not implemented. linkLocation=https://github.com/kapiltrip/hdlBits/blob/main/study/problems/Day%2001/002-wire4.md, friendlyName=Note</x:v>
      </x:c>
      <x:c r="Q12" s="11" t="e">
        <x:f>HYPERLINK("https://github.com/kapiltrip/hdlBits/blob/main/study/images/Day%2001/002-wire4.png","Image")</x:f>
        <x:v>HYPERLINK is not implemented. linkLocation=https://github.com/kapiltrip/hdlBits/blob/main/study/images/Day%2001/002-wire4.png, friendlyName=Image</x:v>
      </x:c>
      <x:c r="R12" s="11" t="e">
        <x:f>HYPERLINK("https://github.com/kapiltrip/hdlBits/blob/main/study/solutions/Day%2001/002-wire4.sv","Code")</x:f>
        <x:v>HYPERLINK is not implemented. linkLocation=https://github.com/kapiltrip/hdlBits/blob/main/study/solutions/Day%2001/002-wire4.sv, friendlyName=Code</x:v>
      </x:c>
      <x:c r="S12" s="11" t="e">
        <x:f>HYPERLINK("https://hdlbits.01xz.net/wiki/wire4","HDLBits")</x:f>
        <x:v>HYPERLINK is not implemented. linkLocation=https://hdlbits.01xz.net/wiki/wire4, friendlyName=HDLBits</x:v>
      </x:c>
      <x:c r="T12" s="8" t="s">
        <x:v>73</x:v>
      </x:c>
      <x:c r="U12" s="8"/>
    </x:row>
    <x:row r="13" ht="34.04999923706055" customHeight="1">
      <x:c r="A13" s="3">
        <x:v>5</x:v>
      </x:c>
      <x:c r="B13" s="3" t="n">
        <x:v>3</x:v>
      </x:c>
      <x:c r="C13" s="2" t="s">
        <x:v>16</x:v>
      </x:c>
      <x:c r="D13" s="2" t="s">
        <x:v>17</x:v>
      </x:c>
      <x:c r="E13" s="2" t="s">
        <x:v>74</x:v>
      </x:c>
      <x:c r="F13" s="2" t="s">
        <x:v>75</x:v>
      </x:c>
      <x:c r="G13" s="3" t="s">
        <x:v>1</x:v>
      </x:c>
      <x:c r="H13" s="3" t="str">
        <x:v>Day 01</x:v>
      </x:c>
      <x:c r="I13" s="56">
        <x:v>46196</x:v>
      </x:c>
      <x:c r="J13" s="3" t="s">
        <x:v>76</x:v>
      </x:c>
      <x:c r="K13" s="3">
        <x:v>1</x:v>
      </x:c>
      <x:c r="L13" s="3">
        <x:v>0</x:v>
      </x:c>
      <x:c r="M13" s="3">
        <x:v>0</x:v>
      </x:c>
      <x:c r="N13" s="3">
        <x:v>0</x:v>
      </x:c>
      <x:c r="O13" s="6">
        <x:v>1</x:v>
      </x:c>
      <x:c r="P13" s="4" t="e">
        <x:f>HYPERLINK("https://github.com/kapiltrip/hdlBits/blob/main/study/problems/Day%2001/003-notgate.md","Note")</x:f>
        <x:v>HYPERLINK is not implemented. linkLocation=https://github.com/kapiltrip/hdlBits/blob/main/study/problems/Day%2001/003-notgate.md, friendlyName=Note</x:v>
      </x:c>
      <x:c r="Q13" s="4" t="e">
        <x:f>HYPERLINK("https://github.com/kapiltrip/hdlBits/blob/main/study/images/Day%2001/003-notgate.png","Image")</x:f>
        <x:v>HYPERLINK is not implemented. linkLocation=https://github.com/kapiltrip/hdlBits/blob/main/study/images/Day%2001/003-notgate.png, friendlyName=Image</x:v>
      </x:c>
      <x:c r="R13" s="4" t="e">
        <x:f>HYPERLINK("https://github.com/kapiltrip/hdlBits/blob/main/study/solutions/Day%2001/003-notgate.sv","Code")</x:f>
        <x:v>HYPERLINK is not implemented. linkLocation=https://github.com/kapiltrip/hdlBits/blob/main/study/solutions/Day%2001/003-notgate.sv, friendlyName=Code</x:v>
      </x:c>
      <x:c r="S13" s="4" t="e">
        <x:f>HYPERLINK("https://hdlbits.01xz.net/wiki/notgate","HDLBits")</x:f>
        <x:v>HYPERLINK is not implemented. linkLocation=https://hdlbits.01xz.net/wiki/notgate, friendlyName=HDLBits</x:v>
      </x:c>
      <x:c r="T13" s="2" t="s">
        <x:v>77</x:v>
      </x:c>
      <x:c r="U13" s="2"/>
    </x:row>
    <x:row r="14" ht="34.04999923706055" customHeight="1">
      <x:c r="A14" s="7">
        <x:v>6</x:v>
      </x:c>
      <x:c r="B14" s="7" t="n">
        <x:v>4</x:v>
      </x:c>
      <x:c r="C14" s="8" t="s">
        <x:v>16</x:v>
      </x:c>
      <x:c r="D14" s="8" t="s">
        <x:v>17</x:v>
      </x:c>
      <x:c r="E14" s="8" t="s">
        <x:v>78</x:v>
      </x:c>
      <x:c r="F14" s="8" t="s">
        <x:v>79</x:v>
      </x:c>
      <x:c r="G14" s="7" t="s">
        <x:v>1</x:v>
      </x:c>
      <x:c r="H14" s="7" t="str">
        <x:v>Day 02</x:v>
      </x:c>
      <x:c r="I14" s="55">
        <x:v>46197</x:v>
      </x:c>
      <x:c r="J14" s="7" t="s">
        <x:v>80</x:v>
      </x:c>
      <x:c r="K14" s="7">
        <x:v>1</x:v>
      </x:c>
      <x:c r="L14" s="7">
        <x:v>0</x:v>
      </x:c>
      <x:c r="M14" s="7">
        <x:v>0</x:v>
      </x:c>
      <x:c r="N14" s="7">
        <x:v>0</x:v>
      </x:c>
      <x:c r="O14" s="10">
        <x:v>1</x:v>
      </x:c>
      <x:c r="P14" s="11" t="e">
        <x:f>HYPERLINK("https://github.com/kapiltrip/hdlBits/blob/main/study/problems/Day%2002/004-andgate.md","Note")</x:f>
        <x:v>HYPERLINK is not implemented. linkLocation=https://github.com/kapiltrip/hdlBits/blob/main/study/problems/Day%2002/004-andgate.md, friendlyName=Note</x:v>
      </x:c>
      <x:c r="Q14" s="11" t="e">
        <x:f>HYPERLINK("https://github.com/kapiltrip/hdlBits/blob/main/study/images/Day%2002/004-andgate.png","Image")</x:f>
        <x:v>HYPERLINK is not implemented. linkLocation=https://github.com/kapiltrip/hdlBits/blob/main/study/images/Day%2002/004-andgate.png, friendlyName=Image</x:v>
      </x:c>
      <x:c r="R14" s="11" t="e">
        <x:f>HYPERLINK("https://github.com/kapiltrip/hdlBits/blob/main/study/solutions/Day%2002/004-andgate.sv","Code")</x:f>
        <x:v>HYPERLINK is not implemented. linkLocation=https://github.com/kapiltrip/hdlBits/blob/main/study/solutions/Day%2002/004-andgate.sv, friendlyName=Code</x:v>
      </x:c>
      <x:c r="S14" s="11" t="e">
        <x:f>HYPERLINK("https://hdlbits.01xz.net/wiki/andgate","HDLBits")</x:f>
        <x:v>HYPERLINK is not implemented. linkLocation=https://hdlbits.01xz.net/wiki/andgate, friendlyName=HDLBits</x:v>
      </x:c>
      <x:c r="T14" s="8" t="s">
        <x:v>81</x:v>
      </x:c>
      <x:c r="U14" s="8"/>
    </x:row>
    <x:row r="15" ht="34.04999923706055" customHeight="1">
      <x:c r="A15" s="3">
        <x:v>7</x:v>
      </x:c>
      <x:c r="B15" s="3" t="n">
        <x:v>5</x:v>
      </x:c>
      <x:c r="C15" s="2" t="s">
        <x:v>16</x:v>
      </x:c>
      <x:c r="D15" s="2" t="s">
        <x:v>17</x:v>
      </x:c>
      <x:c r="E15" s="2" t="s">
        <x:v>82</x:v>
      </x:c>
      <x:c r="F15" s="2" t="s">
        <x:v>83</x:v>
      </x:c>
      <x:c r="G15" s="3" t="s">
        <x:v>1</x:v>
      </x:c>
      <x:c r="H15" s="3" t="str">
        <x:v>Day 02</x:v>
      </x:c>
      <x:c r="I15" s="56">
        <x:v>46197</x:v>
      </x:c>
      <x:c r="J15" s="3" t="s">
        <x:v>84</x:v>
      </x:c>
      <x:c r="K15" s="3">
        <x:v>6</x:v>
      </x:c>
      <x:c r="L15" s="3">
        <x:v>0</x:v>
      </x:c>
      <x:c r="M15" s="3">
        <x:v>4</x:v>
      </x:c>
      <x:c r="N15" s="3">
        <x:v>0</x:v>
      </x:c>
      <x:c r="O15" s="6">
        <x:v>0.33</x:v>
      </x:c>
      <x:c r="P15" s="4" t="e">
        <x:f>HYPERLINK("https://github.com/kapiltrip/hdlBits/blob/main/study/problems/Day%2002/005-norgate.md","Note")</x:f>
        <x:v>HYPERLINK is not implemented. linkLocation=https://github.com/kapiltrip/hdlBits/blob/main/study/problems/Day%2002/005-norgate.md, friendlyName=Note</x:v>
      </x:c>
      <x:c r="Q15" s="4" t="e">
        <x:f>HYPERLINK("https://github.com/kapiltrip/hdlBits/blob/main/study/images/Day%2002/005-norgate.png","Image")</x:f>
        <x:v>HYPERLINK is not implemented. linkLocation=https://github.com/kapiltrip/hdlBits/blob/main/study/images/Day%2002/005-norgate.png, friendlyName=Image</x:v>
      </x:c>
      <x:c r="R15" s="4" t="e">
        <x:f>HYPERLINK("https://github.com/kapiltrip/hdlBits/blob/main/study/solutions/Day%2002/005-norgate.sv","Code")</x:f>
        <x:v>HYPERLINK is not implemented. linkLocation=https://github.com/kapiltrip/hdlBits/blob/main/study/solutions/Day%2002/005-norgate.sv, friendlyName=Code</x:v>
      </x:c>
      <x:c r="S15" s="4" t="e">
        <x:f>HYPERLINK("https://hdlbits.01xz.net/wiki/norgate","HDLBits")</x:f>
        <x:v>HYPERLINK is not implemented. linkLocation=https://hdlbits.01xz.net/wiki/norgate, friendlyName=HDLBits</x:v>
      </x:c>
      <x:c r="T15" s="2" t="s">
        <x:v>85</x:v>
      </x:c>
      <x:c r="U15" s="2"/>
    </x:row>
    <x:row r="16" ht="34.04999923706055" customHeight="1">
      <x:c r="A16" s="7">
        <x:v>8</x:v>
      </x:c>
      <x:c r="B16" s="7" t="n">
        <x:v>6</x:v>
      </x:c>
      <x:c r="C16" s="8" t="s">
        <x:v>16</x:v>
      </x:c>
      <x:c r="D16" s="8" t="s">
        <x:v>17</x:v>
      </x:c>
      <x:c r="E16" s="8" t="s">
        <x:v>86</x:v>
      </x:c>
      <x:c r="F16" s="8" t="s">
        <x:v>87</x:v>
      </x:c>
      <x:c r="G16" s="7" t="s">
        <x:v>1</x:v>
      </x:c>
      <x:c r="H16" s="7" t="str">
        <x:v>Day 02</x:v>
      </x:c>
      <x:c r="I16" s="55">
        <x:v>46197</x:v>
      </x:c>
      <x:c r="J16" s="7" t="s">
        <x:v>88</x:v>
      </x:c>
      <x:c r="K16" s="7">
        <x:v>2</x:v>
      </x:c>
      <x:c r="L16" s="7">
        <x:v>0</x:v>
      </x:c>
      <x:c r="M16" s="7">
        <x:v>0</x:v>
      </x:c>
      <x:c r="N16" s="7">
        <x:v>0</x:v>
      </x:c>
      <x:c r="O16" s="10">
        <x:v>1</x:v>
      </x:c>
      <x:c r="P16" s="11" t="e">
        <x:f>HYPERLINK("https://github.com/kapiltrip/hdlBits/blob/main/study/problems/Day%2002/006-xnorgate.md","Note")</x:f>
        <x:v>HYPERLINK is not implemented. linkLocation=https://github.com/kapiltrip/hdlBits/blob/main/study/problems/Day%2002/006-xnorgate.md, friendlyName=Note</x:v>
      </x:c>
      <x:c r="Q16" s="11" t="e">
        <x:f>HYPERLINK("https://github.com/kapiltrip/hdlBits/blob/main/study/images/Day%2002/006-xnorgate.png","Image")</x:f>
        <x:v>HYPERLINK is not implemented. linkLocation=https://github.com/kapiltrip/hdlBits/blob/main/study/images/Day%2002/006-xnorgate.png, friendlyName=Image</x:v>
      </x:c>
      <x:c r="R16" s="11" t="e">
        <x:f>HYPERLINK("https://github.com/kapiltrip/hdlBits/blob/main/study/solutions/Day%2002/006-xnorgate.sv","Code")</x:f>
        <x:v>HYPERLINK is not implemented. linkLocation=https://github.com/kapiltrip/hdlBits/blob/main/study/solutions/Day%2002/006-xnorgate.sv, friendlyName=Code</x:v>
      </x:c>
      <x:c r="S16" s="11" t="e">
        <x:f>HYPERLINK("https://hdlbits.01xz.net/wiki/xnorgate","HDLBits")</x:f>
        <x:v>HYPERLINK is not implemented. linkLocation=https://hdlbits.01xz.net/wiki/xnorgate, friendlyName=HDLBits</x:v>
      </x:c>
      <x:c r="T16" s="8" t="s">
        <x:v>89</x:v>
      </x:c>
      <x:c r="U16" s="8"/>
    </x:row>
    <x:row r="17" ht="34.04999923706055" customHeight="1">
      <x:c r="A17" s="3">
        <x:v>9</x:v>
      </x:c>
      <x:c r="B17" s="3" t="n">
        <x:v>7</x:v>
      </x:c>
      <x:c r="C17" s="2" t="s">
        <x:v>16</x:v>
      </x:c>
      <x:c r="D17" s="2" t="s">
        <x:v>17</x:v>
      </x:c>
      <x:c r="E17" s="2" t="s">
        <x:v>90</x:v>
      </x:c>
      <x:c r="F17" s="2" t="s">
        <x:v>91</x:v>
      </x:c>
      <x:c r="G17" s="3" t="s">
        <x:v>1</x:v>
      </x:c>
      <x:c r="H17" s="3" t="str">
        <x:v>Day 02</x:v>
      </x:c>
      <x:c r="I17" s="56">
        <x:v>46197</x:v>
      </x:c>
      <x:c r="J17" s="3" t="s">
        <x:v>92</x:v>
      </x:c>
      <x:c r="K17" s="3">
        <x:v>1</x:v>
      </x:c>
      <x:c r="L17" s="3">
        <x:v>0</x:v>
      </x:c>
      <x:c r="M17" s="3">
        <x:v>0</x:v>
      </x:c>
      <x:c r="N17" s="3">
        <x:v>0</x:v>
      </x:c>
      <x:c r="O17" s="6">
        <x:v>1</x:v>
      </x:c>
      <x:c r="P17" s="4" t="e">
        <x:f>HYPERLINK("https://github.com/kapiltrip/hdlBits/blob/main/study/problems/Day%2002/007-wire_decl.md","Note")</x:f>
        <x:v>HYPERLINK is not implemented. linkLocation=https://github.com/kapiltrip/hdlBits/blob/main/study/problems/Day%2002/007-wire_decl.md, friendlyName=Note</x:v>
      </x:c>
      <x:c r="Q17" s="4" t="e">
        <x:f>HYPERLINK("https://github.com/kapiltrip/hdlBits/blob/main/study/images/Day%2002/007-wire_decl.png","Image")</x:f>
        <x:v>HYPERLINK is not implemented. linkLocation=https://github.com/kapiltrip/hdlBits/blob/main/study/images/Day%2002/007-wire_decl.png, friendlyName=Image</x:v>
      </x:c>
      <x:c r="R17" s="4" t="e">
        <x:f>HYPERLINK("https://github.com/kapiltrip/hdlBits/blob/main/study/solutions/Day%2002/007-wire_decl.sv","Code")</x:f>
        <x:v>HYPERLINK is not implemented. linkLocation=https://github.com/kapiltrip/hdlBits/blob/main/study/solutions/Day%2002/007-wire_decl.sv, friendlyName=Code</x:v>
      </x:c>
      <x:c r="S17" s="4" t="e">
        <x:f>HYPERLINK("https://hdlbits.01xz.net/wiki/wire_decl","HDLBits")</x:f>
        <x:v>HYPERLINK is not implemented. linkLocation=https://hdlbits.01xz.net/wiki/wire_decl, friendlyName=HDLBits</x:v>
      </x:c>
      <x:c r="T17" s="2" t="s">
        <x:v>93</x:v>
      </x:c>
      <x:c r="U17" s="2"/>
    </x:row>
    <x:row r="18" ht="34.04999923706055" customHeight="1">
      <x:c r="A18" s="7">
        <x:v>10</x:v>
      </x:c>
      <x:c r="B18" s="7" t="n">
        <x:v>8</x:v>
      </x:c>
      <x:c r="C18" s="8" t="s">
        <x:v>16</x:v>
      </x:c>
      <x:c r="D18" s="8" t="s">
        <x:v>17</x:v>
      </x:c>
      <x:c r="E18" s="8" t="s">
        <x:v>94</x:v>
      </x:c>
      <x:c r="F18" s="8" t="s">
        <x:v>95</x:v>
      </x:c>
      <x:c r="G18" s="7" t="s">
        <x:v>1</x:v>
      </x:c>
      <x:c r="H18" s="7" t="str">
        <x:v>Day 01</x:v>
      </x:c>
      <x:c r="I18" s="55">
        <x:v>46196</x:v>
      </x:c>
      <x:c r="J18" s="7" t="s">
        <x:v>96</x:v>
      </x:c>
      <x:c r="K18" s="7">
        <x:v>1</x:v>
      </x:c>
      <x:c r="L18" s="7">
        <x:v>0</x:v>
      </x:c>
      <x:c r="M18" s="7">
        <x:v>0</x:v>
      </x:c>
      <x:c r="N18" s="7">
        <x:v>0</x:v>
      </x:c>
      <x:c r="O18" s="10">
        <x:v>1</x:v>
      </x:c>
      <x:c r="P18" s="11" t="e">
        <x:f>HYPERLINK("https://github.com/kapiltrip/hdlBits/blob/main/study/problems/Day%2001/008-7458.md","Note")</x:f>
        <x:v>HYPERLINK is not implemented. linkLocation=https://github.com/kapiltrip/hdlBits/blob/main/study/problems/Day%2001/008-7458.md, friendlyName=Note</x:v>
      </x:c>
      <x:c r="Q18" s="11" t="e">
        <x:f>HYPERLINK("https://github.com/kapiltrip/hdlBits/blob/main/study/images/Day%2001/008-7458.png","Image")</x:f>
        <x:v>HYPERLINK is not implemented. linkLocation=https://github.com/kapiltrip/hdlBits/blob/main/study/images/Day%2001/008-7458.png, friendlyName=Image</x:v>
      </x:c>
      <x:c r="R18" s="11" t="e">
        <x:f>HYPERLINK("https://github.com/kapiltrip/hdlBits/blob/main/study/solutions/Day%2001/008-7458.sv","Code")</x:f>
        <x:v>HYPERLINK is not implemented. linkLocation=https://github.com/kapiltrip/hdlBits/blob/main/study/solutions/Day%2001/008-7458.sv, friendlyName=Code</x:v>
      </x:c>
      <x:c r="S18" s="11" t="e">
        <x:f>HYPERLINK("https://hdlbits.01xz.net/wiki/7458","HDLBits")</x:f>
        <x:v>HYPERLINK is not implemented. linkLocation=https://hdlbits.01xz.net/wiki/7458, friendlyName=HDLBits</x:v>
      </x:c>
      <x:c r="T18" s="8" t="s">
        <x:v>97</x:v>
      </x:c>
      <x:c r="U18" s="8"/>
    </x:row>
    <x:row r="19" ht="22.049999237060547" customHeight="1">
      <x:c r="A19" s="44" t="s">
        <x:v>98</x:v>
      </x:c>
      <x:c r="B19" s="44"/>
      <x:c r="C19" s="44"/>
      <x:c r="D19" s="44"/>
      <x:c r="E19" s="44"/>
      <x:c r="F19" s="44"/>
      <x:c r="G19" s="44"/>
      <x:c r="H19" s="44"/>
      <x:c r="I19" s="60"/>
      <x:c r="J19" s="44"/>
      <x:c r="K19" s="44"/>
      <x:c r="L19" s="44"/>
      <x:c r="M19" s="44"/>
      <x:c r="N19" s="44"/>
      <x:c r="O19" s="46"/>
      <x:c r="P19" s="44"/>
      <x:c r="Q19" s="44"/>
      <x:c r="R19" s="44"/>
      <x:c r="S19" s="44"/>
      <x:c r="T19" s="44"/>
      <x:c r="U19" s="44"/>
    </x:row>
    <x:row r="20" ht="34.04999923706055" customHeight="1">
      <x:c r="A20" s="3">
        <x:v>11</x:v>
      </x:c>
      <x:c r="B20" s="3" t="n">
        <x:v>9</x:v>
      </x:c>
      <x:c r="C20" s="2" t="s">
        <x:v>16</x:v>
      </x:c>
      <x:c r="D20" s="2" t="s">
        <x:v>19</x:v>
      </x:c>
      <x:c r="E20" s="2" t="s">
        <x:v>19</x:v>
      </x:c>
      <x:c r="F20" s="2" t="s">
        <x:v>99</x:v>
      </x:c>
      <x:c r="G20" s="3" t="s">
        <x:v>1</x:v>
      </x:c>
      <x:c r="H20" s="3" t="str">
        <x:v>Day 01</x:v>
      </x:c>
      <x:c r="I20" s="56">
        <x:v>46196</x:v>
      </x:c>
      <x:c r="J20" s="3" t="s">
        <x:v>100</x:v>
      </x:c>
      <x:c r="K20" s="3">
        <x:v>1</x:v>
      </x:c>
      <x:c r="L20" s="3">
        <x:v>0</x:v>
      </x:c>
      <x:c r="M20" s="3">
        <x:v>0</x:v>
      </x:c>
      <x:c r="N20" s="3">
        <x:v>0</x:v>
      </x:c>
      <x:c r="O20" s="6">
        <x:v>1</x:v>
      </x:c>
      <x:c r="P20" s="4" t="e">
        <x:f>HYPERLINK("https://github.com/kapiltrip/hdlBits/blob/main/study/problems/Day%2001/009-vector0.md","Note")</x:f>
        <x:v>HYPERLINK is not implemented. linkLocation=https://github.com/kapiltrip/hdlBits/blob/main/study/problems/Day%2001/009-vector0.md, friendlyName=Note</x:v>
      </x:c>
      <x:c r="Q20" s="4" t="e">
        <x:f>HYPERLINK("https://github.com/kapiltrip/hdlBits/blob/main/study/images/Day%2001/009-vector0.png","Image")</x:f>
        <x:v>HYPERLINK is not implemented. linkLocation=https://github.com/kapiltrip/hdlBits/blob/main/study/images/Day%2001/009-vector0.png, friendlyName=Image</x:v>
      </x:c>
      <x:c r="R20" s="4" t="e">
        <x:f>HYPERLINK("https://github.com/kapiltrip/hdlBits/blob/main/study/solutions/Day%2001/009-vector0.sv","Code")</x:f>
        <x:v>HYPERLINK is not implemented. linkLocation=https://github.com/kapiltrip/hdlBits/blob/main/study/solutions/Day%2001/009-vector0.sv, friendlyName=Code</x:v>
      </x:c>
      <x:c r="S20" s="4" t="e">
        <x:f>HYPERLINK("https://hdlbits.01xz.net/wiki/vector0","HDLBits")</x:f>
        <x:v>HYPERLINK is not implemented. linkLocation=https://hdlbits.01xz.net/wiki/vector0, friendlyName=HDLBits</x:v>
      </x:c>
      <x:c r="T20" s="2" t="s">
        <x:v>101</x:v>
      </x:c>
      <x:c r="U20" s="2"/>
    </x:row>
    <x:row r="21" ht="34.04999923706055" customHeight="1">
      <x:c r="A21" s="7">
        <x:v>12</x:v>
      </x:c>
      <x:c r="B21" s="7" t="n">
        <x:v>10</x:v>
      </x:c>
      <x:c r="C21" s="8" t="s">
        <x:v>16</x:v>
      </x:c>
      <x:c r="D21" s="8" t="s">
        <x:v>19</x:v>
      </x:c>
      <x:c r="E21" s="8" t="s">
        <x:v>102</x:v>
      </x:c>
      <x:c r="F21" s="8" t="s">
        <x:v>103</x:v>
      </x:c>
      <x:c r="G21" s="7" t="s">
        <x:v>1</x:v>
      </x:c>
      <x:c r="H21" s="7" t="str">
        <x:v>Day 01</x:v>
      </x:c>
      <x:c r="I21" s="55">
        <x:v>46196</x:v>
      </x:c>
      <x:c r="J21" s="7" t="s">
        <x:v>104</x:v>
      </x:c>
      <x:c r="K21" s="7">
        <x:v>10</x:v>
      </x:c>
      <x:c r="L21" s="7">
        <x:v>0</x:v>
      </x:c>
      <x:c r="M21" s="7">
        <x:v>9</x:v>
      </x:c>
      <x:c r="N21" s="7">
        <x:v>0</x:v>
      </x:c>
      <x:c r="O21" s="10">
        <x:v>0.1</x:v>
      </x:c>
      <x:c r="P21" s="11" t="e">
        <x:f>HYPERLINK("https://github.com/kapiltrip/hdlBits/blob/main/study/problems/Day%2001/010-vector1.md","Note")</x:f>
        <x:v>HYPERLINK is not implemented. linkLocation=https://github.com/kapiltrip/hdlBits/blob/main/study/problems/Day%2001/010-vector1.md, friendlyName=Note</x:v>
      </x:c>
      <x:c r="Q21" s="11" t="e">
        <x:f>HYPERLINK("https://github.com/kapiltrip/hdlBits/blob/main/study/images/Day%2001/010-vector1.png","Image")</x:f>
        <x:v>HYPERLINK is not implemented. linkLocation=https://github.com/kapiltrip/hdlBits/blob/main/study/images/Day%2001/010-vector1.png, friendlyName=Image</x:v>
      </x:c>
      <x:c r="R21" s="11" t="e">
        <x:f>HYPERLINK("https://github.com/kapiltrip/hdlBits/blob/main/study/solutions/Day%2001/010-vector1.sv","Code")</x:f>
        <x:v>HYPERLINK is not implemented. linkLocation=https://github.com/kapiltrip/hdlBits/blob/main/study/solutions/Day%2001/010-vector1.sv, friendlyName=Code</x:v>
      </x:c>
      <x:c r="S21" s="11" t="e">
        <x:f>HYPERLINK("https://hdlbits.01xz.net/wiki/vector1","HDLBits")</x:f>
        <x:v>HYPERLINK is not implemented. linkLocation=https://hdlbits.01xz.net/wiki/vector1, friendlyName=HDLBits</x:v>
      </x:c>
      <x:c r="T21" s="8" t="s">
        <x:v>105</x:v>
      </x:c>
      <x:c r="U21" s="8"/>
    </x:row>
    <x:row r="22" ht="34.04999923706055" customHeight="1">
      <x:c r="A22" s="3">
        <x:v>13</x:v>
      </x:c>
      <x:c r="B22" s="3" t="n">
        <x:v>11</x:v>
      </x:c>
      <x:c r="C22" s="2" t="s">
        <x:v>16</x:v>
      </x:c>
      <x:c r="D22" s="2" t="s">
        <x:v>19</x:v>
      </x:c>
      <x:c r="E22" s="2" t="s">
        <x:v>106</x:v>
      </x:c>
      <x:c r="F22" s="2" t="s">
        <x:v>107</x:v>
      </x:c>
      <x:c r="G22" s="3" t="s">
        <x:v>1</x:v>
      </x:c>
      <x:c r="H22" s="3" t="str">
        <x:v>Day 01</x:v>
      </x:c>
      <x:c r="I22" s="56">
        <x:v>46196</x:v>
      </x:c>
      <x:c r="J22" s="3" t="s">
        <x:v>108</x:v>
      </x:c>
      <x:c r="K22" s="3">
        <x:v>3</x:v>
      </x:c>
      <x:c r="L22" s="3">
        <x:v>0</x:v>
      </x:c>
      <x:c r="M22" s="3">
        <x:v>2</x:v>
      </x:c>
      <x:c r="N22" s="3">
        <x:v>0</x:v>
      </x:c>
      <x:c r="O22" s="6">
        <x:v>0.33</x:v>
      </x:c>
      <x:c r="P22" s="4" t="e">
        <x:f>HYPERLINK("https://github.com/kapiltrip/hdlBits/blob/main/study/problems/Day%2001/011-vector2.md","Note")</x:f>
        <x:v>HYPERLINK is not implemented. linkLocation=https://github.com/kapiltrip/hdlBits/blob/main/study/problems/Day%2001/011-vector2.md, friendlyName=Note</x:v>
      </x:c>
      <x:c r="Q22" s="4" t="e">
        <x:f>HYPERLINK("https://github.com/kapiltrip/hdlBits/blob/main/study/images/Day%2001/011-vector2.png","Image")</x:f>
        <x:v>HYPERLINK is not implemented. linkLocation=https://github.com/kapiltrip/hdlBits/blob/main/study/images/Day%2001/011-vector2.png, friendlyName=Image</x:v>
      </x:c>
      <x:c r="R22" s="4" t="e">
        <x:f>HYPERLINK("https://github.com/kapiltrip/hdlBits/blob/main/study/solutions/Day%2001/011-vector2.sv","Code")</x:f>
        <x:v>HYPERLINK is not implemented. linkLocation=https://github.com/kapiltrip/hdlBits/blob/main/study/solutions/Day%2001/011-vector2.sv, friendlyName=Code</x:v>
      </x:c>
      <x:c r="S22" s="4" t="e">
        <x:f>HYPERLINK("https://hdlbits.01xz.net/wiki/vector2","HDLBits")</x:f>
        <x:v>HYPERLINK is not implemented. linkLocation=https://hdlbits.01xz.net/wiki/vector2, friendlyName=HDLBits</x:v>
      </x:c>
      <x:c r="T22" s="2" t="s">
        <x:v>109</x:v>
      </x:c>
      <x:c r="U22" s="2"/>
    </x:row>
    <x:row r="23" ht="34.04999923706055" customHeight="1">
      <x:c r="A23" s="7">
        <x:v>14</x:v>
      </x:c>
      <x:c r="B23" s="7" t="n">
        <x:v>12</x:v>
      </x:c>
      <x:c r="C23" s="8" t="s">
        <x:v>16</x:v>
      </x:c>
      <x:c r="D23" s="8" t="s">
        <x:v>19</x:v>
      </x:c>
      <x:c r="E23" s="8" t="s">
        <x:v>110</x:v>
      </x:c>
      <x:c r="F23" s="8" t="s">
        <x:v>111</x:v>
      </x:c>
      <x:c r="G23" s="7" t="s">
        <x:v>1</x:v>
      </x:c>
      <x:c r="H23" s="7" t="str">
        <x:v>Day 01</x:v>
      </x:c>
      <x:c r="I23" s="55">
        <x:v>46196</x:v>
      </x:c>
      <x:c r="J23" s="7" t="s">
        <x:v>112</x:v>
      </x:c>
      <x:c r="K23" s="7">
        <x:v>1</x:v>
      </x:c>
      <x:c r="L23" s="7">
        <x:v>0</x:v>
      </x:c>
      <x:c r="M23" s="7">
        <x:v>0</x:v>
      </x:c>
      <x:c r="N23" s="7">
        <x:v>0</x:v>
      </x:c>
      <x:c r="O23" s="10">
        <x:v>1</x:v>
      </x:c>
      <x:c r="P23" s="11" t="e">
        <x:f>HYPERLINK("https://github.com/kapiltrip/hdlBits/blob/main/study/problems/Day%2001/012-vectorgates.md","Note")</x:f>
        <x:v>HYPERLINK is not implemented. linkLocation=https://github.com/kapiltrip/hdlBits/blob/main/study/problems/Day%2001/012-vectorgates.md, friendlyName=Note</x:v>
      </x:c>
      <x:c r="Q23" s="11" t="e">
        <x:f>HYPERLINK("https://github.com/kapiltrip/hdlBits/blob/main/study/images/Day%2001/012-vectorgates.png","Image")</x:f>
        <x:v>HYPERLINK is not implemented. linkLocation=https://github.com/kapiltrip/hdlBits/blob/main/study/images/Day%2001/012-vectorgates.png, friendlyName=Image</x:v>
      </x:c>
      <x:c r="R23" s="11" t="e">
        <x:f>HYPERLINK("https://github.com/kapiltrip/hdlBits/blob/main/study/solutions/Day%2001/012-vectorgates.sv","Code")</x:f>
        <x:v>HYPERLINK is not implemented. linkLocation=https://github.com/kapiltrip/hdlBits/blob/main/study/solutions/Day%2001/012-vectorgates.sv, friendlyName=Code</x:v>
      </x:c>
      <x:c r="S23" s="11" t="e">
        <x:f>HYPERLINK("https://hdlbits.01xz.net/wiki/vectorgates","HDLBits")</x:f>
        <x:v>HYPERLINK is not implemented. linkLocation=https://hdlbits.01xz.net/wiki/vectorgates, friendlyName=HDLBits</x:v>
      </x:c>
      <x:c r="T23" s="8" t="s">
        <x:v>113</x:v>
      </x:c>
      <x:c r="U23" s="8"/>
    </x:row>
    <x:row r="24" ht="34.04999923706055" customHeight="1">
      <x:c r="A24" s="3">
        <x:v>15</x:v>
      </x:c>
      <x:c r="B24" s="3" t="n">
        <x:v>13</x:v>
      </x:c>
      <x:c r="C24" s="2" t="s">
        <x:v>16</x:v>
      </x:c>
      <x:c r="D24" s="2" t="s">
        <x:v>19</x:v>
      </x:c>
      <x:c r="E24" s="2" t="s">
        <x:v>114</x:v>
      </x:c>
      <x:c r="F24" s="2" t="s">
        <x:v>115</x:v>
      </x:c>
      <x:c r="G24" s="3" t="s">
        <x:v>1</x:v>
      </x:c>
      <x:c r="H24" s="3" t="str">
        <x:v>Day 01</x:v>
      </x:c>
      <x:c r="I24" s="56">
        <x:v>46196</x:v>
      </x:c>
      <x:c r="J24" s="3" t="s">
        <x:v>116</x:v>
      </x:c>
      <x:c r="K24" s="3">
        <x:v>8</x:v>
      </x:c>
      <x:c r="L24" s="3">
        <x:v>0</x:v>
      </x:c>
      <x:c r="M24" s="3">
        <x:v>7</x:v>
      </x:c>
      <x:c r="N24" s="3">
        <x:v>0</x:v>
      </x:c>
      <x:c r="O24" s="6">
        <x:v>0.13</x:v>
      </x:c>
      <x:c r="P24" s="4" t="e">
        <x:f>HYPERLINK("https://github.com/kapiltrip/hdlBits/blob/main/study/problems/Day%2001/013-gates4.md","Note")</x:f>
        <x:v>HYPERLINK is not implemented. linkLocation=https://github.com/kapiltrip/hdlBits/blob/main/study/problems/Day%2001/013-gates4.md, friendlyName=Note</x:v>
      </x:c>
      <x:c r="Q24" s="4" t="e">
        <x:f>HYPERLINK("https://github.com/kapiltrip/hdlBits/blob/main/study/images/Day%2001/013-gates4.png","Image")</x:f>
        <x:v>HYPERLINK is not implemented. linkLocation=https://github.com/kapiltrip/hdlBits/blob/main/study/images/Day%2001/013-gates4.png, friendlyName=Image</x:v>
      </x:c>
      <x:c r="R24" s="4" t="e">
        <x:f>HYPERLINK("https://github.com/kapiltrip/hdlBits/blob/main/study/solutions/Day%2001/013-gates4.sv","Code")</x:f>
        <x:v>HYPERLINK is not implemented. linkLocation=https://github.com/kapiltrip/hdlBits/blob/main/study/solutions/Day%2001/013-gates4.sv, friendlyName=Code</x:v>
      </x:c>
      <x:c r="S24" s="4" t="e">
        <x:f>HYPERLINK("https://hdlbits.01xz.net/wiki/gates4","HDLBits")</x:f>
        <x:v>HYPERLINK is not implemented. linkLocation=https://hdlbits.01xz.net/wiki/gates4, friendlyName=HDLBits</x:v>
      </x:c>
      <x:c r="T24" s="2" t="s">
        <x:v>117</x:v>
      </x:c>
      <x:c r="U24" s="2"/>
    </x:row>
    <x:row r="25" ht="34.04999923706055" customHeight="1">
      <x:c r="A25" s="7">
        <x:v>16</x:v>
      </x:c>
      <x:c r="B25" s="7" t="n">
        <x:v>14</x:v>
      </x:c>
      <x:c r="C25" s="8" t="s">
        <x:v>16</x:v>
      </x:c>
      <x:c r="D25" s="8" t="s">
        <x:v>19</x:v>
      </x:c>
      <x:c r="E25" s="8" t="s">
        <x:v>118</x:v>
      </x:c>
      <x:c r="F25" s="8" t="s">
        <x:v>119</x:v>
      </x:c>
      <x:c r="G25" s="7" t="s">
        <x:v>1</x:v>
      </x:c>
      <x:c r="H25" s="7" t="str">
        <x:v>Day 01</x:v>
      </x:c>
      <x:c r="I25" s="55">
        <x:v>46196</x:v>
      </x:c>
      <x:c r="J25" s="7" t="s">
        <x:v>120</x:v>
      </x:c>
      <x:c r="K25" s="7">
        <x:v>8</x:v>
      </x:c>
      <x:c r="L25" s="7">
        <x:v>0</x:v>
      </x:c>
      <x:c r="M25" s="7">
        <x:v>7</x:v>
      </x:c>
      <x:c r="N25" s="7">
        <x:v>0</x:v>
      </x:c>
      <x:c r="O25" s="10">
        <x:v>0.13</x:v>
      </x:c>
      <x:c r="P25" s="11" t="e">
        <x:f>HYPERLINK("https://github.com/kapiltrip/hdlBits/blob/main/study/problems/Day%2001/014-vector3.md","Note")</x:f>
        <x:v>HYPERLINK is not implemented. linkLocation=https://github.com/kapiltrip/hdlBits/blob/main/study/problems/Day%2001/014-vector3.md, friendlyName=Note</x:v>
      </x:c>
      <x:c r="Q25" s="11" t="e">
        <x:f>HYPERLINK("https://github.com/kapiltrip/hdlBits/blob/main/study/images/Day%2001/014-vector3.png","Image")</x:f>
        <x:v>HYPERLINK is not implemented. linkLocation=https://github.com/kapiltrip/hdlBits/blob/main/study/images/Day%2001/014-vector3.png, friendlyName=Image</x:v>
      </x:c>
      <x:c r="R25" s="11" t="e">
        <x:f>HYPERLINK("https://github.com/kapiltrip/hdlBits/blob/main/study/solutions/Day%2001/014-vector3.sv","Code")</x:f>
        <x:v>HYPERLINK is not implemented. linkLocation=https://github.com/kapiltrip/hdlBits/blob/main/study/solutions/Day%2001/014-vector3.sv, friendlyName=Code</x:v>
      </x:c>
      <x:c r="S25" s="11" t="e">
        <x:f>HYPERLINK("https://hdlbits.01xz.net/wiki/vector3","HDLBits")</x:f>
        <x:v>HYPERLINK is not implemented. linkLocation=https://hdlbits.01xz.net/wiki/vector3, friendlyName=HDLBits</x:v>
      </x:c>
      <x:c r="T25" s="8" t="s">
        <x:v>121</x:v>
      </x:c>
      <x:c r="U25" s="8"/>
    </x:row>
    <x:row r="26" ht="34.04999923706055" customHeight="1">
      <x:c r="A26" s="3">
        <x:v>17</x:v>
      </x:c>
      <x:c r="B26" s="3" t="n">
        <x:v>15</x:v>
      </x:c>
      <x:c r="C26" s="2" t="s">
        <x:v>16</x:v>
      </x:c>
      <x:c r="D26" s="2" t="s">
        <x:v>19</x:v>
      </x:c>
      <x:c r="E26" s="2" t="s">
        <x:v>122</x:v>
      </x:c>
      <x:c r="F26" s="2" t="s">
        <x:v>123</x:v>
      </x:c>
      <x:c r="G26" s="3" t="s">
        <x:v>1</x:v>
      </x:c>
      <x:c r="H26" s="3" t="str">
        <x:v>Day 01</x:v>
      </x:c>
      <x:c r="I26" s="56">
        <x:v>46196</x:v>
      </x:c>
      <x:c r="J26" s="3" t="s">
        <x:v>124</x:v>
      </x:c>
      <x:c r="K26" s="3">
        <x:v>2</x:v>
      </x:c>
      <x:c r="L26" s="3">
        <x:v>0</x:v>
      </x:c>
      <x:c r="M26" s="3">
        <x:v>1</x:v>
      </x:c>
      <x:c r="N26" s="3">
        <x:v>0</x:v>
      </x:c>
      <x:c r="O26" s="6">
        <x:v>0.5</x:v>
      </x:c>
      <x:c r="P26" s="4" t="e">
        <x:f>HYPERLINK("https://github.com/kapiltrip/hdlBits/blob/main/study/problems/Day%2001/015-vectorr.md","Note")</x:f>
        <x:v>HYPERLINK is not implemented. linkLocation=https://github.com/kapiltrip/hdlBits/blob/main/study/problems/Day%2001/015-vectorr.md, friendlyName=Note</x:v>
      </x:c>
      <x:c r="Q26" s="4" t="e">
        <x:f>HYPERLINK("https://github.com/kapiltrip/hdlBits/blob/main/study/images/Day%2001/015-vectorr.png","Image")</x:f>
        <x:v>HYPERLINK is not implemented. linkLocation=https://github.com/kapiltrip/hdlBits/blob/main/study/images/Day%2001/015-vectorr.png, friendlyName=Image</x:v>
      </x:c>
      <x:c r="R26" s="4" t="e">
        <x:f>HYPERLINK("https://github.com/kapiltrip/hdlBits/blob/main/study/solutions/Day%2001/015-vectorr.sv","Code")</x:f>
        <x:v>HYPERLINK is not implemented. linkLocation=https://github.com/kapiltrip/hdlBits/blob/main/study/solutions/Day%2001/015-vectorr.sv, friendlyName=Code</x:v>
      </x:c>
      <x:c r="S26" s="4" t="e">
        <x:f>HYPERLINK("https://hdlbits.01xz.net/wiki/vectorr","HDLBits")</x:f>
        <x:v>HYPERLINK is not implemented. linkLocation=https://hdlbits.01xz.net/wiki/vectorr, friendlyName=HDLBits</x:v>
      </x:c>
      <x:c r="T26" s="2" t="s">
        <x:v>125</x:v>
      </x:c>
      <x:c r="U26" s="2"/>
    </x:row>
    <x:row r="27" ht="34.04999923706055" customHeight="1">
      <x:c r="A27" s="7">
        <x:v>18</x:v>
      </x:c>
      <x:c r="B27" s="7" t="n">
        <x:v>16</x:v>
      </x:c>
      <x:c r="C27" s="8" t="s">
        <x:v>16</x:v>
      </x:c>
      <x:c r="D27" s="8" t="s">
        <x:v>19</x:v>
      </x:c>
      <x:c r="E27" s="8" t="s">
        <x:v>126</x:v>
      </x:c>
      <x:c r="F27" s="8" t="s">
        <x:v>127</x:v>
      </x:c>
      <x:c r="G27" s="7" t="s">
        <x:v>1</x:v>
      </x:c>
      <x:c r="H27" s="7" t="str">
        <x:v>Day 01</x:v>
      </x:c>
      <x:c r="I27" s="55">
        <x:v>46196</x:v>
      </x:c>
      <x:c r="J27" s="7" t="s">
        <x:v>128</x:v>
      </x:c>
      <x:c r="K27" s="7">
        <x:v>9</x:v>
      </x:c>
      <x:c r="L27" s="7">
        <x:v>0</x:v>
      </x:c>
      <x:c r="M27" s="7">
        <x:v>8</x:v>
      </x:c>
      <x:c r="N27" s="7">
        <x:v>0</x:v>
      </x:c>
      <x:c r="O27" s="10">
        <x:v>0.11</x:v>
      </x:c>
      <x:c r="P27" s="11" t="e">
        <x:f>HYPERLINK("https://github.com/kapiltrip/hdlBits/blob/main/study/problems/Day%2001/016-vector4.md","Note")</x:f>
        <x:v>HYPERLINK is not implemented. linkLocation=https://github.com/kapiltrip/hdlBits/blob/main/study/problems/Day%2001/016-vector4.md, friendlyName=Note</x:v>
      </x:c>
      <x:c r="Q27" s="11" t="e">
        <x:f>HYPERLINK("https://github.com/kapiltrip/hdlBits/blob/main/study/images/Day%2001/016-vector4.png","Image")</x:f>
        <x:v>HYPERLINK is not implemented. linkLocation=https://github.com/kapiltrip/hdlBits/blob/main/study/images/Day%2001/016-vector4.png, friendlyName=Image</x:v>
      </x:c>
      <x:c r="R27" s="11" t="e">
        <x:f>HYPERLINK("https://github.com/kapiltrip/hdlBits/blob/main/study/solutions/Day%2001/016-vector4.sv","Code")</x:f>
        <x:v>HYPERLINK is not implemented. linkLocation=https://github.com/kapiltrip/hdlBits/blob/main/study/solutions/Day%2001/016-vector4.sv, friendlyName=Code</x:v>
      </x:c>
      <x:c r="S27" s="11" t="e">
        <x:f>HYPERLINK("https://hdlbits.01xz.net/wiki/vector4","HDLBits")</x:f>
        <x:v>HYPERLINK is not implemented. linkLocation=https://hdlbits.01xz.net/wiki/vector4, friendlyName=HDLBits</x:v>
      </x:c>
      <x:c r="T27" s="8" t="s">
        <x:v>129</x:v>
      </x:c>
      <x:c r="U27" s="8"/>
    </x:row>
    <x:row r="28" ht="34.04999923706055" customHeight="1">
      <x:c r="A28" s="3">
        <x:v>19</x:v>
      </x:c>
      <x:c r="B28" s="3" t="n">
        <x:v>17</x:v>
      </x:c>
      <x:c r="C28" s="2" t="s">
        <x:v>16</x:v>
      </x:c>
      <x:c r="D28" s="2" t="s">
        <x:v>19</x:v>
      </x:c>
      <x:c r="E28" s="2" t="s">
        <x:v>130</x:v>
      </x:c>
      <x:c r="F28" s="2" t="s">
        <x:v>131</x:v>
      </x:c>
      <x:c r="G28" s="3" t="s">
        <x:v>1</x:v>
      </x:c>
      <x:c r="H28" s="3" t="str">
        <x:v>Day 02</x:v>
      </x:c>
      <x:c r="I28" s="56">
        <x:v>46197</x:v>
      </x:c>
      <x:c r="J28" s="3" t="s">
        <x:v>132</x:v>
      </x:c>
      <x:c r="K28" s="3">
        <x:v>5</x:v>
      </x:c>
      <x:c r="L28" s="3">
        <x:v>0</x:v>
      </x:c>
      <x:c r="M28" s="3">
        <x:v>4</x:v>
      </x:c>
      <x:c r="N28" s="3">
        <x:v>0</x:v>
      </x:c>
      <x:c r="O28" s="6">
        <x:v>0.2</x:v>
      </x:c>
      <x:c r="P28" s="4" t="e">
        <x:f>HYPERLINK("https://github.com/kapiltrip/hdlBits/blob/main/study/problems/Day%2002/017-vector5.md","Note")</x:f>
        <x:v>HYPERLINK is not implemented. linkLocation=https://github.com/kapiltrip/hdlBits/blob/main/study/problems/Day%2002/017-vector5.md, friendlyName=Note</x:v>
      </x:c>
      <x:c r="Q28" s="4" t="e">
        <x:f>HYPERLINK("https://github.com/kapiltrip/hdlBits/blob/main/study/images/Day%2002/017-vector5.png","Image")</x:f>
        <x:v>HYPERLINK is not implemented. linkLocation=https://github.com/kapiltrip/hdlBits/blob/main/study/images/Day%2002/017-vector5.png, friendlyName=Image</x:v>
      </x:c>
      <x:c r="R28" s="4" t="e">
        <x:f>HYPERLINK("https://github.com/kapiltrip/hdlBits/blob/main/study/solutions/Day%2002/017-vector5.sv","Code")</x:f>
        <x:v>HYPERLINK is not implemented. linkLocation=https://github.com/kapiltrip/hdlBits/blob/main/study/solutions/Day%2002/017-vector5.sv, friendlyName=Code</x:v>
      </x:c>
      <x:c r="S28" s="4" t="e">
        <x:f>HYPERLINK("https://hdlbits.01xz.net/wiki/vector5","HDLBits")</x:f>
        <x:v>HYPERLINK is not implemented. linkLocation=https://hdlbits.01xz.net/wiki/vector5, friendlyName=HDLBits</x:v>
      </x:c>
      <x:c r="T28" s="2" t="s">
        <x:v>133</x:v>
      </x:c>
      <x:c r="U28" s="2"/>
    </x:row>
    <x:row r="29" ht="22.049999237060547" customHeight="1">
      <x:c r="A29" s="44" t="s">
        <x:v>134</x:v>
      </x:c>
      <x:c r="B29" s="44"/>
      <x:c r="C29" s="44"/>
      <x:c r="D29" s="44"/>
      <x:c r="E29" s="44"/>
      <x:c r="F29" s="44"/>
      <x:c r="G29" s="44"/>
      <x:c r="H29" s="44"/>
      <x:c r="I29" s="60"/>
      <x:c r="J29" s="44"/>
      <x:c r="K29" s="44"/>
      <x:c r="L29" s="44"/>
      <x:c r="M29" s="44"/>
      <x:c r="N29" s="44"/>
      <x:c r="O29" s="46"/>
      <x:c r="P29" s="44"/>
      <x:c r="Q29" s="44"/>
      <x:c r="R29" s="44"/>
      <x:c r="S29" s="44"/>
      <x:c r="T29" s="44"/>
      <x:c r="U29" s="44"/>
    </x:row>
    <x:row r="30" ht="34.04999923706055" customHeight="1">
      <x:c r="A30" s="7">
        <x:v>20</x:v>
      </x:c>
      <x:c r="B30" s="7" t="n">
        <x:v>18</x:v>
      </x:c>
      <x:c r="C30" s="8" t="s">
        <x:v>16</x:v>
      </x:c>
      <x:c r="D30" s="8" t="s">
        <x:v>21</x:v>
      </x:c>
      <x:c r="E30" s="8" t="s">
        <x:v>135</x:v>
      </x:c>
      <x:c r="F30" s="8" t="s">
        <x:v>136</x:v>
      </x:c>
      <x:c r="G30" s="7" t="s">
        <x:v>1</x:v>
      </x:c>
      <x:c r="H30" s="7" t="str">
        <x:v>Day 02</x:v>
      </x:c>
      <x:c r="I30" s="55">
        <x:v>46197</x:v>
      </x:c>
      <x:c r="J30" s="7" t="s">
        <x:v>137</x:v>
      </x:c>
      <x:c r="K30" s="7">
        <x:v>1</x:v>
      </x:c>
      <x:c r="L30" s="7">
        <x:v>0</x:v>
      </x:c>
      <x:c r="M30" s="7">
        <x:v>0</x:v>
      </x:c>
      <x:c r="N30" s="7">
        <x:v>0</x:v>
      </x:c>
      <x:c r="O30" s="10">
        <x:v>1</x:v>
      </x:c>
      <x:c r="P30" s="11" t="e">
        <x:f>HYPERLINK("https://github.com/kapiltrip/hdlBits/blob/main/study/problems/Day%2002/018-module.md","Note")</x:f>
        <x:v>HYPERLINK is not implemented. linkLocation=https://github.com/kapiltrip/hdlBits/blob/main/study/problems/Day%2002/018-module.md, friendlyName=Note</x:v>
      </x:c>
      <x:c r="Q30" s="11" t="e">
        <x:f>HYPERLINK("https://github.com/kapiltrip/hdlBits/blob/main/study/images/Day%2002/018-module.png","Image")</x:f>
        <x:v>HYPERLINK is not implemented. linkLocation=https://github.com/kapiltrip/hdlBits/blob/main/study/images/Day%2002/018-module.png, friendlyName=Image</x:v>
      </x:c>
      <x:c r="R30" s="11" t="e">
        <x:f>HYPERLINK("https://github.com/kapiltrip/hdlBits/blob/main/study/solutions/Day%2002/018-module.sv","Code")</x:f>
        <x:v>HYPERLINK is not implemented. linkLocation=https://github.com/kapiltrip/hdlBits/blob/main/study/solutions/Day%2002/018-module.sv, friendlyName=Code</x:v>
      </x:c>
      <x:c r="S30" s="11" t="e">
        <x:f>HYPERLINK("https://hdlbits.01xz.net/wiki/module","HDLBits")</x:f>
        <x:v>HYPERLINK is not implemented. linkLocation=https://hdlbits.01xz.net/wiki/module, friendlyName=HDLBits</x:v>
      </x:c>
      <x:c r="T30" s="8" t="s">
        <x:v>138</x:v>
      </x:c>
      <x:c r="U30" s="8"/>
    </x:row>
    <x:row r="31" ht="34.04999923706055" customHeight="1">
      <x:c r="A31" s="3">
        <x:v>21</x:v>
      </x:c>
      <x:c r="B31" s="3" t="n">
        <x:v>19</x:v>
      </x:c>
      <x:c r="C31" s="2" t="s">
        <x:v>16</x:v>
      </x:c>
      <x:c r="D31" s="2" t="s">
        <x:v>21</x:v>
      </x:c>
      <x:c r="E31" s="2" t="s">
        <x:v>139</x:v>
      </x:c>
      <x:c r="F31" s="2" t="s">
        <x:v>140</x:v>
      </x:c>
      <x:c r="G31" s="3" t="s">
        <x:v>1</x:v>
      </x:c>
      <x:c r="H31" s="3" t="str">
        <x:v>Day 02</x:v>
      </x:c>
      <x:c r="I31" s="56">
        <x:v>46197</x:v>
      </x:c>
      <x:c r="J31" s="3" t="s">
        <x:v>141</x:v>
      </x:c>
      <x:c r="K31" s="3">
        <x:v>2</x:v>
      </x:c>
      <x:c r="L31" s="3">
        <x:v>0</x:v>
      </x:c>
      <x:c r="M31" s="3">
        <x:v>0</x:v>
      </x:c>
      <x:c r="N31" s="3">
        <x:v>0</x:v>
      </x:c>
      <x:c r="O31" s="6">
        <x:v>1</x:v>
      </x:c>
      <x:c r="P31" s="4" t="e">
        <x:f>HYPERLINK("https://github.com/kapiltrip/hdlBits/blob/main/study/problems/Day%2002/019-module_pos.md","Note")</x:f>
        <x:v>HYPERLINK is not implemented. linkLocation=https://github.com/kapiltrip/hdlBits/blob/main/study/problems/Day%2002/019-module_pos.md, friendlyName=Note</x:v>
      </x:c>
      <x:c r="Q31" s="4" t="e">
        <x:f>HYPERLINK("https://github.com/kapiltrip/hdlBits/blob/main/study/images/Day%2002/019-module_pos.png","Image")</x:f>
        <x:v>HYPERLINK is not implemented. linkLocation=https://github.com/kapiltrip/hdlBits/blob/main/study/images/Day%2002/019-module_pos.png, friendlyName=Image</x:v>
      </x:c>
      <x:c r="R31" s="4" t="e">
        <x:f>HYPERLINK("https://github.com/kapiltrip/hdlBits/blob/main/study/solutions/Day%2002/019-module_pos.sv","Code")</x:f>
        <x:v>HYPERLINK is not implemented. linkLocation=https://github.com/kapiltrip/hdlBits/blob/main/study/solutions/Day%2002/019-module_pos.sv, friendlyName=Code</x:v>
      </x:c>
      <x:c r="S31" s="4" t="e">
        <x:f>HYPERLINK("https://hdlbits.01xz.net/wiki/module_pos","HDLBits")</x:f>
        <x:v>HYPERLINK is not implemented. linkLocation=https://hdlbits.01xz.net/wiki/module_pos, friendlyName=HDLBits</x:v>
      </x:c>
      <x:c r="T31" s="2" t="s">
        <x:v>142</x:v>
      </x:c>
      <x:c r="U31" s="2"/>
    </x:row>
    <x:row r="32" ht="34.04999923706055" customHeight="1">
      <x:c r="A32" s="7">
        <x:v>22</x:v>
      </x:c>
      <x:c r="B32" s="7" t="n">
        <x:v>20</x:v>
      </x:c>
      <x:c r="C32" s="8" t="s">
        <x:v>16</x:v>
      </x:c>
      <x:c r="D32" s="8" t="s">
        <x:v>21</x:v>
      </x:c>
      <x:c r="E32" s="8" t="s">
        <x:v>143</x:v>
      </x:c>
      <x:c r="F32" s="8" t="s">
        <x:v>144</x:v>
      </x:c>
      <x:c r="G32" s="7" t="s">
        <x:v>1</x:v>
      </x:c>
      <x:c r="H32" s="7" t="str">
        <x:v>Day 02</x:v>
      </x:c>
      <x:c r="I32" s="55">
        <x:v>46197</x:v>
      </x:c>
      <x:c r="J32" s="7" t="s">
        <x:v>145</x:v>
      </x:c>
      <x:c r="K32" s="7">
        <x:v>1</x:v>
      </x:c>
      <x:c r="L32" s="7">
        <x:v>0</x:v>
      </x:c>
      <x:c r="M32" s="7">
        <x:v>0</x:v>
      </x:c>
      <x:c r="N32" s="7">
        <x:v>0</x:v>
      </x:c>
      <x:c r="O32" s="10">
        <x:v>1</x:v>
      </x:c>
      <x:c r="P32" s="11" t="e">
        <x:f>HYPERLINK("https://github.com/kapiltrip/hdlBits/blob/main/study/problems/Day%2002/020-module_name.md","Note")</x:f>
        <x:v>HYPERLINK is not implemented. linkLocation=https://github.com/kapiltrip/hdlBits/blob/main/study/problems/Day%2002/020-module_name.md, friendlyName=Note</x:v>
      </x:c>
      <x:c r="Q32" s="11" t="e">
        <x:f>HYPERLINK("https://github.com/kapiltrip/hdlBits/blob/main/study/images/Day%2002/020-module_name.png","Image")</x:f>
        <x:v>HYPERLINK is not implemented. linkLocation=https://github.com/kapiltrip/hdlBits/blob/main/study/images/Day%2002/020-module_name.png, friendlyName=Image</x:v>
      </x:c>
      <x:c r="R32" s="11" t="e">
        <x:f>HYPERLINK("https://github.com/kapiltrip/hdlBits/blob/main/study/solutions/Day%2002/020-module_name.sv","Code")</x:f>
        <x:v>HYPERLINK is not implemented. linkLocation=https://github.com/kapiltrip/hdlBits/blob/main/study/solutions/Day%2002/020-module_name.sv, friendlyName=Code</x:v>
      </x:c>
      <x:c r="S32" s="11" t="e">
        <x:f>HYPERLINK("https://hdlbits.01xz.net/wiki/module_name","HDLBits")</x:f>
        <x:v>HYPERLINK is not implemented. linkLocation=https://hdlbits.01xz.net/wiki/module_name, friendlyName=HDLBits</x:v>
      </x:c>
      <x:c r="T32" s="8" t="s">
        <x:v>146</x:v>
      </x:c>
      <x:c r="U32" s="8"/>
    </x:row>
    <x:row r="33" ht="34.04999923706055" customHeight="1">
      <x:c r="A33" s="3">
        <x:v>23</x:v>
      </x:c>
      <x:c r="B33" s="3" t="n">
        <x:v>21</x:v>
      </x:c>
      <x:c r="C33" s="2" t="s">
        <x:v>16</x:v>
      </x:c>
      <x:c r="D33" s="2" t="s">
        <x:v>21</x:v>
      </x:c>
      <x:c r="E33" s="2" t="s">
        <x:v>147</x:v>
      </x:c>
      <x:c r="F33" s="2" t="s">
        <x:v>148</x:v>
      </x:c>
      <x:c r="G33" s="3" t="s">
        <x:v>1</x:v>
      </x:c>
      <x:c r="H33" s="3" t="str">
        <x:v>Day 02</x:v>
      </x:c>
      <x:c r="I33" s="56">
        <x:v>46197</x:v>
      </x:c>
      <x:c r="J33" s="3" t="s">
        <x:v>149</x:v>
      </x:c>
      <x:c r="K33" s="3">
        <x:v>2</x:v>
      </x:c>
      <x:c r="L33" s="3">
        <x:v>0</x:v>
      </x:c>
      <x:c r="M33" s="3">
        <x:v>1</x:v>
      </x:c>
      <x:c r="N33" s="3">
        <x:v>0</x:v>
      </x:c>
      <x:c r="O33" s="6">
        <x:v>0.5</x:v>
      </x:c>
      <x:c r="P33" s="4" t="e">
        <x:f>HYPERLINK("https://github.com/kapiltrip/hdlBits/blob/main/study/problems/Day%2002/021-module_shift.md","Note")</x:f>
        <x:v>HYPERLINK is not implemented. linkLocation=https://github.com/kapiltrip/hdlBits/blob/main/study/problems/Day%2002/021-module_shift.md, friendlyName=Note</x:v>
      </x:c>
      <x:c r="Q33" s="4" t="e">
        <x:f>HYPERLINK("https://github.com/kapiltrip/hdlBits/blob/main/study/images/Day%2002/021-module_shift.png","Image")</x:f>
        <x:v>HYPERLINK is not implemented. linkLocation=https://github.com/kapiltrip/hdlBits/blob/main/study/images/Day%2002/021-module_shift.png, friendlyName=Image</x:v>
      </x:c>
      <x:c r="R33" s="4" t="e">
        <x:f>HYPERLINK("https://github.com/kapiltrip/hdlBits/blob/main/study/solutions/Day%2002/021-module_shift.sv","Code")</x:f>
        <x:v>HYPERLINK is not implemented. linkLocation=https://github.com/kapiltrip/hdlBits/blob/main/study/solutions/Day%2002/021-module_shift.sv, friendlyName=Code</x:v>
      </x:c>
      <x:c r="S33" s="4" t="e">
        <x:f>HYPERLINK("https://hdlbits.01xz.net/wiki/module_shift","HDLBits")</x:f>
        <x:v>HYPERLINK is not implemented. linkLocation=https://hdlbits.01xz.net/wiki/module_shift, friendlyName=HDLBits</x:v>
      </x:c>
      <x:c r="T33" s="2" t="s">
        <x:v>150</x:v>
      </x:c>
      <x:c r="U33" s="2"/>
    </x:row>
    <x:row r="34" ht="34.04999923706055" customHeight="1">
      <x:c r="A34" s="7">
        <x:v>24</x:v>
      </x:c>
      <x:c r="B34" s="7" t="n">
        <x:v>22</x:v>
      </x:c>
      <x:c r="C34" s="8" t="s">
        <x:v>16</x:v>
      </x:c>
      <x:c r="D34" s="8" t="s">
        <x:v>21</x:v>
      </x:c>
      <x:c r="E34" s="8" t="s">
        <x:v>151</x:v>
      </x:c>
      <x:c r="F34" s="8" t="s">
        <x:v>152</x:v>
      </x:c>
      <x:c r="G34" s="7" t="s">
        <x:v>1</x:v>
      </x:c>
      <x:c r="H34" s="7" t="str">
        <x:v>Day 02</x:v>
      </x:c>
      <x:c r="I34" s="55">
        <x:v>46197</x:v>
      </x:c>
      <x:c r="J34" s="7" t="s">
        <x:v>153</x:v>
      </x:c>
      <x:c r="K34" s="7">
        <x:v>7</x:v>
      </x:c>
      <x:c r="L34" s="7">
        <x:v>2</x:v>
      </x:c>
      <x:c r="M34" s="7">
        <x:v>4</x:v>
      </x:c>
      <x:c r="N34" s="7">
        <x:v>0</x:v>
      </x:c>
      <x:c r="O34" s="10">
        <x:v>0.14000000000000001</x:v>
      </x:c>
      <x:c r="P34" s="11" t="e">
        <x:f>HYPERLINK("https://github.com/kapiltrip/hdlBits/blob/main/study/problems/Day%2002/022-module_shift8.md","Note")</x:f>
        <x:v>HYPERLINK is not implemented. linkLocation=https://github.com/kapiltrip/hdlBits/blob/main/study/problems/Day%2002/022-module_shift8.md, friendlyName=Note</x:v>
      </x:c>
      <x:c r="Q34" s="11" t="e">
        <x:f>HYPERLINK("https://github.com/kapiltrip/hdlBits/blob/main/study/images/Day%2002/022-module_shift8.png","Image")</x:f>
        <x:v>HYPERLINK is not implemented. linkLocation=https://github.com/kapiltrip/hdlBits/blob/main/study/images/Day%2002/022-module_shift8.png, friendlyName=Image</x:v>
      </x:c>
      <x:c r="R34" s="11" t="e">
        <x:f>HYPERLINK("https://github.com/kapiltrip/hdlBits/blob/main/study/solutions/Day%2002/022-module_shift8.sv","Code")</x:f>
        <x:v>HYPERLINK is not implemented. linkLocation=https://github.com/kapiltrip/hdlBits/blob/main/study/solutions/Day%2002/022-module_shift8.sv, friendlyName=Code</x:v>
      </x:c>
      <x:c r="S34" s="11" t="e">
        <x:f>HYPERLINK("https://hdlbits.01xz.net/wiki/module_shift8","HDLBits")</x:f>
        <x:v>HYPERLINK is not implemented. linkLocation=https://hdlbits.01xz.net/wiki/module_shift8, friendlyName=HDLBits</x:v>
      </x:c>
      <x:c r="T34" s="8" t="s">
        <x:v>154</x:v>
      </x:c>
      <x:c r="U34" s="8"/>
    </x:row>
    <x:row r="35" ht="34.04999923706055" customHeight="1">
      <x:c r="A35" s="3">
        <x:v>25</x:v>
      </x:c>
      <x:c r="B35" s="3" t="n">
        <x:v>23</x:v>
      </x:c>
      <x:c r="C35" s="2" t="s">
        <x:v>16</x:v>
      </x:c>
      <x:c r="D35" s="2" t="s">
        <x:v>21</x:v>
      </x:c>
      <x:c r="E35" s="2" t="s">
        <x:v>155</x:v>
      </x:c>
      <x:c r="F35" s="2" t="s">
        <x:v>156</x:v>
      </x:c>
      <x:c r="G35" s="3" t="s">
        <x:v>1</x:v>
      </x:c>
      <x:c r="H35" s="3" t="str">
        <x:v>Day 02</x:v>
      </x:c>
      <x:c r="I35" s="56">
        <x:v>46197</x:v>
      </x:c>
      <x:c r="J35" s="3" t="s">
        <x:v>157</x:v>
      </x:c>
      <x:c r="K35" s="3">
        <x:v>1</x:v>
      </x:c>
      <x:c r="L35" s="3">
        <x:v>0</x:v>
      </x:c>
      <x:c r="M35" s="3">
        <x:v>0</x:v>
      </x:c>
      <x:c r="N35" s="3">
        <x:v>0</x:v>
      </x:c>
      <x:c r="O35" s="6">
        <x:v>1</x:v>
      </x:c>
      <x:c r="P35" s="4" t="e">
        <x:f>HYPERLINK("https://github.com/kapiltrip/hdlBits/blob/main/study/problems/Day%2002/023-module_add.md","Note")</x:f>
        <x:v>HYPERLINK is not implemented. linkLocation=https://github.com/kapiltrip/hdlBits/blob/main/study/problems/Day%2002/023-module_add.md, friendlyName=Note</x:v>
      </x:c>
      <x:c r="Q35" s="4" t="e">
        <x:f>HYPERLINK("https://github.com/kapiltrip/hdlBits/blob/main/study/images/Day%2002/023-module_add.png","Image")</x:f>
        <x:v>HYPERLINK is not implemented. linkLocation=https://github.com/kapiltrip/hdlBits/blob/main/study/images/Day%2002/023-module_add.png, friendlyName=Image</x:v>
      </x:c>
      <x:c r="R35" s="4" t="e">
        <x:f>HYPERLINK("https://github.com/kapiltrip/hdlBits/blob/main/study/solutions/Day%2002/023-module_add.sv","Code")</x:f>
        <x:v>HYPERLINK is not implemented. linkLocation=https://github.com/kapiltrip/hdlBits/blob/main/study/solutions/Day%2002/023-module_add.sv, friendlyName=Code</x:v>
      </x:c>
      <x:c r="S35" s="4" t="e">
        <x:f>HYPERLINK("https://hdlbits.01xz.net/wiki/module_add","HDLBits")</x:f>
        <x:v>HYPERLINK is not implemented. linkLocation=https://hdlbits.01xz.net/wiki/module_add, friendlyName=HDLBits</x:v>
      </x:c>
      <x:c r="T35" s="2" t="s">
        <x:v>158</x:v>
      </x:c>
      <x:c r="U35" s="2"/>
    </x:row>
    <x:row r="36" ht="34.04999923706055" customHeight="1">
      <x:c r="A36" s="7">
        <x:v>26</x:v>
      </x:c>
      <x:c r="B36" s="7" t="n">
        <x:v>24</x:v>
      </x:c>
      <x:c r="C36" s="8" t="s">
        <x:v>16</x:v>
      </x:c>
      <x:c r="D36" s="8" t="s">
        <x:v>21</x:v>
      </x:c>
      <x:c r="E36" s="8" t="s">
        <x:v>159</x:v>
      </x:c>
      <x:c r="F36" s="8" t="s">
        <x:v>160</x:v>
      </x:c>
      <x:c r="G36" s="7" t="s">
        <x:v>1</x:v>
      </x:c>
      <x:c r="H36" s="7" t="str">
        <x:v>Day 02</x:v>
      </x:c>
      <x:c r="I36" s="55">
        <x:v>46197</x:v>
      </x:c>
      <x:c r="J36" s="7" t="s">
        <x:v>161</x:v>
      </x:c>
      <x:c r="K36" s="7">
        <x:v>4</x:v>
      </x:c>
      <x:c r="L36" s="7">
        <x:v>1</x:v>
      </x:c>
      <x:c r="M36" s="7">
        <x:v>2</x:v>
      </x:c>
      <x:c r="N36" s="7">
        <x:v>0</x:v>
      </x:c>
      <x:c r="O36" s="10">
        <x:v>0.25</x:v>
      </x:c>
      <x:c r="P36" s="11" t="e">
        <x:f>HYPERLINK("https://github.com/kapiltrip/hdlBits/blob/main/study/problems/Day%2002/024-module_fadd.md","Note")</x:f>
        <x:v>HYPERLINK is not implemented. linkLocation=https://github.com/kapiltrip/hdlBits/blob/main/study/problems/Day%2002/024-module_fadd.md, friendlyName=Note</x:v>
      </x:c>
      <x:c r="Q36" s="11" t="e">
        <x:f>HYPERLINK("https://github.com/kapiltrip/hdlBits/blob/main/study/images/Day%2002/024-module_fadd.png","Image")</x:f>
        <x:v>HYPERLINK is not implemented. linkLocation=https://github.com/kapiltrip/hdlBits/blob/main/study/images/Day%2002/024-module_fadd.png, friendlyName=Image</x:v>
      </x:c>
      <x:c r="R36" s="11" t="e">
        <x:f>HYPERLINK("https://github.com/kapiltrip/hdlBits/blob/main/study/solutions/Day%2002/024-module_fadd.sv","Code")</x:f>
        <x:v>HYPERLINK is not implemented. linkLocation=https://github.com/kapiltrip/hdlBits/blob/main/study/solutions/Day%2002/024-module_fadd.sv, friendlyName=Code</x:v>
      </x:c>
      <x:c r="S36" s="11" t="e">
        <x:f>HYPERLINK("https://hdlbits.01xz.net/wiki/module_fadd","HDLBits")</x:f>
        <x:v>HYPERLINK is not implemented. linkLocation=https://hdlbits.01xz.net/wiki/module_fadd, friendlyName=HDLBits</x:v>
      </x:c>
      <x:c r="T36" s="8" t="s">
        <x:v>162</x:v>
      </x:c>
      <x:c r="U36" s="8"/>
    </x:row>
    <x:row r="37" ht="34.04999923706055" customHeight="1">
      <x:c r="A37" s="3">
        <x:v>27</x:v>
      </x:c>
      <x:c r="B37" s="3" t="n">
        <x:v>25</x:v>
      </x:c>
      <x:c r="C37" s="2" t="s">
        <x:v>16</x:v>
      </x:c>
      <x:c r="D37" s="2" t="s">
        <x:v>21</x:v>
      </x:c>
      <x:c r="E37" s="2" t="s">
        <x:v>163</x:v>
      </x:c>
      <x:c r="F37" s="2" t="s">
        <x:v>164</x:v>
      </x:c>
      <x:c r="G37" s="3" t="s">
        <x:v>1</x:v>
      </x:c>
      <x:c r="H37" s="3" t="str">
        <x:v>Day 02</x:v>
      </x:c>
      <x:c r="I37" s="56">
        <x:v>46197</x:v>
      </x:c>
      <x:c r="J37" s="3" t="s">
        <x:v>165</x:v>
      </x:c>
      <x:c r="K37" s="3">
        <x:v>2</x:v>
      </x:c>
      <x:c r="L37" s="3">
        <x:v>0</x:v>
      </x:c>
      <x:c r="M37" s="3">
        <x:v>1</x:v>
      </x:c>
      <x:c r="N37" s="3">
        <x:v>0</x:v>
      </x:c>
      <x:c r="O37" s="6">
        <x:v>0.5</x:v>
      </x:c>
      <x:c r="P37" s="4" t="e">
        <x:f>HYPERLINK("https://github.com/kapiltrip/hdlBits/blob/main/study/problems/Day%2002/025-module_cseladd.md","Note")</x:f>
        <x:v>HYPERLINK is not implemented. linkLocation=https://github.com/kapiltrip/hdlBits/blob/main/study/problems/Day%2002/025-module_cseladd.md, friendlyName=Note</x:v>
      </x:c>
      <x:c r="Q37" s="4" t="e">
        <x:f>HYPERLINK("https://github.com/kapiltrip/hdlBits/blob/main/study/images/Day%2002/025-module_cseladd.png","Image")</x:f>
        <x:v>HYPERLINK is not implemented. linkLocation=https://github.com/kapiltrip/hdlBits/blob/main/study/images/Day%2002/025-module_cseladd.png, friendlyName=Image</x:v>
      </x:c>
      <x:c r="R37" s="4" t="e">
        <x:f>HYPERLINK("https://github.com/kapiltrip/hdlBits/blob/main/study/solutions/Day%2002/025-module_cseladd.sv","Code")</x:f>
        <x:v>HYPERLINK is not implemented. linkLocation=https://github.com/kapiltrip/hdlBits/blob/main/study/solutions/Day%2002/025-module_cseladd.sv, friendlyName=Code</x:v>
      </x:c>
      <x:c r="S37" s="4" t="e">
        <x:f>HYPERLINK("https://hdlbits.01xz.net/wiki/module_cseladd","HDLBits")</x:f>
        <x:v>HYPERLINK is not implemented. linkLocation=https://hdlbits.01xz.net/wiki/module_cseladd, friendlyName=HDLBits</x:v>
      </x:c>
      <x:c r="T37" s="2" t="s">
        <x:v>166</x:v>
      </x:c>
      <x:c r="U37" s="2"/>
    </x:row>
    <x:row r="38" ht="34.04999923706055" customHeight="1">
      <x:c r="A38" s="7">
        <x:v>28</x:v>
      </x:c>
      <x:c r="B38" s="7" t="n">
        <x:v>26</x:v>
      </x:c>
      <x:c r="C38" s="8" t="s">
        <x:v>16</x:v>
      </x:c>
      <x:c r="D38" s="8" t="s">
        <x:v>21</x:v>
      </x:c>
      <x:c r="E38" s="8" t="s">
        <x:v>167</x:v>
      </x:c>
      <x:c r="F38" s="8" t="s">
        <x:v>168</x:v>
      </x:c>
      <x:c r="G38" s="7" t="s">
        <x:v>1</x:v>
      </x:c>
      <x:c r="H38" s="7" t="str">
        <x:v>Day 02</x:v>
      </x:c>
      <x:c r="I38" s="55">
        <x:v>46197</x:v>
      </x:c>
      <x:c r="J38" s="7" t="s">
        <x:v>169</x:v>
      </x:c>
      <x:c r="K38" s="7">
        <x:v>1</x:v>
      </x:c>
      <x:c r="L38" s="7">
        <x:v>0</x:v>
      </x:c>
      <x:c r="M38" s="7">
        <x:v>0</x:v>
      </x:c>
      <x:c r="N38" s="7">
        <x:v>0</x:v>
      </x:c>
      <x:c r="O38" s="10">
        <x:v>1</x:v>
      </x:c>
      <x:c r="P38" s="11" t="e">
        <x:f>HYPERLINK("https://github.com/kapiltrip/hdlBits/blob/main/study/problems/Day%2002/026-module_addsub.md","Note")</x:f>
        <x:v>HYPERLINK is not implemented. linkLocation=https://github.com/kapiltrip/hdlBits/blob/main/study/problems/Day%2002/026-module_addsub.md, friendlyName=Note</x:v>
      </x:c>
      <x:c r="Q38" s="11" t="e">
        <x:f>HYPERLINK("https://github.com/kapiltrip/hdlBits/blob/main/study/images/Day%2002/026-module_addsub.png","Image")</x:f>
        <x:v>HYPERLINK is not implemented. linkLocation=https://github.com/kapiltrip/hdlBits/blob/main/study/images/Day%2002/026-module_addsub.png, friendlyName=Image</x:v>
      </x:c>
      <x:c r="R38" s="11" t="e">
        <x:f>HYPERLINK("https://github.com/kapiltrip/hdlBits/blob/main/study/solutions/Day%2002/026-module_addsub.sv","Code")</x:f>
        <x:v>HYPERLINK is not implemented. linkLocation=https://github.com/kapiltrip/hdlBits/blob/main/study/solutions/Day%2002/026-module_addsub.sv, friendlyName=Code</x:v>
      </x:c>
      <x:c r="S38" s="11" t="e">
        <x:f>HYPERLINK("https://hdlbits.01xz.net/wiki/module_addsub","HDLBits")</x:f>
        <x:v>HYPERLINK is not implemented. linkLocation=https://hdlbits.01xz.net/wiki/module_addsub, friendlyName=HDLBits</x:v>
      </x:c>
      <x:c r="T38" s="8" t="s">
        <x:v>170</x:v>
      </x:c>
      <x:c r="U38" s="8"/>
    </x:row>
    <x:row r="39" ht="22.049999237060547" customHeight="1">
      <x:c r="A39" s="44" t="s">
        <x:v>171</x:v>
      </x:c>
      <x:c r="B39" s="44"/>
      <x:c r="C39" s="44"/>
      <x:c r="D39" s="44"/>
      <x:c r="E39" s="44"/>
      <x:c r="F39" s="44"/>
      <x:c r="G39" s="44"/>
      <x:c r="H39" s="44"/>
      <x:c r="I39" s="60"/>
      <x:c r="J39" s="44"/>
      <x:c r="K39" s="44"/>
      <x:c r="L39" s="44"/>
      <x:c r="M39" s="44"/>
      <x:c r="N39" s="44"/>
      <x:c r="O39" s="46"/>
      <x:c r="P39" s="44"/>
      <x:c r="Q39" s="44"/>
      <x:c r="R39" s="44"/>
      <x:c r="S39" s="44"/>
      <x:c r="T39" s="44"/>
      <x:c r="U39" s="44"/>
    </x:row>
    <x:row r="40" ht="34.04999923706055" customHeight="1">
      <x:c r="A40" s="3">
        <x:v>29</x:v>
      </x:c>
      <x:c r="B40" s="3" t="n">
        <x:v>27</x:v>
      </x:c>
      <x:c r="C40" s="2" t="s">
        <x:v>16</x:v>
      </x:c>
      <x:c r="D40" s="2" t="s">
        <x:v>23</x:v>
      </x:c>
      <x:c r="E40" s="2" t="s">
        <x:v>172</x:v>
      </x:c>
      <x:c r="F40" s="2" t="s">
        <x:v>173</x:v>
      </x:c>
      <x:c r="G40" s="3" t="s">
        <x:v>1</x:v>
      </x:c>
      <x:c r="H40" s="3" t="str">
        <x:v>Day 02</x:v>
      </x:c>
      <x:c r="I40" s="56">
        <x:v>46197</x:v>
      </x:c>
      <x:c r="J40" s="3" t="s">
        <x:v>174</x:v>
      </x:c>
      <x:c r="K40" s="3">
        <x:v>1</x:v>
      </x:c>
      <x:c r="L40" s="3">
        <x:v>0</x:v>
      </x:c>
      <x:c r="M40" s="3">
        <x:v>0</x:v>
      </x:c>
      <x:c r="N40" s="3">
        <x:v>0</x:v>
      </x:c>
      <x:c r="O40" s="6">
        <x:v>1</x:v>
      </x:c>
      <x:c r="P40" s="4" t="e">
        <x:f>HYPERLINK("https://github.com/kapiltrip/hdlBits/blob/main/study/problems/Day%2002/027-alwaysblock1.md","Note")</x:f>
        <x:v>HYPERLINK is not implemented. linkLocation=https://github.com/kapiltrip/hdlBits/blob/main/study/problems/Day%2002/027-alwaysblock1.md, friendlyName=Note</x:v>
      </x:c>
      <x:c r="Q40" s="4" t="e">
        <x:f>HYPERLINK("https://github.com/kapiltrip/hdlBits/blob/main/study/images/Day%2002/027-alwaysblock1.png","Image")</x:f>
        <x:v>HYPERLINK is not implemented. linkLocation=https://github.com/kapiltrip/hdlBits/blob/main/study/images/Day%2002/027-alwaysblock1.png, friendlyName=Image</x:v>
      </x:c>
      <x:c r="R40" s="4" t="e">
        <x:f>HYPERLINK("https://github.com/kapiltrip/hdlBits/blob/main/study/solutions/Day%2002/027-alwaysblock1.sv","Code")</x:f>
        <x:v>HYPERLINK is not implemented. linkLocation=https://github.com/kapiltrip/hdlBits/blob/main/study/solutions/Day%2002/027-alwaysblock1.sv, friendlyName=Code</x:v>
      </x:c>
      <x:c r="S40" s="4" t="e">
        <x:f>HYPERLINK("https://hdlbits.01xz.net/wiki/alwaysblock1","HDLBits")</x:f>
        <x:v>HYPERLINK is not implemented. linkLocation=https://hdlbits.01xz.net/wiki/alwaysblock1, friendlyName=HDLBits</x:v>
      </x:c>
      <x:c r="T40" s="2" t="s">
        <x:v>175</x:v>
      </x:c>
      <x:c r="U40" s="2"/>
    </x:row>
    <x:row r="41" ht="34.04999923706055" customHeight="1">
      <x:c r="A41" s="7">
        <x:v>30</x:v>
      </x:c>
      <x:c r="B41" s="7" t="n">
        <x:v>28</x:v>
      </x:c>
      <x:c r="C41" s="8" t="s">
        <x:v>16</x:v>
      </x:c>
      <x:c r="D41" s="8" t="s">
        <x:v>23</x:v>
      </x:c>
      <x:c r="E41" s="8" t="s">
        <x:v>176</x:v>
      </x:c>
      <x:c r="F41" s="8" t="s">
        <x:v>177</x:v>
      </x:c>
      <x:c r="G41" s="7" t="s">
        <x:v>1</x:v>
      </x:c>
      <x:c r="H41" s="7" t="str">
        <x:v>Day 02</x:v>
      </x:c>
      <x:c r="I41" s="55">
        <x:v>46197</x:v>
      </x:c>
      <x:c r="J41" s="7" t="s">
        <x:v>178</x:v>
      </x:c>
      <x:c r="K41" s="7">
        <x:v>1</x:v>
      </x:c>
      <x:c r="L41" s="7">
        <x:v>0</x:v>
      </x:c>
      <x:c r="M41" s="7">
        <x:v>0</x:v>
      </x:c>
      <x:c r="N41" s="7">
        <x:v>0</x:v>
      </x:c>
      <x:c r="O41" s="10">
        <x:v>1</x:v>
      </x:c>
      <x:c r="P41" s="11" t="e">
        <x:f>HYPERLINK("https://github.com/kapiltrip/hdlBits/blob/main/study/problems/Day%2002/028-alwaysblock2.md","Note")</x:f>
        <x:v>HYPERLINK is not implemented. linkLocation=https://github.com/kapiltrip/hdlBits/blob/main/study/problems/Day%2002/028-alwaysblock2.md, friendlyName=Note</x:v>
      </x:c>
      <x:c r="Q41" s="11" t="e">
        <x:f>HYPERLINK("https://github.com/kapiltrip/hdlBits/blob/main/study/images/Day%2002/028-alwaysblock2.png","Image")</x:f>
        <x:v>HYPERLINK is not implemented. linkLocation=https://github.com/kapiltrip/hdlBits/blob/main/study/images/Day%2002/028-alwaysblock2.png, friendlyName=Image</x:v>
      </x:c>
      <x:c r="R41" s="11" t="e">
        <x:f>HYPERLINK("https://github.com/kapiltrip/hdlBits/blob/main/study/solutions/Day%2002/028-alwaysblock2.sv","Code")</x:f>
        <x:v>HYPERLINK is not implemented. linkLocation=https://github.com/kapiltrip/hdlBits/blob/main/study/solutions/Day%2002/028-alwaysblock2.sv, friendlyName=Code</x:v>
      </x:c>
      <x:c r="S41" s="11" t="e">
        <x:f>HYPERLINK("https://hdlbits.01xz.net/wiki/alwaysblock2","HDLBits")</x:f>
        <x:v>HYPERLINK is not implemented. linkLocation=https://hdlbits.01xz.net/wiki/alwaysblock2, friendlyName=HDLBits</x:v>
      </x:c>
      <x:c r="T41" s="8" t="s">
        <x:v>179</x:v>
      </x:c>
      <x:c r="U41" s="8"/>
    </x:row>
    <x:row r="42" ht="34.04999923706055" customHeight="1">
      <x:c r="A42" s="3">
        <x:v>31</x:v>
      </x:c>
      <x:c r="B42" s="3" t="n">
        <x:v>29</x:v>
      </x:c>
      <x:c r="C42" s="2" t="s">
        <x:v>16</x:v>
      </x:c>
      <x:c r="D42" s="2" t="s">
        <x:v>23</x:v>
      </x:c>
      <x:c r="E42" s="2" t="s">
        <x:v>180</x:v>
      </x:c>
      <x:c r="F42" s="2" t="s">
        <x:v>181</x:v>
      </x:c>
      <x:c r="G42" s="3" t="s">
        <x:v>1</x:v>
      </x:c>
      <x:c r="H42" s="3" t="str">
        <x:v>Day 02</x:v>
      </x:c>
      <x:c r="I42" s="56">
        <x:v>46197</x:v>
      </x:c>
      <x:c r="J42" s="3" t="s">
        <x:v>182</x:v>
      </x:c>
      <x:c r="K42" s="3">
        <x:v>1</x:v>
      </x:c>
      <x:c r="L42" s="3">
        <x:v>0</x:v>
      </x:c>
      <x:c r="M42" s="3">
        <x:v>0</x:v>
      </x:c>
      <x:c r="N42" s="3">
        <x:v>0</x:v>
      </x:c>
      <x:c r="O42" s="6">
        <x:v>1</x:v>
      </x:c>
      <x:c r="P42" s="4" t="e">
        <x:f>HYPERLINK("https://github.com/kapiltrip/hdlBits/blob/main/study/problems/Day%2002/029-always_if.md","Note")</x:f>
        <x:v>HYPERLINK is not implemented. linkLocation=https://github.com/kapiltrip/hdlBits/blob/main/study/problems/Day%2002/029-always_if.md, friendlyName=Note</x:v>
      </x:c>
      <x:c r="Q42" s="4" t="e">
        <x:f>HYPERLINK("https://github.com/kapiltrip/hdlBits/blob/main/study/images/Day%2002/029-always_if.png","Image")</x:f>
        <x:v>HYPERLINK is not implemented. linkLocation=https://github.com/kapiltrip/hdlBits/blob/main/study/images/Day%2002/029-always_if.png, friendlyName=Image</x:v>
      </x:c>
      <x:c r="R42" s="4" t="e">
        <x:f>HYPERLINK("https://github.com/kapiltrip/hdlBits/blob/main/study/solutions/Day%2002/029-always_if.sv","Code")</x:f>
        <x:v>HYPERLINK is not implemented. linkLocation=https://github.com/kapiltrip/hdlBits/blob/main/study/solutions/Day%2002/029-always_if.sv, friendlyName=Code</x:v>
      </x:c>
      <x:c r="S42" s="4" t="e">
        <x:f>HYPERLINK("https://hdlbits.01xz.net/wiki/always_if","HDLBits")</x:f>
        <x:v>HYPERLINK is not implemented. linkLocation=https://hdlbits.01xz.net/wiki/always_if, friendlyName=HDLBits</x:v>
      </x:c>
      <x:c r="T42" s="2" t="s">
        <x:v>183</x:v>
      </x:c>
      <x:c r="U42" s="2"/>
    </x:row>
    <x:row r="43" ht="34.04999923706055" customHeight="1">
      <x:c r="A43" s="7">
        <x:v>32</x:v>
      </x:c>
      <x:c r="B43" s="7" t="n">
        <x:v>30</x:v>
      </x:c>
      <x:c r="C43" s="8" t="s">
        <x:v>16</x:v>
      </x:c>
      <x:c r="D43" s="8" t="s">
        <x:v>23</x:v>
      </x:c>
      <x:c r="E43" s="8" t="s">
        <x:v>184</x:v>
      </x:c>
      <x:c r="F43" s="8" t="s">
        <x:v>185</x:v>
      </x:c>
      <x:c r="G43" s="7" t="s">
        <x:v>1</x:v>
      </x:c>
      <x:c r="H43" s="7" t="str">
        <x:v>Day 02</x:v>
      </x:c>
      <x:c r="I43" s="55">
        <x:v>46197</x:v>
      </x:c>
      <x:c r="J43" s="7" t="s">
        <x:v>186</x:v>
      </x:c>
      <x:c r="K43" s="7">
        <x:v>5</x:v>
      </x:c>
      <x:c r="L43" s="7">
        <x:v>3</x:v>
      </x:c>
      <x:c r="M43" s="7">
        <x:v>0</x:v>
      </x:c>
      <x:c r="N43" s="7">
        <x:v>0</x:v>
      </x:c>
      <x:c r="O43" s="10">
        <x:v>0.4</x:v>
      </x:c>
      <x:c r="P43" s="11" t="e">
        <x:f>HYPERLINK("https://github.com/kapiltrip/hdlBits/blob/main/study/problems/Day%2002/030-always_if2.md","Note")</x:f>
        <x:v>HYPERLINK is not implemented. linkLocation=https://github.com/kapiltrip/hdlBits/blob/main/study/problems/Day%2002/030-always_if2.md, friendlyName=Note</x:v>
      </x:c>
      <x:c r="Q43" s="11" t="e">
        <x:f>HYPERLINK("https://github.com/kapiltrip/hdlBits/blob/main/study/images/Day%2002/030-always_if2.png","Image")</x:f>
        <x:v>HYPERLINK is not implemented. linkLocation=https://github.com/kapiltrip/hdlBits/blob/main/study/images/Day%2002/030-always_if2.png, friendlyName=Image</x:v>
      </x:c>
      <x:c r="R43" s="11" t="e">
        <x:f>HYPERLINK("https://github.com/kapiltrip/hdlBits/blob/main/study/solutions/Day%2002/030-always_if2.sv","Code")</x:f>
        <x:v>HYPERLINK is not implemented. linkLocation=https://github.com/kapiltrip/hdlBits/blob/main/study/solutions/Day%2002/030-always_if2.sv, friendlyName=Code</x:v>
      </x:c>
      <x:c r="S43" s="11" t="e">
        <x:f>HYPERLINK("https://hdlbits.01xz.net/wiki/always_if2","HDLBits")</x:f>
        <x:v>HYPERLINK is not implemented. linkLocation=https://hdlbits.01xz.net/wiki/always_if2, friendlyName=HDLBits</x:v>
      </x:c>
      <x:c r="T43" s="8" t="s">
        <x:v>187</x:v>
      </x:c>
      <x:c r="U43" s="8"/>
    </x:row>
    <x:row r="44" ht="34.04999923706055" customHeight="1">
      <x:c r="A44" s="3">
        <x:v>33</x:v>
      </x:c>
      <x:c r="B44" s="3" t="n">
        <x:v>31</x:v>
      </x:c>
      <x:c r="C44" s="2" t="s">
        <x:v>16</x:v>
      </x:c>
      <x:c r="D44" s="2" t="s">
        <x:v>23</x:v>
      </x:c>
      <x:c r="E44" s="2" t="s">
        <x:v>188</x:v>
      </x:c>
      <x:c r="F44" s="2" t="s">
        <x:v>189</x:v>
      </x:c>
      <x:c r="G44" s="3" t="s">
        <x:v>1</x:v>
      </x:c>
      <x:c r="H44" s="3" t="str">
        <x:v>Day 02</x:v>
      </x:c>
      <x:c r="I44" s="56">
        <x:v>46197</x:v>
      </x:c>
      <x:c r="J44" s="3" t="s">
        <x:v>190</x:v>
      </x:c>
      <x:c r="K44" s="3">
        <x:v>2</x:v>
      </x:c>
      <x:c r="L44" s="3">
        <x:v>0</x:v>
      </x:c>
      <x:c r="M44" s="3">
        <x:v>1</x:v>
      </x:c>
      <x:c r="N44" s="3">
        <x:v>0</x:v>
      </x:c>
      <x:c r="O44" s="6">
        <x:v>0.5</x:v>
      </x:c>
      <x:c r="P44" s="4" t="e">
        <x:f>HYPERLINK("https://github.com/kapiltrip/hdlBits/blob/main/study/problems/Day%2002/031-always_case.md","Note")</x:f>
        <x:v>HYPERLINK is not implemented. linkLocation=https://github.com/kapiltrip/hdlBits/blob/main/study/problems/Day%2002/031-always_case.md, friendlyName=Note</x:v>
      </x:c>
      <x:c r="Q44" s="4" t="e">
        <x:f>HYPERLINK("https://github.com/kapiltrip/hdlBits/blob/main/study/images/Day%2002/031-always_case.png","Image")</x:f>
        <x:v>HYPERLINK is not implemented. linkLocation=https://github.com/kapiltrip/hdlBits/blob/main/study/images/Day%2002/031-always_case.png, friendlyName=Image</x:v>
      </x:c>
      <x:c r="R44" s="4" t="e">
        <x:f>HYPERLINK("https://github.com/kapiltrip/hdlBits/blob/main/study/solutions/Day%2002/031-always_case.sv","Code")</x:f>
        <x:v>HYPERLINK is not implemented. linkLocation=https://github.com/kapiltrip/hdlBits/blob/main/study/solutions/Day%2002/031-always_case.sv, friendlyName=Code</x:v>
      </x:c>
      <x:c r="S44" s="4" t="e">
        <x:f>HYPERLINK("https://hdlbits.01xz.net/wiki/always_case","HDLBits")</x:f>
        <x:v>HYPERLINK is not implemented. linkLocation=https://hdlbits.01xz.net/wiki/always_case, friendlyName=HDLBits</x:v>
      </x:c>
      <x:c r="T44" s="2" t="s">
        <x:v>191</x:v>
      </x:c>
      <x:c r="U44" s="2"/>
    </x:row>
    <x:row r="45" ht="34.04999923706055" customHeight="1">
      <x:c r="A45" s="7">
        <x:v>34</x:v>
      </x:c>
      <x:c r="B45" s="7" t="n">
        <x:v>32</x:v>
      </x:c>
      <x:c r="C45" s="8" t="s">
        <x:v>16</x:v>
      </x:c>
      <x:c r="D45" s="8" t="s">
        <x:v>23</x:v>
      </x:c>
      <x:c r="E45" s="8" t="s">
        <x:v>192</x:v>
      </x:c>
      <x:c r="F45" s="8" t="s">
        <x:v>193</x:v>
      </x:c>
      <x:c r="G45" s="7" t="s">
        <x:v>1</x:v>
      </x:c>
      <x:c r="H45" s="7" t="str">
        <x:v>Day 02</x:v>
      </x:c>
      <x:c r="I45" s="55">
        <x:v>46197</x:v>
      </x:c>
      <x:c r="J45" s="7" t="s">
        <x:v>194</x:v>
      </x:c>
      <x:c r="K45" s="7">
        <x:v>15</x:v>
      </x:c>
      <x:c r="L45" s="7">
        <x:v>11</x:v>
      </x:c>
      <x:c r="M45" s="7">
        <x:v>3</x:v>
      </x:c>
      <x:c r="N45" s="7">
        <x:v>0</x:v>
      </x:c>
      <x:c r="O45" s="10">
        <x:v>7.0000000000000007E-2</x:v>
      </x:c>
      <x:c r="P45" s="11" t="e">
        <x:f>HYPERLINK("https://github.com/kapiltrip/hdlBits/blob/main/study/problems/Day%2002/032-always_case2.md","Note")</x:f>
        <x:v>HYPERLINK is not implemented. linkLocation=https://github.com/kapiltrip/hdlBits/blob/main/study/problems/Day%2002/032-always_case2.md, friendlyName=Note</x:v>
      </x:c>
      <x:c r="Q45" s="11" t="e">
        <x:f>HYPERLINK("https://github.com/kapiltrip/hdlBits/blob/main/study/images/Day%2002/032-always_case2.png","Image")</x:f>
        <x:v>HYPERLINK is not implemented. linkLocation=https://github.com/kapiltrip/hdlBits/blob/main/study/images/Day%2002/032-always_case2.png, friendlyName=Image</x:v>
      </x:c>
      <x:c r="R45" s="11" t="e">
        <x:f>HYPERLINK("https://github.com/kapiltrip/hdlBits/blob/main/study/solutions/Day%2002/032-always_case2.sv","Code")</x:f>
        <x:v>HYPERLINK is not implemented. linkLocation=https://github.com/kapiltrip/hdlBits/blob/main/study/solutions/Day%2002/032-always_case2.sv, friendlyName=Code</x:v>
      </x:c>
      <x:c r="S45" s="11" t="e">
        <x:f>HYPERLINK("https://hdlbits.01xz.net/wiki/always_case2","HDLBits")</x:f>
        <x:v>HYPERLINK is not implemented. linkLocation=https://hdlbits.01xz.net/wiki/always_case2, friendlyName=HDLBits</x:v>
      </x:c>
      <x:c r="T45" s="8" t="s">
        <x:v>195</x:v>
      </x:c>
      <x:c r="U45" s="8"/>
    </x:row>
    <x:row r="46" ht="34.04999923706055" customHeight="1">
      <x:c r="A46" s="3">
        <x:v>35</x:v>
      </x:c>
      <x:c r="B46" s="3" t="n">
        <x:v>33</x:v>
      </x:c>
      <x:c r="C46" s="2" t="s">
        <x:v>16</x:v>
      </x:c>
      <x:c r="D46" s="2" t="s">
        <x:v>23</x:v>
      </x:c>
      <x:c r="E46" s="2" t="s">
        <x:v>196</x:v>
      </x:c>
      <x:c r="F46" s="2" t="s">
        <x:v>197</x:v>
      </x:c>
      <x:c r="G46" s="3" t="s">
        <x:v>1</x:v>
      </x:c>
      <x:c r="H46" s="3" t="str">
        <x:v>Day 02</x:v>
      </x:c>
      <x:c r="I46" s="56">
        <x:v>46197</x:v>
      </x:c>
      <x:c r="J46" s="3" t="s">
        <x:v>198</x:v>
      </x:c>
      <x:c r="K46" s="3">
        <x:v>2</x:v>
      </x:c>
      <x:c r="L46" s="3">
        <x:v>1</x:v>
      </x:c>
      <x:c r="M46" s="3">
        <x:v>0</x:v>
      </x:c>
      <x:c r="N46" s="3">
        <x:v>0</x:v>
      </x:c>
      <x:c r="O46" s="6">
        <x:v>0.5</x:v>
      </x:c>
      <x:c r="P46" s="4" t="e">
        <x:f>HYPERLINK("https://github.com/kapiltrip/hdlBits/blob/main/study/problems/Day%2002/033-always_casez.md","Note")</x:f>
        <x:v>HYPERLINK is not implemented. linkLocation=https://github.com/kapiltrip/hdlBits/blob/main/study/problems/Day%2002/033-always_casez.md, friendlyName=Note</x:v>
      </x:c>
      <x:c r="Q46" s="4" t="e">
        <x:f>HYPERLINK("https://github.com/kapiltrip/hdlBits/blob/main/study/images/Day%2002/033-always_casez.png","Image")</x:f>
        <x:v>HYPERLINK is not implemented. linkLocation=https://github.com/kapiltrip/hdlBits/blob/main/study/images/Day%2002/033-always_casez.png, friendlyName=Image</x:v>
      </x:c>
      <x:c r="R46" s="4" t="e">
        <x:f>HYPERLINK("https://github.com/kapiltrip/hdlBits/blob/main/study/solutions/Day%2002/033-always_casez.sv","Code")</x:f>
        <x:v>HYPERLINK is not implemented. linkLocation=https://github.com/kapiltrip/hdlBits/blob/main/study/solutions/Day%2002/033-always_casez.sv, friendlyName=Code</x:v>
      </x:c>
      <x:c r="S46" s="4" t="e">
        <x:f>HYPERLINK("https://hdlbits.01xz.net/wiki/always_casez","HDLBits")</x:f>
        <x:v>HYPERLINK is not implemented. linkLocation=https://hdlbits.01xz.net/wiki/always_casez, friendlyName=HDLBits</x:v>
      </x:c>
      <x:c r="T46" s="2" t="s">
        <x:v>199</x:v>
      </x:c>
      <x:c r="U46" s="2"/>
    </x:row>
    <x:row r="47" ht="34.04999923706055" customHeight="1">
      <x:c r="A47" s="7">
        <x:v>36</x:v>
      </x:c>
      <x:c r="B47" s="7" t="n">
        <x:v>34</x:v>
      </x:c>
      <x:c r="C47" s="8" t="s">
        <x:v>16</x:v>
      </x:c>
      <x:c r="D47" s="8" t="s">
        <x:v>23</x:v>
      </x:c>
      <x:c r="E47" s="8" t="s">
        <x:v>200</x:v>
      </x:c>
      <x:c r="F47" s="8" t="s">
        <x:v>201</x:v>
      </x:c>
      <x:c r="G47" s="7" t="s">
        <x:v>1</x:v>
      </x:c>
      <x:c r="H47" s="7" t="str">
        <x:v>Day 02</x:v>
      </x:c>
      <x:c r="I47" s="55">
        <x:v>46197</x:v>
      </x:c>
      <x:c r="J47" s="7" t="s">
        <x:v>202</x:v>
      </x:c>
      <x:c r="K47" s="7">
        <x:v>3</x:v>
      </x:c>
      <x:c r="L47" s="7">
        <x:v>0</x:v>
      </x:c>
      <x:c r="M47" s="7">
        <x:v>2</x:v>
      </x:c>
      <x:c r="N47" s="7">
        <x:v>0</x:v>
      </x:c>
      <x:c r="O47" s="10">
        <x:v>0.33</x:v>
      </x:c>
      <x:c r="P47" s="11" t="e">
        <x:f>HYPERLINK("https://github.com/kapiltrip/hdlBits/blob/main/study/problems/Day%2002/034-always_nolatches.md","Note")</x:f>
        <x:v>HYPERLINK is not implemented. linkLocation=https://github.com/kapiltrip/hdlBits/blob/main/study/problems/Day%2002/034-always_nolatches.md, friendlyName=Note</x:v>
      </x:c>
      <x:c r="Q47" s="11" t="e">
        <x:f>HYPERLINK("https://github.com/kapiltrip/hdlBits/blob/main/study/images/Day%2002/034-always_nolatches.png","Image")</x:f>
        <x:v>HYPERLINK is not implemented. linkLocation=https://github.com/kapiltrip/hdlBits/blob/main/study/images/Day%2002/034-always_nolatches.png, friendlyName=Image</x:v>
      </x:c>
      <x:c r="R47" s="11" t="e">
        <x:f>HYPERLINK("https://github.com/kapiltrip/hdlBits/blob/main/study/solutions/Day%2002/034-always_nolatches.sv","Code")</x:f>
        <x:v>HYPERLINK is not implemented. linkLocation=https://github.com/kapiltrip/hdlBits/blob/main/study/solutions/Day%2002/034-always_nolatches.sv, friendlyName=Code</x:v>
      </x:c>
      <x:c r="S47" s="11" t="e">
        <x:f>HYPERLINK("https://hdlbits.01xz.net/wiki/always_nolatches","HDLBits")</x:f>
        <x:v>HYPERLINK is not implemented. linkLocation=https://hdlbits.01xz.net/wiki/always_nolatches, friendlyName=HDLBits</x:v>
      </x:c>
      <x:c r="T47" s="8" t="s">
        <x:v>203</x:v>
      </x:c>
      <x:c r="U47" s="8"/>
    </x:row>
    <x:row r="48" ht="22.049999237060547" customHeight="1">
      <x:c r="A48" s="44" t="s">
        <x:v>204</x:v>
      </x:c>
      <x:c r="B48" s="44"/>
      <x:c r="C48" s="44"/>
      <x:c r="D48" s="44"/>
      <x:c r="E48" s="44"/>
      <x:c r="F48" s="44"/>
      <x:c r="G48" s="44"/>
      <x:c r="H48" s="44"/>
      <x:c r="I48" s="60"/>
      <x:c r="J48" s="44"/>
      <x:c r="K48" s="44"/>
      <x:c r="L48" s="44"/>
      <x:c r="M48" s="44"/>
      <x:c r="N48" s="44"/>
      <x:c r="O48" s="46"/>
      <x:c r="P48" s="44"/>
      <x:c r="Q48" s="44"/>
      <x:c r="R48" s="44"/>
      <x:c r="S48" s="44"/>
      <x:c r="T48" s="44"/>
      <x:c r="U48" s="44"/>
    </x:row>
    <x:row r="49" ht="34.04999923706055" customHeight="1">
      <x:c r="A49" s="3">
        <x:v>37</x:v>
      </x:c>
      <x:c r="B49" s="3" t="n">
        <x:v>35</x:v>
      </x:c>
      <x:c r="C49" s="2" t="s">
        <x:v>16</x:v>
      </x:c>
      <x:c r="D49" s="2" t="s">
        <x:v>25</x:v>
      </x:c>
      <x:c r="E49" s="2" t="s">
        <x:v>205</x:v>
      </x:c>
      <x:c r="F49" s="2" t="s">
        <x:v>206</x:v>
      </x:c>
      <x:c r="G49" s="3" t="s">
        <x:v>1</x:v>
      </x:c>
      <x:c r="H49" s="3" t="str">
        <x:v>Day 02</x:v>
      </x:c>
      <x:c r="I49" s="56">
        <x:v>46197</x:v>
      </x:c>
      <x:c r="J49" s="3" t="s">
        <x:v>207</x:v>
      </x:c>
      <x:c r="K49" s="3">
        <x:v>1</x:v>
      </x:c>
      <x:c r="L49" s="3">
        <x:v>0</x:v>
      </x:c>
      <x:c r="M49" s="3">
        <x:v>0</x:v>
      </x:c>
      <x:c r="N49" s="3">
        <x:v>0</x:v>
      </x:c>
      <x:c r="O49" s="6">
        <x:v>1</x:v>
      </x:c>
      <x:c r="P49" s="4" t="e">
        <x:f>HYPERLINK("https://github.com/kapiltrip/hdlBits/blob/main/study/problems/Day%2002/035-conditional.md","Note")</x:f>
        <x:v>HYPERLINK is not implemented. linkLocation=https://github.com/kapiltrip/hdlBits/blob/main/study/problems/Day%2002/035-conditional.md, friendlyName=Note</x:v>
      </x:c>
      <x:c r="Q49" s="4" t="e">
        <x:f>HYPERLINK("https://github.com/kapiltrip/hdlBits/blob/main/study/images/Day%2002/035-conditional.png","Image")</x:f>
        <x:v>HYPERLINK is not implemented. linkLocation=https://github.com/kapiltrip/hdlBits/blob/main/study/images/Day%2002/035-conditional.png, friendlyName=Image</x:v>
      </x:c>
      <x:c r="R49" s="4" t="e">
        <x:f>HYPERLINK("https://github.com/kapiltrip/hdlBits/blob/main/study/solutions/Day%2002/035-conditional.sv","Code")</x:f>
        <x:v>HYPERLINK is not implemented. linkLocation=https://github.com/kapiltrip/hdlBits/blob/main/study/solutions/Day%2002/035-conditional.sv, friendlyName=Code</x:v>
      </x:c>
      <x:c r="S49" s="4" t="e">
        <x:f>HYPERLINK("https://hdlbits.01xz.net/wiki/conditional","HDLBits")</x:f>
        <x:v>HYPERLINK is not implemented. linkLocation=https://hdlbits.01xz.net/wiki/conditional, friendlyName=HDLBits</x:v>
      </x:c>
      <x:c r="T49" s="2" t="s">
        <x:v>208</x:v>
      </x:c>
      <x:c r="U49" s="2"/>
    </x:row>
    <x:row r="50" ht="34.04999923706055" customHeight="1">
      <x:c r="A50" s="7">
        <x:v>38</x:v>
      </x:c>
      <x:c r="B50" s="7" t="n">
        <x:v>36</x:v>
      </x:c>
      <x:c r="C50" s="8" t="s">
        <x:v>16</x:v>
      </x:c>
      <x:c r="D50" s="8" t="s">
        <x:v>25</x:v>
      </x:c>
      <x:c r="E50" s="8" t="s">
        <x:v>209</x:v>
      </x:c>
      <x:c r="F50" s="8" t="s">
        <x:v>210</x:v>
      </x:c>
      <x:c r="G50" s="7" t="s">
        <x:v>1</x:v>
      </x:c>
      <x:c r="H50" s="7" t="str">
        <x:v>Day 02</x:v>
      </x:c>
      <x:c r="I50" s="55">
        <x:v>46197</x:v>
      </x:c>
      <x:c r="J50" s="7" t="s">
        <x:v>211</x:v>
      </x:c>
      <x:c r="K50" s="7">
        <x:v>2</x:v>
      </x:c>
      <x:c r="L50" s="7">
        <x:v>1</x:v>
      </x:c>
      <x:c r="M50" s="7">
        <x:v>0</x:v>
      </x:c>
      <x:c r="N50" s="7">
        <x:v>0</x:v>
      </x:c>
      <x:c r="O50" s="10">
        <x:v>0.5</x:v>
      </x:c>
      <x:c r="P50" s="11" t="e">
        <x:f>HYPERLINK("https://github.com/kapiltrip/hdlBits/blob/main/study/problems/Day%2002/036-reduction.md","Note")</x:f>
        <x:v>HYPERLINK is not implemented. linkLocation=https://github.com/kapiltrip/hdlBits/blob/main/study/problems/Day%2002/036-reduction.md, friendlyName=Note</x:v>
      </x:c>
      <x:c r="Q50" s="11" t="e">
        <x:f>HYPERLINK("https://github.com/kapiltrip/hdlBits/blob/main/study/images/Day%2002/036-reduction.png","Image")</x:f>
        <x:v>HYPERLINK is not implemented. linkLocation=https://github.com/kapiltrip/hdlBits/blob/main/study/images/Day%2002/036-reduction.png, friendlyName=Image</x:v>
      </x:c>
      <x:c r="R50" s="11" t="e">
        <x:f>HYPERLINK("https://github.com/kapiltrip/hdlBits/blob/main/study/solutions/Day%2002/036-reduction.sv","Code")</x:f>
        <x:v>HYPERLINK is not implemented. linkLocation=https://github.com/kapiltrip/hdlBits/blob/main/study/solutions/Day%2002/036-reduction.sv, friendlyName=Code</x:v>
      </x:c>
      <x:c r="S50" s="11" t="e">
        <x:f>HYPERLINK("https://hdlbits.01xz.net/wiki/reduction","HDLBits")</x:f>
        <x:v>HYPERLINK is not implemented. linkLocation=https://hdlbits.01xz.net/wiki/reduction, friendlyName=HDLBits</x:v>
      </x:c>
      <x:c r="T50" s="8" t="s">
        <x:v>212</x:v>
      </x:c>
      <x:c r="U50" s="8"/>
    </x:row>
    <x:row r="51" ht="34.04999923706055" customHeight="1">
      <x:c r="A51" s="3">
        <x:v>39</x:v>
      </x:c>
      <x:c r="B51" s="3" t="n">
        <x:v>37</x:v>
      </x:c>
      <x:c r="C51" s="2" t="s">
        <x:v>16</x:v>
      </x:c>
      <x:c r="D51" s="2" t="s">
        <x:v>25</x:v>
      </x:c>
      <x:c r="E51" s="2" t="s">
        <x:v>213</x:v>
      </x:c>
      <x:c r="F51" s="2" t="s">
        <x:v>214</x:v>
      </x:c>
      <x:c r="G51" s="3" t="s">
        <x:v>1</x:v>
      </x:c>
      <x:c r="H51" s="3" t="str">
        <x:v>Day 02</x:v>
      </x:c>
      <x:c r="I51" s="56">
        <x:v>46197</x:v>
      </x:c>
      <x:c r="J51" s="3" t="s">
        <x:v>215</x:v>
      </x:c>
      <x:c r="K51" s="3">
        <x:v>1</x:v>
      </x:c>
      <x:c r="L51" s="3">
        <x:v>0</x:v>
      </x:c>
      <x:c r="M51" s="3">
        <x:v>0</x:v>
      </x:c>
      <x:c r="N51" s="3">
        <x:v>0</x:v>
      </x:c>
      <x:c r="O51" s="6">
        <x:v>1</x:v>
      </x:c>
      <x:c r="P51" s="4" t="e">
        <x:f>HYPERLINK("https://github.com/kapiltrip/hdlBits/blob/main/study/problems/Day%2002/037-gates100.md","Note")</x:f>
        <x:v>HYPERLINK is not implemented. linkLocation=https://github.com/kapiltrip/hdlBits/blob/main/study/problems/Day%2002/037-gates100.md, friendlyName=Note</x:v>
      </x:c>
      <x:c r="Q51" s="4" t="e">
        <x:f>HYPERLINK("https://github.com/kapiltrip/hdlBits/blob/main/study/images/Day%2002/037-gates100.png","Image")</x:f>
        <x:v>HYPERLINK is not implemented. linkLocation=https://github.com/kapiltrip/hdlBits/blob/main/study/images/Day%2002/037-gates100.png, friendlyName=Image</x:v>
      </x:c>
      <x:c r="R51" s="4" t="e">
        <x:f>HYPERLINK("https://github.com/kapiltrip/hdlBits/blob/main/study/solutions/Day%2002/037-gates100.sv","Code")</x:f>
        <x:v>HYPERLINK is not implemented. linkLocation=https://github.com/kapiltrip/hdlBits/blob/main/study/solutions/Day%2002/037-gates100.sv, friendlyName=Code</x:v>
      </x:c>
      <x:c r="S51" s="4" t="e">
        <x:f>HYPERLINK("https://hdlbits.01xz.net/wiki/gates100","HDLBits")</x:f>
        <x:v>HYPERLINK is not implemented. linkLocation=https://hdlbits.01xz.net/wiki/gates100, friendlyName=HDLBits</x:v>
      </x:c>
      <x:c r="T51" s="2" t="s">
        <x:v>216</x:v>
      </x:c>
      <x:c r="U51" s="2"/>
    </x:row>
    <x:row r="52" ht="34.04999923706055" customHeight="1">
      <x:c r="A52" s="7">
        <x:v>40</x:v>
      </x:c>
      <x:c r="B52" s="7" t="n">
        <x:v>38</x:v>
      </x:c>
      <x:c r="C52" s="8" t="s">
        <x:v>16</x:v>
      </x:c>
      <x:c r="D52" s="8" t="s">
        <x:v>25</x:v>
      </x:c>
      <x:c r="E52" s="8" t="s">
        <x:v>217</x:v>
      </x:c>
      <x:c r="F52" s="8" t="s">
        <x:v>218</x:v>
      </x:c>
      <x:c r="G52" s="7" t="s">
        <x:v>1</x:v>
      </x:c>
      <x:c r="H52" s="7" t="str">
        <x:v>Day 02</x:v>
      </x:c>
      <x:c r="I52" s="55">
        <x:v>46197</x:v>
      </x:c>
      <x:c r="J52" s="7" t="s">
        <x:v>219</x:v>
      </x:c>
      <x:c r="K52" s="7">
        <x:v>8</x:v>
      </x:c>
      <x:c r="L52" s="7">
        <x:v>1</x:v>
      </x:c>
      <x:c r="M52" s="7">
        <x:v>4</x:v>
      </x:c>
      <x:c r="N52" s="7">
        <x:v>0</x:v>
      </x:c>
      <x:c r="O52" s="10">
        <x:v>0.38</x:v>
      </x:c>
      <x:c r="P52" s="11" t="e">
        <x:f>HYPERLINK("https://github.com/kapiltrip/hdlBits/blob/main/study/problems/Day%2002/038-vector100r.md","Note")</x:f>
        <x:v>HYPERLINK is not implemented. linkLocation=https://github.com/kapiltrip/hdlBits/blob/main/study/problems/Day%2002/038-vector100r.md, friendlyName=Note</x:v>
      </x:c>
      <x:c r="Q52" s="11" t="e">
        <x:f>HYPERLINK("https://github.com/kapiltrip/hdlBits/blob/main/study/images/Day%2002/038-vector100r.png","Image")</x:f>
        <x:v>HYPERLINK is not implemented. linkLocation=https://github.com/kapiltrip/hdlBits/blob/main/study/images/Day%2002/038-vector100r.png, friendlyName=Image</x:v>
      </x:c>
      <x:c r="R52" s="11" t="e">
        <x:f>HYPERLINK("https://github.com/kapiltrip/hdlBits/blob/main/study/solutions/Day%2002/038-vector100r.sv","Code")</x:f>
        <x:v>HYPERLINK is not implemented. linkLocation=https://github.com/kapiltrip/hdlBits/blob/main/study/solutions/Day%2002/038-vector100r.sv, friendlyName=Code</x:v>
      </x:c>
      <x:c r="S52" s="11" t="e">
        <x:f>HYPERLINK("https://hdlbits.01xz.net/wiki/vector100r","HDLBits")</x:f>
        <x:v>HYPERLINK is not implemented. linkLocation=https://hdlbits.01xz.net/wiki/vector100r, friendlyName=HDLBits</x:v>
      </x:c>
      <x:c r="T52" s="8" t="s">
        <x:v>220</x:v>
      </x:c>
      <x:c r="U52" s="8"/>
    </x:row>
    <x:row r="53" ht="34.04999923706055" customHeight="1">
      <x:c r="A53" s="3">
        <x:v>41</x:v>
      </x:c>
      <x:c r="B53" s="3" t="n">
        <x:v>39</x:v>
      </x:c>
      <x:c r="C53" s="2" t="s">
        <x:v>16</x:v>
      </x:c>
      <x:c r="D53" s="2" t="s">
        <x:v>25</x:v>
      </x:c>
      <x:c r="E53" s="2" t="s">
        <x:v>221</x:v>
      </x:c>
      <x:c r="F53" s="2" t="s">
        <x:v>222</x:v>
      </x:c>
      <x:c r="G53" s="3" t="s">
        <x:v>1</x:v>
      </x:c>
      <x:c r="H53" s="3" t="str">
        <x:v>Day 02</x:v>
      </x:c>
      <x:c r="I53" s="56">
        <x:v>46197</x:v>
      </x:c>
      <x:c r="J53" s="3" t="s">
        <x:v>223</x:v>
      </x:c>
      <x:c r="K53" s="3">
        <x:v>22</x:v>
      </x:c>
      <x:c r="L53" s="3">
        <x:v>5</x:v>
      </x:c>
      <x:c r="M53" s="3">
        <x:v>16</x:v>
      </x:c>
      <x:c r="N53" s="3">
        <x:v>0</x:v>
      </x:c>
      <x:c r="O53" s="6">
        <x:v>0.05</x:v>
      </x:c>
      <x:c r="P53" s="4" t="e">
        <x:f>HYPERLINK("https://github.com/kapiltrip/hdlBits/blob/main/study/problems/Day%2002/039-popcount255.md","Note")</x:f>
        <x:v>HYPERLINK is not implemented. linkLocation=https://github.com/kapiltrip/hdlBits/blob/main/study/problems/Day%2002/039-popcount255.md, friendlyName=Note</x:v>
      </x:c>
      <x:c r="Q53" s="4" t="e">
        <x:f>HYPERLINK("https://github.com/kapiltrip/hdlBits/blob/main/study/images/Day%2002/039-popcount255.png","Image")</x:f>
        <x:v>HYPERLINK is not implemented. linkLocation=https://github.com/kapiltrip/hdlBits/blob/main/study/images/Day%2002/039-popcount255.png, friendlyName=Image</x:v>
      </x:c>
      <x:c r="R53" s="4" t="e">
        <x:f>HYPERLINK("https://github.com/kapiltrip/hdlBits/blob/main/study/solutions/Day%2002/039-popcount255.sv","Code")</x:f>
        <x:v>HYPERLINK is not implemented. linkLocation=https://github.com/kapiltrip/hdlBits/blob/main/study/solutions/Day%2002/039-popcount255.sv, friendlyName=Code</x:v>
      </x:c>
      <x:c r="S53" s="4" t="e">
        <x:f>HYPERLINK("https://hdlbits.01xz.net/wiki/popcount255","HDLBits")</x:f>
        <x:v>HYPERLINK is not implemented. linkLocation=https://hdlbits.01xz.net/wiki/popcount255, friendlyName=HDLBits</x:v>
      </x:c>
      <x:c r="T53" s="2" t="s">
        <x:v>224</x:v>
      </x:c>
      <x:c r="U53" s="2"/>
    </x:row>
    <x:row r="54" ht="34.04999923706055" customHeight="1">
      <x:c r="A54" s="7">
        <x:v>42</x:v>
      </x:c>
      <x:c r="B54" s="7" t="n">
        <x:v>40</x:v>
      </x:c>
      <x:c r="C54" s="8" t="s">
        <x:v>16</x:v>
      </x:c>
      <x:c r="D54" s="8" t="s">
        <x:v>25</x:v>
      </x:c>
      <x:c r="E54" s="8" t="s">
        <x:v>225</x:v>
      </x:c>
      <x:c r="F54" s="8" t="s">
        <x:v>226</x:v>
      </x:c>
      <x:c r="G54" s="7" t="s">
        <x:v>1</x:v>
      </x:c>
      <x:c r="H54" s="7" t="str">
        <x:v>Day 02</x:v>
      </x:c>
      <x:c r="I54" s="55">
        <x:v>46197</x:v>
      </x:c>
      <x:c r="J54" s="7" t="s">
        <x:v>227</x:v>
      </x:c>
      <x:c r="K54" s="7">
        <x:v>19</x:v>
      </x:c>
      <x:c r="L54" s="7">
        <x:v>11</x:v>
      </x:c>
      <x:c r="M54" s="7">
        <x:v>7</x:v>
      </x:c>
      <x:c r="N54" s="7">
        <x:v>0</x:v>
      </x:c>
      <x:c r="O54" s="10">
        <x:v>0.05</x:v>
      </x:c>
      <x:c r="P54" s="11" t="e">
        <x:f>HYPERLINK("https://github.com/kapiltrip/hdlBits/blob/main/study/problems/Day%2002/040-adder100i.md","Note")</x:f>
        <x:v>HYPERLINK is not implemented. linkLocation=https://github.com/kapiltrip/hdlBits/blob/main/study/problems/Day%2002/040-adder100i.md, friendlyName=Note</x:v>
      </x:c>
      <x:c r="Q54" s="11" t="e">
        <x:f>HYPERLINK("https://github.com/kapiltrip/hdlBits/blob/main/study/images/Day%2002/040-adder100i.png","Image")</x:f>
        <x:v>HYPERLINK is not implemented. linkLocation=https://github.com/kapiltrip/hdlBits/blob/main/study/images/Day%2002/040-adder100i.png, friendlyName=Image</x:v>
      </x:c>
      <x:c r="R54" s="11" t="e">
        <x:f>HYPERLINK("https://github.com/kapiltrip/hdlBits/blob/main/study/solutions/Day%2002/040-adder100i.sv","Code")</x:f>
        <x:v>HYPERLINK is not implemented. linkLocation=https://github.com/kapiltrip/hdlBits/blob/main/study/solutions/Day%2002/040-adder100i.sv, friendlyName=Code</x:v>
      </x:c>
      <x:c r="S54" s="11" t="e">
        <x:f>HYPERLINK("https://hdlbits.01xz.net/wiki/adder100i","HDLBits")</x:f>
        <x:v>HYPERLINK is not implemented. linkLocation=https://hdlbits.01xz.net/wiki/adder100i, friendlyName=HDLBits</x:v>
      </x:c>
      <x:c r="T54" s="8" t="s">
        <x:v>228</x:v>
      </x:c>
      <x:c r="U54" s="8"/>
    </x:row>
    <x:row r="55" ht="34.04999923706055" customHeight="1">
      <x:c r="A55" s="3">
        <x:v>43</x:v>
      </x:c>
      <x:c r="B55" s="3" t="n">
        <x:v>41</x:v>
      </x:c>
      <x:c r="C55" s="2" t="s">
        <x:v>16</x:v>
      </x:c>
      <x:c r="D55" s="2" t="s">
        <x:v>25</x:v>
      </x:c>
      <x:c r="E55" s="2" t="s">
        <x:v>229</x:v>
      </x:c>
      <x:c r="F55" s="2" t="s">
        <x:v>230</x:v>
      </x:c>
      <x:c r="G55" s="3" t="s">
        <x:v>1</x:v>
      </x:c>
      <x:c r="H55" s="3" t="str">
        <x:v>Day 03</x:v>
      </x:c>
      <x:c r="I55" s="56">
        <x:v>46198</x:v>
      </x:c>
      <x:c r="J55" s="3" t="s">
        <x:v>231</x:v>
      </x:c>
      <x:c r="K55" s="3">
        <x:v>6</x:v>
      </x:c>
      <x:c r="L55" s="3">
        <x:v>2</x:v>
      </x:c>
      <x:c r="M55" s="3">
        <x:v>3</x:v>
      </x:c>
      <x:c r="N55" s="3">
        <x:v>0</x:v>
      </x:c>
      <x:c r="O55" s="6">
        <x:v>0.17</x:v>
      </x:c>
      <x:c r="P55" s="4" t="e">
        <x:f>HYPERLINK("https://github.com/kapiltrip/hdlBits/blob/main/study/problems/Day%2003/041-bcdadd100.md","Note")</x:f>
        <x:v>HYPERLINK is not implemented. linkLocation=https://github.com/kapiltrip/hdlBits/blob/main/study/problems/Day%2003/041-bcdadd100.md, friendlyName=Note</x:v>
      </x:c>
      <x:c r="Q55" s="4" t="e">
        <x:f>HYPERLINK("https://github.com/kapiltrip/hdlBits/blob/main/study/images/Day%2003/041-bcdadd100.png","Image")</x:f>
        <x:v>HYPERLINK is not implemented. linkLocation=https://github.com/kapiltrip/hdlBits/blob/main/study/images/Day%2003/041-bcdadd100.png, friendlyName=Image</x:v>
      </x:c>
      <x:c r="R55" s="4" t="e">
        <x:f>HYPERLINK("https://github.com/kapiltrip/hdlBits/blob/main/study/solutions/Day%2003/041-bcdadd100.sv","Code")</x:f>
        <x:v>HYPERLINK is not implemented. linkLocation=https://github.com/kapiltrip/hdlBits/blob/main/study/solutions/Day%2003/041-bcdadd100.sv, friendlyName=Code</x:v>
      </x:c>
      <x:c r="S55" s="4" t="e">
        <x:f>HYPERLINK("https://hdlbits.01xz.net/wiki/bcdadd100","HDLBits")</x:f>
        <x:v>HYPERLINK is not implemented. linkLocation=https://hdlbits.01xz.net/wiki/bcdadd100, friendlyName=HDLBits</x:v>
      </x:c>
      <x:c r="T55" s="2" t="s">
        <x:v>232</x:v>
      </x:c>
      <x:c r="U55" s="2"/>
    </x:row>
    <x:row r="56" ht="25.049999237060547" customHeight="1">
      <x:c r="A56" s="41" t="s">
        <x:v>233</x:v>
      </x:c>
      <x:c r="B56" s="41"/>
      <x:c r="C56" s="41"/>
      <x:c r="D56" s="41"/>
      <x:c r="E56" s="41"/>
      <x:c r="F56" s="41"/>
      <x:c r="G56" s="41"/>
      <x:c r="H56" s="41"/>
      <x:c r="I56" s="59"/>
      <x:c r="J56" s="41"/>
      <x:c r="K56" s="41"/>
      <x:c r="L56" s="41"/>
      <x:c r="M56" s="41"/>
      <x:c r="N56" s="41"/>
      <x:c r="O56" s="43"/>
      <x:c r="P56" s="41"/>
      <x:c r="Q56" s="41"/>
      <x:c r="R56" s="41"/>
      <x:c r="S56" s="41"/>
      <x:c r="T56" s="41"/>
      <x:c r="U56" s="41"/>
    </x:row>
    <x:row r="57" ht="22.049999237060547" customHeight="1">
      <x:c r="A57" s="44" t="s">
        <x:v>234</x:v>
      </x:c>
      <x:c r="B57" s="44"/>
      <x:c r="C57" s="44"/>
      <x:c r="D57" s="44"/>
      <x:c r="E57" s="44"/>
      <x:c r="F57" s="44"/>
      <x:c r="G57" s="44"/>
      <x:c r="H57" s="44"/>
      <x:c r="I57" s="60"/>
      <x:c r="J57" s="44"/>
      <x:c r="K57" s="44"/>
      <x:c r="L57" s="44"/>
      <x:c r="M57" s="44"/>
      <x:c r="N57" s="44"/>
      <x:c r="O57" s="46"/>
      <x:c r="P57" s="44"/>
      <x:c r="Q57" s="44"/>
      <x:c r="R57" s="44"/>
      <x:c r="S57" s="44"/>
      <x:c r="T57" s="44"/>
      <x:c r="U57" s="44"/>
    </x:row>
    <x:row r="58" ht="34.04999923706055" customHeight="1">
      <x:c r="A58" s="7">
        <x:v>44</x:v>
      </x:c>
      <x:c r="B58" s="7" t="n">
        <x:v>42</x:v>
      </x:c>
      <x:c r="C58" s="8" t="s">
        <x:v>27</x:v>
      </x:c>
      <x:c r="D58" s="8" t="s">
        <x:v>28</x:v>
      </x:c>
      <x:c r="E58" s="8" t="s">
        <x:v>235</x:v>
      </x:c>
      <x:c r="F58" s="8" t="s">
        <x:v>236</x:v>
      </x:c>
      <x:c r="G58" s="7" t="s">
        <x:v>1</x:v>
      </x:c>
      <x:c r="H58" s="7" t="str">
        <x:v>Day 02</x:v>
      </x:c>
      <x:c r="I58" s="55">
        <x:v>46197</x:v>
      </x:c>
      <x:c r="J58" s="7" t="s">
        <x:v>237</x:v>
      </x:c>
      <x:c r="K58" s="7">
        <x:v>1</x:v>
      </x:c>
      <x:c r="L58" s="7">
        <x:v>0</x:v>
      </x:c>
      <x:c r="M58" s="7">
        <x:v>0</x:v>
      </x:c>
      <x:c r="N58" s="7">
        <x:v>0</x:v>
      </x:c>
      <x:c r="O58" s="10">
        <x:v>1</x:v>
      </x:c>
      <x:c r="P58" s="11" t="e">
        <x:f>HYPERLINK("https://github.com/kapiltrip/hdlBits/blob/main/study/problems/Day%2002/042-exams__m2014_q4h.md","Note")</x:f>
        <x:v>HYPERLINK is not implemented. linkLocation=https://github.com/kapiltrip/hdlBits/blob/main/study/problems/Day%2002/042-exams__m2014_q4h.md, friendlyName=Note</x:v>
      </x:c>
      <x:c r="Q58" s="11" t="e">
        <x:f>HYPERLINK("https://github.com/kapiltrip/hdlBits/blob/main/study/images/Day%2002/042-exams__m2014_q4h.png","Image")</x:f>
        <x:v>HYPERLINK is not implemented. linkLocation=https://github.com/kapiltrip/hdlBits/blob/main/study/images/Day%2002/042-exams__m2014_q4h.png, friendlyName=Image</x:v>
      </x:c>
      <x:c r="R58" s="11" t="e">
        <x:f>HYPERLINK("https://github.com/kapiltrip/hdlBits/blob/main/study/solutions/Day%2002/042-exams__m2014_q4h.sv","Code")</x:f>
        <x:v>HYPERLINK is not implemented. linkLocation=https://github.com/kapiltrip/hdlBits/blob/main/study/solutions/Day%2002/042-exams__m2014_q4h.sv, friendlyName=Code</x:v>
      </x:c>
      <x:c r="S58" s="11" t="e">
        <x:f>HYPERLINK("https://hdlbits.01xz.net/wiki/exams/m2014_q4h","HDLBits")</x:f>
        <x:v>HYPERLINK is not implemented. linkLocation=https://hdlbits.01xz.net/wiki/exams/m2014_q4h, friendlyName=HDLBits</x:v>
      </x:c>
      <x:c r="T58" s="8" t="s">
        <x:v>238</x:v>
      </x:c>
      <x:c r="U58" s="8"/>
    </x:row>
    <x:row r="59" ht="34.04999923706055" customHeight="1">
      <x:c r="A59" s="3">
        <x:v>45</x:v>
      </x:c>
      <x:c r="B59" s="3" t="n">
        <x:v>43</x:v>
      </x:c>
      <x:c r="C59" s="2" t="s">
        <x:v>27</x:v>
      </x:c>
      <x:c r="D59" s="2" t="s">
        <x:v>28</x:v>
      </x:c>
      <x:c r="E59" s="2" t="s">
        <x:v>239</x:v>
      </x:c>
      <x:c r="F59" s="2" t="s">
        <x:v>240</x:v>
      </x:c>
      <x:c r="G59" s="3" t="s">
        <x:v>1</x:v>
      </x:c>
      <x:c r="H59" s="3" t="str">
        <x:v>Day 02</x:v>
      </x:c>
      <x:c r="I59" s="56">
        <x:v>46197</x:v>
      </x:c>
      <x:c r="J59" s="3" t="s">
        <x:v>241</x:v>
      </x:c>
      <x:c r="K59" s="3">
        <x:v>1</x:v>
      </x:c>
      <x:c r="L59" s="3">
        <x:v>0</x:v>
      </x:c>
      <x:c r="M59" s="3">
        <x:v>0</x:v>
      </x:c>
      <x:c r="N59" s="3">
        <x:v>0</x:v>
      </x:c>
      <x:c r="O59" s="6">
        <x:v>1</x:v>
      </x:c>
      <x:c r="P59" s="4" t="e">
        <x:f>HYPERLINK("https://github.com/kapiltrip/hdlBits/blob/main/study/problems/Day%2002/043-exams__m2014_q4i.md","Note")</x:f>
        <x:v>HYPERLINK is not implemented. linkLocation=https://github.com/kapiltrip/hdlBits/blob/main/study/problems/Day%2002/043-exams__m2014_q4i.md, friendlyName=Note</x:v>
      </x:c>
      <x:c r="Q59" s="4" t="e">
        <x:f>HYPERLINK("https://github.com/kapiltrip/hdlBits/blob/main/study/images/Day%2002/043-exams__m2014_q4i.png","Image")</x:f>
        <x:v>HYPERLINK is not implemented. linkLocation=https://github.com/kapiltrip/hdlBits/blob/main/study/images/Day%2002/043-exams__m2014_q4i.png, friendlyName=Image</x:v>
      </x:c>
      <x:c r="R59" s="4" t="e">
        <x:f>HYPERLINK("https://github.com/kapiltrip/hdlBits/blob/main/study/solutions/Day%2002/043-exams__m2014_q4i.sv","Code")</x:f>
        <x:v>HYPERLINK is not implemented. linkLocation=https://github.com/kapiltrip/hdlBits/blob/main/study/solutions/Day%2002/043-exams__m2014_q4i.sv, friendlyName=Code</x:v>
      </x:c>
      <x:c r="S59" s="4" t="e">
        <x:f>HYPERLINK("https://hdlbits.01xz.net/wiki/exams/m2014_q4i","HDLBits")</x:f>
        <x:v>HYPERLINK is not implemented. linkLocation=https://hdlbits.01xz.net/wiki/exams/m2014_q4i, friendlyName=HDLBits</x:v>
      </x:c>
      <x:c r="T59" s="2" t="s">
        <x:v>242</x:v>
      </x:c>
      <x:c r="U59" s="2"/>
    </x:row>
    <x:row r="60" ht="34.04999923706055" customHeight="1">
      <x:c r="A60" s="7">
        <x:v>46</x:v>
      </x:c>
      <x:c r="B60" s="7" t="n">
        <x:v>44</x:v>
      </x:c>
      <x:c r="C60" s="8" t="s">
        <x:v>27</x:v>
      </x:c>
      <x:c r="D60" s="8" t="s">
        <x:v>28</x:v>
      </x:c>
      <x:c r="E60" s="8" t="s">
        <x:v>243</x:v>
      </x:c>
      <x:c r="F60" s="8" t="s">
        <x:v>244</x:v>
      </x:c>
      <x:c r="G60" s="7" t="s">
        <x:v>1</x:v>
      </x:c>
      <x:c r="H60" s="7" t="str">
        <x:v>Day 02</x:v>
      </x:c>
      <x:c r="I60" s="55">
        <x:v>46197</x:v>
      </x:c>
      <x:c r="J60" s="7" t="s">
        <x:v>245</x:v>
      </x:c>
      <x:c r="K60" s="7">
        <x:v>2</x:v>
      </x:c>
      <x:c r="L60" s="7">
        <x:v>1</x:v>
      </x:c>
      <x:c r="M60" s="7">
        <x:v>0</x:v>
      </x:c>
      <x:c r="N60" s="7">
        <x:v>0</x:v>
      </x:c>
      <x:c r="O60" s="10">
        <x:v>0.5</x:v>
      </x:c>
      <x:c r="P60" s="11" t="e">
        <x:f>HYPERLINK("https://github.com/kapiltrip/hdlBits/blob/main/study/problems/Day%2002/044-exams__m2014_q4e.md","Note")</x:f>
        <x:v>HYPERLINK is not implemented. linkLocation=https://github.com/kapiltrip/hdlBits/blob/main/study/problems/Day%2002/044-exams__m2014_q4e.md, friendlyName=Note</x:v>
      </x:c>
      <x:c r="Q60" s="11" t="e">
        <x:f>HYPERLINK("https://github.com/kapiltrip/hdlBits/blob/main/study/images/Day%2002/044-exams__m2014_q4e.png","Image")</x:f>
        <x:v>HYPERLINK is not implemented. linkLocation=https://github.com/kapiltrip/hdlBits/blob/main/study/images/Day%2002/044-exams__m2014_q4e.png, friendlyName=Image</x:v>
      </x:c>
      <x:c r="R60" s="11" t="e">
        <x:f>HYPERLINK("https://github.com/kapiltrip/hdlBits/blob/main/study/solutions/Day%2002/044-exams__m2014_q4e.sv","Code")</x:f>
        <x:v>HYPERLINK is not implemented. linkLocation=https://github.com/kapiltrip/hdlBits/blob/main/study/solutions/Day%2002/044-exams__m2014_q4e.sv, friendlyName=Code</x:v>
      </x:c>
      <x:c r="S60" s="11" t="e">
        <x:f>HYPERLINK("https://hdlbits.01xz.net/wiki/exams/m2014_q4e","HDLBits")</x:f>
        <x:v>HYPERLINK is not implemented. linkLocation=https://hdlbits.01xz.net/wiki/exams/m2014_q4e, friendlyName=HDLBits</x:v>
      </x:c>
      <x:c r="T60" s="8" t="s">
        <x:v>246</x:v>
      </x:c>
      <x:c r="U60" s="8"/>
    </x:row>
    <x:row r="61" ht="34.04999923706055" customHeight="1">
      <x:c r="A61" s="3">
        <x:v>47</x:v>
      </x:c>
      <x:c r="B61" s="3" t="n">
        <x:v>45</x:v>
      </x:c>
      <x:c r="C61" s="2" t="s">
        <x:v>27</x:v>
      </x:c>
      <x:c r="D61" s="2" t="s">
        <x:v>28</x:v>
      </x:c>
      <x:c r="E61" s="2" t="s">
        <x:v>247</x:v>
      </x:c>
      <x:c r="F61" s="2" t="s">
        <x:v>248</x:v>
      </x:c>
      <x:c r="G61" s="3" t="s">
        <x:v>1</x:v>
      </x:c>
      <x:c r="H61" s="3" t="str">
        <x:v>Day 02</x:v>
      </x:c>
      <x:c r="I61" s="56">
        <x:v>46197</x:v>
      </x:c>
      <x:c r="J61" s="3" t="s">
        <x:v>249</x:v>
      </x:c>
      <x:c r="K61" s="3">
        <x:v>1</x:v>
      </x:c>
      <x:c r="L61" s="3">
        <x:v>0</x:v>
      </x:c>
      <x:c r="M61" s="3">
        <x:v>0</x:v>
      </x:c>
      <x:c r="N61" s="3">
        <x:v>0</x:v>
      </x:c>
      <x:c r="O61" s="6">
        <x:v>1</x:v>
      </x:c>
      <x:c r="P61" s="4" t="e">
        <x:f>HYPERLINK("https://github.com/kapiltrip/hdlBits/blob/main/study/problems/Day%2002/045-exams__m2014_q4f.md","Note")</x:f>
        <x:v>HYPERLINK is not implemented. linkLocation=https://github.com/kapiltrip/hdlBits/blob/main/study/problems/Day%2002/045-exams__m2014_q4f.md, friendlyName=Note</x:v>
      </x:c>
      <x:c r="Q61" s="4" t="e">
        <x:f>HYPERLINK("https://github.com/kapiltrip/hdlBits/blob/main/study/images/Day%2002/045-exams__m2014_q4f.png","Image")</x:f>
        <x:v>HYPERLINK is not implemented. linkLocation=https://github.com/kapiltrip/hdlBits/blob/main/study/images/Day%2002/045-exams__m2014_q4f.png, friendlyName=Image</x:v>
      </x:c>
      <x:c r="R61" s="4" t="e">
        <x:f>HYPERLINK("https://github.com/kapiltrip/hdlBits/blob/main/study/solutions/Day%2002/045-exams__m2014_q4f.sv","Code")</x:f>
        <x:v>HYPERLINK is not implemented. linkLocation=https://github.com/kapiltrip/hdlBits/blob/main/study/solutions/Day%2002/045-exams__m2014_q4f.sv, friendlyName=Code</x:v>
      </x:c>
      <x:c r="S61" s="4" t="e">
        <x:f>HYPERLINK("https://hdlbits.01xz.net/wiki/exams/m2014_q4f","HDLBits")</x:f>
        <x:v>HYPERLINK is not implemented. linkLocation=https://hdlbits.01xz.net/wiki/exams/m2014_q4f, friendlyName=HDLBits</x:v>
      </x:c>
      <x:c r="T61" s="2" t="s">
        <x:v>250</x:v>
      </x:c>
      <x:c r="U61" s="2"/>
    </x:row>
    <x:row r="62" ht="34.04999923706055" customHeight="1">
      <x:c r="A62" s="7">
        <x:v>48</x:v>
      </x:c>
      <x:c r="B62" s="7" t="n">
        <x:v>46</x:v>
      </x:c>
      <x:c r="C62" s="8" t="s">
        <x:v>27</x:v>
      </x:c>
      <x:c r="D62" s="8" t="s">
        <x:v>28</x:v>
      </x:c>
      <x:c r="E62" s="8" t="s">
        <x:v>251</x:v>
      </x:c>
      <x:c r="F62" s="8" t="s">
        <x:v>252</x:v>
      </x:c>
      <x:c r="G62" s="7" t="s">
        <x:v>1</x:v>
      </x:c>
      <x:c r="H62" s="7" t="str">
        <x:v>Day 02</x:v>
      </x:c>
      <x:c r="I62" s="55">
        <x:v>46197</x:v>
      </x:c>
      <x:c r="J62" s="7" t="s">
        <x:v>253</x:v>
      </x:c>
      <x:c r="K62" s="7">
        <x:v>1</x:v>
      </x:c>
      <x:c r="L62" s="7">
        <x:v>0</x:v>
      </x:c>
      <x:c r="M62" s="7">
        <x:v>0</x:v>
      </x:c>
      <x:c r="N62" s="7">
        <x:v>0</x:v>
      </x:c>
      <x:c r="O62" s="10">
        <x:v>1</x:v>
      </x:c>
      <x:c r="P62" s="11" t="e">
        <x:f>HYPERLINK("https://github.com/kapiltrip/hdlBits/blob/main/study/problems/Day%2002/046-exams__m2014_q4g.md","Note")</x:f>
        <x:v>HYPERLINK is not implemented. linkLocation=https://github.com/kapiltrip/hdlBits/blob/main/study/problems/Day%2002/046-exams__m2014_q4g.md, friendlyName=Note</x:v>
      </x:c>
      <x:c r="Q62" s="11" t="e">
        <x:f>HYPERLINK("https://github.com/kapiltrip/hdlBits/blob/main/study/images/Day%2002/046-exams__m2014_q4g.png","Image")</x:f>
        <x:v>HYPERLINK is not implemented. linkLocation=https://github.com/kapiltrip/hdlBits/blob/main/study/images/Day%2002/046-exams__m2014_q4g.png, friendlyName=Image</x:v>
      </x:c>
      <x:c r="R62" s="11" t="e">
        <x:f>HYPERLINK("https://github.com/kapiltrip/hdlBits/blob/main/study/solutions/Day%2002/046-exams__m2014_q4g.sv","Code")</x:f>
        <x:v>HYPERLINK is not implemented. linkLocation=https://github.com/kapiltrip/hdlBits/blob/main/study/solutions/Day%2002/046-exams__m2014_q4g.sv, friendlyName=Code</x:v>
      </x:c>
      <x:c r="S62" s="11" t="e">
        <x:f>HYPERLINK("https://hdlbits.01xz.net/wiki/exams/m2014_q4g","HDLBits")</x:f>
        <x:v>HYPERLINK is not implemented. linkLocation=https://hdlbits.01xz.net/wiki/exams/m2014_q4g, friendlyName=HDLBits</x:v>
      </x:c>
      <x:c r="T62" s="8" t="s">
        <x:v>254</x:v>
      </x:c>
      <x:c r="U62" s="8"/>
    </x:row>
    <x:row r="63" ht="34.04999923706055" customHeight="1">
      <x:c r="A63" s="3">
        <x:v>49</x:v>
      </x:c>
      <x:c r="B63" s="3" t="n">
        <x:v>47</x:v>
      </x:c>
      <x:c r="C63" s="2" t="s">
        <x:v>27</x:v>
      </x:c>
      <x:c r="D63" s="2" t="s">
        <x:v>28</x:v>
      </x:c>
      <x:c r="E63" s="2" t="s">
        <x:v>255</x:v>
      </x:c>
      <x:c r="F63" s="2" t="s">
        <x:v>256</x:v>
      </x:c>
      <x:c r="G63" s="3" t="s">
        <x:v>1</x:v>
      </x:c>
      <x:c r="H63" s="3" t="str">
        <x:v>Day 03</x:v>
      </x:c>
      <x:c r="I63" s="56">
        <x:v>46198</x:v>
      </x:c>
      <x:c r="J63" s="3" t="s">
        <x:v>257</x:v>
      </x:c>
      <x:c r="K63" s="3">
        <x:v>2</x:v>
      </x:c>
      <x:c r="L63" s="3">
        <x:v>0</x:v>
      </x:c>
      <x:c r="M63" s="3">
        <x:v>1</x:v>
      </x:c>
      <x:c r="N63" s="3">
        <x:v>0</x:v>
      </x:c>
      <x:c r="O63" s="6">
        <x:v>0.5</x:v>
      </x:c>
      <x:c r="P63" s="4" t="e">
        <x:f>HYPERLINK("https://github.com/kapiltrip/hdlBits/blob/main/study/problems/Day%2003/047-gates.md","Note")</x:f>
        <x:v>HYPERLINK is not implemented. linkLocation=https://github.com/kapiltrip/hdlBits/blob/main/study/problems/Day%2003/047-gates.md, friendlyName=Note</x:v>
      </x:c>
      <x:c r="Q63" s="4" t="e">
        <x:f>HYPERLINK("https://github.com/kapiltrip/hdlBits/blob/main/study/images/Day%2003/047-gates.png","Image")</x:f>
        <x:v>HYPERLINK is not implemented. linkLocation=https://github.com/kapiltrip/hdlBits/blob/main/study/images/Day%2003/047-gates.png, friendlyName=Image</x:v>
      </x:c>
      <x:c r="R63" s="4" t="e">
        <x:f>HYPERLINK("https://github.com/kapiltrip/hdlBits/blob/main/study/solutions/Day%2003/047-gates.sv","Code")</x:f>
        <x:v>HYPERLINK is not implemented. linkLocation=https://github.com/kapiltrip/hdlBits/blob/main/study/solutions/Day%2003/047-gates.sv, friendlyName=Code</x:v>
      </x:c>
      <x:c r="S63" s="4" t="e">
        <x:f>HYPERLINK("https://hdlbits.01xz.net/wiki/gates","HDLBits")</x:f>
        <x:v>HYPERLINK is not implemented. linkLocation=https://hdlbits.01xz.net/wiki/gates, friendlyName=HDLBits</x:v>
      </x:c>
      <x:c r="T63" s="2" t="s">
        <x:v>258</x:v>
      </x:c>
      <x:c r="U63" s="2"/>
    </x:row>
    <x:row r="64" ht="34.04999923706055" customHeight="1">
      <x:c r="A64" s="7">
        <x:v>50</x:v>
      </x:c>
      <x:c r="B64" s="7" t="n">
        <x:v>48</x:v>
      </x:c>
      <x:c r="C64" s="8" t="s">
        <x:v>27</x:v>
      </x:c>
      <x:c r="D64" s="8" t="s">
        <x:v>28</x:v>
      </x:c>
      <x:c r="E64" s="8" t="s">
        <x:v>259</x:v>
      </x:c>
      <x:c r="F64" s="8" t="s">
        <x:v>260</x:v>
      </x:c>
      <x:c r="G64" s="7" t="s">
        <x:v>1</x:v>
      </x:c>
      <x:c r="H64" s="7" t="str">
        <x:v>Day 03</x:v>
      </x:c>
      <x:c r="I64" s="55">
        <x:v>46198</x:v>
      </x:c>
      <x:c r="J64" s="7" t="s">
        <x:v>261</x:v>
      </x:c>
      <x:c r="K64" s="7">
        <x:v>1</x:v>
      </x:c>
      <x:c r="L64" s="7">
        <x:v>0</x:v>
      </x:c>
      <x:c r="M64" s="7">
        <x:v>0</x:v>
      </x:c>
      <x:c r="N64" s="7">
        <x:v>0</x:v>
      </x:c>
      <x:c r="O64" s="10">
        <x:v>1</x:v>
      </x:c>
      <x:c r="P64" s="11" t="e">
        <x:f>HYPERLINK("https://github.com/kapiltrip/hdlBits/blob/main/study/problems/Day%2003/048-7420.md","Note")</x:f>
        <x:v>HYPERLINK is not implemented. linkLocation=https://github.com/kapiltrip/hdlBits/blob/main/study/problems/Day%2003/048-7420.md, friendlyName=Note</x:v>
      </x:c>
      <x:c r="Q64" s="11" t="e">
        <x:f>HYPERLINK("https://github.com/kapiltrip/hdlBits/blob/main/study/images/Day%2003/048-7420.png","Image")</x:f>
        <x:v>HYPERLINK is not implemented. linkLocation=https://github.com/kapiltrip/hdlBits/blob/main/study/images/Day%2003/048-7420.png, friendlyName=Image</x:v>
      </x:c>
      <x:c r="R64" s="11" t="e">
        <x:f>HYPERLINK("https://github.com/kapiltrip/hdlBits/blob/main/study/solutions/Day%2003/048-7420.sv","Code")</x:f>
        <x:v>HYPERLINK is not implemented. linkLocation=https://github.com/kapiltrip/hdlBits/blob/main/study/solutions/Day%2003/048-7420.sv, friendlyName=Code</x:v>
      </x:c>
      <x:c r="S64" s="11" t="e">
        <x:f>HYPERLINK("https://hdlbits.01xz.net/wiki/7420","HDLBits")</x:f>
        <x:v>HYPERLINK is not implemented. linkLocation=https://hdlbits.01xz.net/wiki/7420, friendlyName=HDLBits</x:v>
      </x:c>
      <x:c r="T64" s="8" t="s">
        <x:v>262</x:v>
      </x:c>
      <x:c r="U64" s="8"/>
    </x:row>
    <x:row r="65" ht="34.04999923706055" customHeight="1">
      <x:c r="A65" s="3">
        <x:v>51</x:v>
      </x:c>
      <x:c r="B65" s="3" t="n">
        <x:v>49</x:v>
      </x:c>
      <x:c r="C65" s="2" t="s">
        <x:v>27</x:v>
      </x:c>
      <x:c r="D65" s="2" t="s">
        <x:v>28</x:v>
      </x:c>
      <x:c r="E65" s="2" t="s">
        <x:v>263</x:v>
      </x:c>
      <x:c r="F65" s="2" t="s">
        <x:v>264</x:v>
      </x:c>
      <x:c r="G65" s="3" t="s">
        <x:v>1</x:v>
      </x:c>
      <x:c r="H65" s="3" t="str">
        <x:v>Day 03</x:v>
      </x:c>
      <x:c r="I65" s="56">
        <x:v>46198</x:v>
      </x:c>
      <x:c r="J65" s="3" t="s">
        <x:v>265</x:v>
      </x:c>
      <x:c r="K65" s="3">
        <x:v>1</x:v>
      </x:c>
      <x:c r="L65" s="3">
        <x:v>0</x:v>
      </x:c>
      <x:c r="M65" s="3">
        <x:v>0</x:v>
      </x:c>
      <x:c r="N65" s="3">
        <x:v>0</x:v>
      </x:c>
      <x:c r="O65" s="6">
        <x:v>1</x:v>
      </x:c>
      <x:c r="P65" s="4" t="e">
        <x:f>HYPERLINK("https://github.com/kapiltrip/hdlBits/blob/main/study/problems/Day%2003/049-truthtable1.md","Note")</x:f>
        <x:v>HYPERLINK is not implemented. linkLocation=https://github.com/kapiltrip/hdlBits/blob/main/study/problems/Day%2003/049-truthtable1.md, friendlyName=Note</x:v>
      </x:c>
      <x:c r="Q65" s="4" t="e">
        <x:f>HYPERLINK("https://github.com/kapiltrip/hdlBits/blob/main/study/images/Day%2003/049-truthtable1.png","Image")</x:f>
        <x:v>HYPERLINK is not implemented. linkLocation=https://github.com/kapiltrip/hdlBits/blob/main/study/images/Day%2003/049-truthtable1.png, friendlyName=Image</x:v>
      </x:c>
      <x:c r="R65" s="4" t="e">
        <x:f>HYPERLINK("https://github.com/kapiltrip/hdlBits/blob/main/study/solutions/Day%2003/049-truthtable1.sv","Code")</x:f>
        <x:v>HYPERLINK is not implemented. linkLocation=https://github.com/kapiltrip/hdlBits/blob/main/study/solutions/Day%2003/049-truthtable1.sv, friendlyName=Code</x:v>
      </x:c>
      <x:c r="S65" s="4" t="e">
        <x:f>HYPERLINK("https://hdlbits.01xz.net/wiki/truthtable1","HDLBits")</x:f>
        <x:v>HYPERLINK is not implemented. linkLocation=https://hdlbits.01xz.net/wiki/truthtable1, friendlyName=HDLBits</x:v>
      </x:c>
      <x:c r="T65" s="2" t="s">
        <x:v>266</x:v>
      </x:c>
      <x:c r="U65" s="2"/>
    </x:row>
    <x:row r="66" ht="34.04999923706055" customHeight="1">
      <x:c r="A66" s="7">
        <x:v>52</x:v>
      </x:c>
      <x:c r="B66" s="7" t="n">
        <x:v>50</x:v>
      </x:c>
      <x:c r="C66" s="8" t="s">
        <x:v>27</x:v>
      </x:c>
      <x:c r="D66" s="8" t="s">
        <x:v>28</x:v>
      </x:c>
      <x:c r="E66" s="8" t="s">
        <x:v>267</x:v>
      </x:c>
      <x:c r="F66" s="8" t="s">
        <x:v>268</x:v>
      </x:c>
      <x:c r="G66" s="7" t="s">
        <x:v>1</x:v>
      </x:c>
      <x:c r="H66" s="7" t="str">
        <x:v>Day 03</x:v>
      </x:c>
      <x:c r="I66" s="55">
        <x:v>46198</x:v>
      </x:c>
      <x:c r="J66" s="7" t="s">
        <x:v>269</x:v>
      </x:c>
      <x:c r="K66" s="7">
        <x:v>1</x:v>
      </x:c>
      <x:c r="L66" s="7">
        <x:v>0</x:v>
      </x:c>
      <x:c r="M66" s="7">
        <x:v>0</x:v>
      </x:c>
      <x:c r="N66" s="7">
        <x:v>0</x:v>
      </x:c>
      <x:c r="O66" s="10">
        <x:v>1</x:v>
      </x:c>
      <x:c r="P66" s="11" t="e">
        <x:f>HYPERLINK("https://github.com/kapiltrip/hdlBits/blob/main/study/problems/Day%2003/050-mt2015_eq2.md","Note")</x:f>
        <x:v>HYPERLINK is not implemented. linkLocation=https://github.com/kapiltrip/hdlBits/blob/main/study/problems/Day%2003/050-mt2015_eq2.md, friendlyName=Note</x:v>
      </x:c>
      <x:c r="Q66" s="11" t="e">
        <x:f>HYPERLINK("https://github.com/kapiltrip/hdlBits/blob/main/study/images/Day%2003/050-mt2015_eq2.png","Image")</x:f>
        <x:v>HYPERLINK is not implemented. linkLocation=https://github.com/kapiltrip/hdlBits/blob/main/study/images/Day%2003/050-mt2015_eq2.png, friendlyName=Image</x:v>
      </x:c>
      <x:c r="R66" s="11" t="e">
        <x:f>HYPERLINK("https://github.com/kapiltrip/hdlBits/blob/main/study/solutions/Day%2003/050-mt2015_eq2.sv","Code")</x:f>
        <x:v>HYPERLINK is not implemented. linkLocation=https://github.com/kapiltrip/hdlBits/blob/main/study/solutions/Day%2003/050-mt2015_eq2.sv, friendlyName=Code</x:v>
      </x:c>
      <x:c r="S66" s="11" t="e">
        <x:f>HYPERLINK("https://hdlbits.01xz.net/wiki/mt2015_eq2","HDLBits")</x:f>
        <x:v>HYPERLINK is not implemented. linkLocation=https://hdlbits.01xz.net/wiki/mt2015_eq2, friendlyName=HDLBits</x:v>
      </x:c>
      <x:c r="T66" s="8" t="s">
        <x:v>270</x:v>
      </x:c>
      <x:c r="U66" s="8"/>
    </x:row>
    <x:row r="67" ht="34.04999923706055" customHeight="1">
      <x:c r="A67" s="3">
        <x:v>53</x:v>
      </x:c>
      <x:c r="B67" s="3" t="n">
        <x:v>51</x:v>
      </x:c>
      <x:c r="C67" s="2" t="s">
        <x:v>27</x:v>
      </x:c>
      <x:c r="D67" s="2" t="s">
        <x:v>28</x:v>
      </x:c>
      <x:c r="E67" s="2" t="s">
        <x:v>271</x:v>
      </x:c>
      <x:c r="F67" s="2" t="s">
        <x:v>272</x:v>
      </x:c>
      <x:c r="G67" s="3" t="s">
        <x:v>1</x:v>
      </x:c>
      <x:c r="H67" s="3" t="str">
        <x:v>Day 03</x:v>
      </x:c>
      <x:c r="I67" s="56">
        <x:v>46198</x:v>
      </x:c>
      <x:c r="J67" s="3" t="s">
        <x:v>273</x:v>
      </x:c>
      <x:c r="K67" s="3">
        <x:v>1</x:v>
      </x:c>
      <x:c r="L67" s="3">
        <x:v>0</x:v>
      </x:c>
      <x:c r="M67" s="3">
        <x:v>0</x:v>
      </x:c>
      <x:c r="N67" s="3">
        <x:v>0</x:v>
      </x:c>
      <x:c r="O67" s="6">
        <x:v>1</x:v>
      </x:c>
      <x:c r="P67" s="4" t="e">
        <x:f>HYPERLINK("https://github.com/kapiltrip/hdlBits/blob/main/study/problems/Day%2003/051-mt2015_q4a.md","Note")</x:f>
        <x:v>HYPERLINK is not implemented. linkLocation=https://github.com/kapiltrip/hdlBits/blob/main/study/problems/Day%2003/051-mt2015_q4a.md, friendlyName=Note</x:v>
      </x:c>
      <x:c r="Q67" s="4" t="e">
        <x:f>HYPERLINK("https://github.com/kapiltrip/hdlBits/blob/main/study/images/Day%2003/051-mt2015_q4a.png","Image")</x:f>
        <x:v>HYPERLINK is not implemented. linkLocation=https://github.com/kapiltrip/hdlBits/blob/main/study/images/Day%2003/051-mt2015_q4a.png, friendlyName=Image</x:v>
      </x:c>
      <x:c r="R67" s="4" t="e">
        <x:f>HYPERLINK("https://github.com/kapiltrip/hdlBits/blob/main/study/solutions/Day%2003/051-mt2015_q4a.sv","Code")</x:f>
        <x:v>HYPERLINK is not implemented. linkLocation=https://github.com/kapiltrip/hdlBits/blob/main/study/solutions/Day%2003/051-mt2015_q4a.sv, friendlyName=Code</x:v>
      </x:c>
      <x:c r="S67" s="4" t="e">
        <x:f>HYPERLINK("https://hdlbits.01xz.net/wiki/mt2015_q4a","HDLBits")</x:f>
        <x:v>HYPERLINK is not implemented. linkLocation=https://hdlbits.01xz.net/wiki/mt2015_q4a, friendlyName=HDLBits</x:v>
      </x:c>
      <x:c r="T67" s="2" t="s">
        <x:v>274</x:v>
      </x:c>
      <x:c r="U67" s="2"/>
    </x:row>
    <x:row r="68" ht="34.04999923706055" customHeight="1">
      <x:c r="A68" s="7">
        <x:v>54</x:v>
      </x:c>
      <x:c r="B68" s="7" t="n">
        <x:v>52</x:v>
      </x:c>
      <x:c r="C68" s="8" t="s">
        <x:v>27</x:v>
      </x:c>
      <x:c r="D68" s="8" t="s">
        <x:v>28</x:v>
      </x:c>
      <x:c r="E68" s="8" t="s">
        <x:v>275</x:v>
      </x:c>
      <x:c r="F68" s="8" t="s">
        <x:v>276</x:v>
      </x:c>
      <x:c r="G68" s="7" t="s">
        <x:v>1</x:v>
      </x:c>
      <x:c r="H68" s="7" t="str">
        <x:v>Day 03</x:v>
      </x:c>
      <x:c r="I68" s="55">
        <x:v>46198</x:v>
      </x:c>
      <x:c r="J68" s="7" t="s">
        <x:v>277</x:v>
      </x:c>
      <x:c r="K68" s="7">
        <x:v>1</x:v>
      </x:c>
      <x:c r="L68" s="7">
        <x:v>0</x:v>
      </x:c>
      <x:c r="M68" s="7">
        <x:v>0</x:v>
      </x:c>
      <x:c r="N68" s="7">
        <x:v>0</x:v>
      </x:c>
      <x:c r="O68" s="10">
        <x:v>1</x:v>
      </x:c>
      <x:c r="P68" s="11" t="e">
        <x:f>HYPERLINK("https://github.com/kapiltrip/hdlBits/blob/main/study/problems/Day%2003/052-mt2015_q4b.md","Note")</x:f>
        <x:v>HYPERLINK is not implemented. linkLocation=https://github.com/kapiltrip/hdlBits/blob/main/study/problems/Day%2003/052-mt2015_q4b.md, friendlyName=Note</x:v>
      </x:c>
      <x:c r="Q68" s="11" t="e">
        <x:f>HYPERLINK("https://github.com/kapiltrip/hdlBits/blob/main/study/images/Day%2003/052-mt2015_q4b.png","Image")</x:f>
        <x:v>HYPERLINK is not implemented. linkLocation=https://github.com/kapiltrip/hdlBits/blob/main/study/images/Day%2003/052-mt2015_q4b.png, friendlyName=Image</x:v>
      </x:c>
      <x:c r="R68" s="11" t="e">
        <x:f>HYPERLINK("https://github.com/kapiltrip/hdlBits/blob/main/study/solutions/Day%2003/052-mt2015_q4b.sv","Code")</x:f>
        <x:v>HYPERLINK is not implemented. linkLocation=https://github.com/kapiltrip/hdlBits/blob/main/study/solutions/Day%2003/052-mt2015_q4b.sv, friendlyName=Code</x:v>
      </x:c>
      <x:c r="S68" s="11" t="e">
        <x:f>HYPERLINK("https://hdlbits.01xz.net/wiki/mt2015_q4b","HDLBits")</x:f>
        <x:v>HYPERLINK is not implemented. linkLocation=https://hdlbits.01xz.net/wiki/mt2015_q4b, friendlyName=HDLBits</x:v>
      </x:c>
      <x:c r="T68" s="8" t="s">
        <x:v>278</x:v>
      </x:c>
      <x:c r="U68" s="8"/>
    </x:row>
    <x:row r="69" ht="34.04999923706055" customHeight="1">
      <x:c r="A69" s="3">
        <x:v>55</x:v>
      </x:c>
      <x:c r="B69" s="3" t="n">
        <x:v>53</x:v>
      </x:c>
      <x:c r="C69" s="2" t="s">
        <x:v>27</x:v>
      </x:c>
      <x:c r="D69" s="2" t="s">
        <x:v>28</x:v>
      </x:c>
      <x:c r="E69" s="2" t="s">
        <x:v>279</x:v>
      </x:c>
      <x:c r="F69" s="2" t="s">
        <x:v>280</x:v>
      </x:c>
      <x:c r="G69" s="3" t="s">
        <x:v>1</x:v>
      </x:c>
      <x:c r="H69" s="3" t="str">
        <x:v>Day 03</x:v>
      </x:c>
      <x:c r="I69" s="56">
        <x:v>46198</x:v>
      </x:c>
      <x:c r="J69" s="3" t="s">
        <x:v>281</x:v>
      </x:c>
      <x:c r="K69" s="3">
        <x:v>7</x:v>
      </x:c>
      <x:c r="L69" s="3">
        <x:v>0</x:v>
      </x:c>
      <x:c r="M69" s="3">
        <x:v>6</x:v>
      </x:c>
      <x:c r="N69" s="3">
        <x:v>0</x:v>
      </x:c>
      <x:c r="O69" s="6">
        <x:v>0.14000000000000001</x:v>
      </x:c>
      <x:c r="P69" s="4" t="e">
        <x:f>HYPERLINK("https://github.com/kapiltrip/hdlBits/blob/main/study/problems/Day%2003/053-mt2015_q4.md","Note")</x:f>
        <x:v>HYPERLINK is not implemented. linkLocation=https://github.com/kapiltrip/hdlBits/blob/main/study/problems/Day%2003/053-mt2015_q4.md, friendlyName=Note</x:v>
      </x:c>
      <x:c r="Q69" s="4" t="e">
        <x:f>HYPERLINK("https://github.com/kapiltrip/hdlBits/blob/main/study/images/Day%2003/053-mt2015_q4.png","Image")</x:f>
        <x:v>HYPERLINK is not implemented. linkLocation=https://github.com/kapiltrip/hdlBits/blob/main/study/images/Day%2003/053-mt2015_q4.png, friendlyName=Image</x:v>
      </x:c>
      <x:c r="R69" s="4" t="e">
        <x:f>HYPERLINK("https://github.com/kapiltrip/hdlBits/blob/main/study/solutions/Day%2003/053-mt2015_q4.sv","Code")</x:f>
        <x:v>HYPERLINK is not implemented. linkLocation=https://github.com/kapiltrip/hdlBits/blob/main/study/solutions/Day%2003/053-mt2015_q4.sv, friendlyName=Code</x:v>
      </x:c>
      <x:c r="S69" s="4" t="e">
        <x:f>HYPERLINK("https://hdlbits.01xz.net/wiki/mt2015_q4","HDLBits")</x:f>
        <x:v>HYPERLINK is not implemented. linkLocation=https://hdlbits.01xz.net/wiki/mt2015_q4, friendlyName=HDLBits</x:v>
      </x:c>
      <x:c r="T69" s="2" t="s">
        <x:v>282</x:v>
      </x:c>
      <x:c r="U69" s="2"/>
    </x:row>
    <x:row r="70" ht="34.04999923706055" customHeight="1">
      <x:c r="A70" s="7">
        <x:v>56</x:v>
      </x:c>
      <x:c r="B70" s="7" t="n">
        <x:v>54</x:v>
      </x:c>
      <x:c r="C70" s="8" t="s">
        <x:v>27</x:v>
      </x:c>
      <x:c r="D70" s="8" t="s">
        <x:v>28</x:v>
      </x:c>
      <x:c r="E70" s="8" t="s">
        <x:v>283</x:v>
      </x:c>
      <x:c r="F70" s="8" t="s">
        <x:v>284</x:v>
      </x:c>
      <x:c r="G70" s="7" t="s">
        <x:v>1</x:v>
      </x:c>
      <x:c r="H70" s="7" t="str">
        <x:v>Day 03</x:v>
      </x:c>
      <x:c r="I70" s="55">
        <x:v>46198</x:v>
      </x:c>
      <x:c r="J70" s="7" t="s">
        <x:v>285</x:v>
      </x:c>
      <x:c r="K70" s="7">
        <x:v>5</x:v>
      </x:c>
      <x:c r="L70" s="7">
        <x:v>1</x:v>
      </x:c>
      <x:c r="M70" s="7">
        <x:v>3</x:v>
      </x:c>
      <x:c r="N70" s="7">
        <x:v>0</x:v>
      </x:c>
      <x:c r="O70" s="10">
        <x:v>0.2</x:v>
      </x:c>
      <x:c r="P70" s="11" t="e">
        <x:f>HYPERLINK("https://github.com/kapiltrip/hdlBits/blob/main/study/problems/Day%2003/054-ringer.md","Note")</x:f>
        <x:v>HYPERLINK is not implemented. linkLocation=https://github.com/kapiltrip/hdlBits/blob/main/study/problems/Day%2003/054-ringer.md, friendlyName=Note</x:v>
      </x:c>
      <x:c r="Q70" s="11" t="e">
        <x:f>HYPERLINK("https://github.com/kapiltrip/hdlBits/blob/main/study/images/Day%2003/054-ringer.png","Image")</x:f>
        <x:v>HYPERLINK is not implemented. linkLocation=https://github.com/kapiltrip/hdlBits/blob/main/study/images/Day%2003/054-ringer.png, friendlyName=Image</x:v>
      </x:c>
      <x:c r="R70" s="11" t="e">
        <x:f>HYPERLINK("https://github.com/kapiltrip/hdlBits/blob/main/study/solutions/Day%2003/054-ringer.sv","Code")</x:f>
        <x:v>HYPERLINK is not implemented. linkLocation=https://github.com/kapiltrip/hdlBits/blob/main/study/solutions/Day%2003/054-ringer.sv, friendlyName=Code</x:v>
      </x:c>
      <x:c r="S70" s="11" t="e">
        <x:f>HYPERLINK("https://hdlbits.01xz.net/wiki/ringer","HDLBits")</x:f>
        <x:v>HYPERLINK is not implemented. linkLocation=https://hdlbits.01xz.net/wiki/ringer, friendlyName=HDLBits</x:v>
      </x:c>
      <x:c r="T70" s="8" t="s">
        <x:v>286</x:v>
      </x:c>
      <x:c r="U70" s="8"/>
    </x:row>
    <x:row r="71" ht="34.04999923706055" customHeight="1">
      <x:c r="A71" s="3">
        <x:v>57</x:v>
      </x:c>
      <x:c r="B71" s="3" t="n">
        <x:v>55</x:v>
      </x:c>
      <x:c r="C71" s="2" t="s">
        <x:v>27</x:v>
      </x:c>
      <x:c r="D71" s="2" t="s">
        <x:v>28</x:v>
      </x:c>
      <x:c r="E71" s="2" t="s">
        <x:v>287</x:v>
      </x:c>
      <x:c r="F71" s="2" t="s">
        <x:v>288</x:v>
      </x:c>
      <x:c r="G71" s="3" t="s">
        <x:v>1</x:v>
      </x:c>
      <x:c r="H71" s="3" t="str">
        <x:v>Day 03</x:v>
      </x:c>
      <x:c r="I71" s="56">
        <x:v>46198</x:v>
      </x:c>
      <x:c r="J71" s="3" t="s">
        <x:v>289</x:v>
      </x:c>
      <x:c r="K71" s="3">
        <x:v>2</x:v>
      </x:c>
      <x:c r="L71" s="3">
        <x:v>0</x:v>
      </x:c>
      <x:c r="M71" s="3">
        <x:v>1</x:v>
      </x:c>
      <x:c r="N71" s="3">
        <x:v>0</x:v>
      </x:c>
      <x:c r="O71" s="6">
        <x:v>0.5</x:v>
      </x:c>
      <x:c r="P71" s="4" t="e">
        <x:f>HYPERLINK("https://github.com/kapiltrip/hdlBits/blob/main/study/problems/Day%2003/055-thermostat.md","Note")</x:f>
        <x:v>HYPERLINK is not implemented. linkLocation=https://github.com/kapiltrip/hdlBits/blob/main/study/problems/Day%2003/055-thermostat.md, friendlyName=Note</x:v>
      </x:c>
      <x:c r="Q71" s="4" t="e">
        <x:f>HYPERLINK("https://github.com/kapiltrip/hdlBits/blob/main/study/images/Day%2003/055-thermostat.png","Image")</x:f>
        <x:v>HYPERLINK is not implemented. linkLocation=https://github.com/kapiltrip/hdlBits/blob/main/study/images/Day%2003/055-thermostat.png, friendlyName=Image</x:v>
      </x:c>
      <x:c r="R71" s="4" t="e">
        <x:f>HYPERLINK("https://github.com/kapiltrip/hdlBits/blob/main/study/solutions/Day%2003/055-thermostat.sv","Code")</x:f>
        <x:v>HYPERLINK is not implemented. linkLocation=https://github.com/kapiltrip/hdlBits/blob/main/study/solutions/Day%2003/055-thermostat.sv, friendlyName=Code</x:v>
      </x:c>
      <x:c r="S71" s="4" t="e">
        <x:f>HYPERLINK("https://hdlbits.01xz.net/wiki/thermostat","HDLBits")</x:f>
        <x:v>HYPERLINK is not implemented. linkLocation=https://hdlbits.01xz.net/wiki/thermostat, friendlyName=HDLBits</x:v>
      </x:c>
      <x:c r="T71" s="2" t="s">
        <x:v>290</x:v>
      </x:c>
      <x:c r="U71" s="2"/>
    </x:row>
    <x:row r="72" ht="34.04999923706055" customHeight="1">
      <x:c r="A72" s="7">
        <x:v>58</x:v>
      </x:c>
      <x:c r="B72" s="7" t="n">
        <x:v>56</x:v>
      </x:c>
      <x:c r="C72" s="8" t="s">
        <x:v>27</x:v>
      </x:c>
      <x:c r="D72" s="8" t="s">
        <x:v>28</x:v>
      </x:c>
      <x:c r="E72" s="8" t="s">
        <x:v>291</x:v>
      </x:c>
      <x:c r="F72" s="8" t="s">
        <x:v>292</x:v>
      </x:c>
      <x:c r="G72" s="7" t="s">
        <x:v>1</x:v>
      </x:c>
      <x:c r="H72" s="7" t="str">
        <x:v>Day 03</x:v>
      </x:c>
      <x:c r="I72" s="55">
        <x:v>46198</x:v>
      </x:c>
      <x:c r="J72" s="7" t="s">
        <x:v>293</x:v>
      </x:c>
      <x:c r="K72" s="7">
        <x:v>2</x:v>
      </x:c>
      <x:c r="L72" s="7">
        <x:v>1</x:v>
      </x:c>
      <x:c r="M72" s="7">
        <x:v>0</x:v>
      </x:c>
      <x:c r="N72" s="7">
        <x:v>0</x:v>
      </x:c>
      <x:c r="O72" s="10">
        <x:v>0.5</x:v>
      </x:c>
      <x:c r="P72" s="11" t="e">
        <x:f>HYPERLINK("https://github.com/kapiltrip/hdlBits/blob/main/study/problems/Day%2003/056-popcount3.md","Note")</x:f>
        <x:v>HYPERLINK is not implemented. linkLocation=https://github.com/kapiltrip/hdlBits/blob/main/study/problems/Day%2003/056-popcount3.md, friendlyName=Note</x:v>
      </x:c>
      <x:c r="Q72" s="11" t="e">
        <x:f>HYPERLINK("https://github.com/kapiltrip/hdlBits/blob/main/study/images/Day%2003/056-popcount3.png","Image")</x:f>
        <x:v>HYPERLINK is not implemented. linkLocation=https://github.com/kapiltrip/hdlBits/blob/main/study/images/Day%2003/056-popcount3.png, friendlyName=Image</x:v>
      </x:c>
      <x:c r="R72" s="11" t="e">
        <x:f>HYPERLINK("https://github.com/kapiltrip/hdlBits/blob/main/study/solutions/Day%2003/056-popcount3.sv","Code")</x:f>
        <x:v>HYPERLINK is not implemented. linkLocation=https://github.com/kapiltrip/hdlBits/blob/main/study/solutions/Day%2003/056-popcount3.sv, friendlyName=Code</x:v>
      </x:c>
      <x:c r="S72" s="11" t="e">
        <x:f>HYPERLINK("https://hdlbits.01xz.net/wiki/popcount3","HDLBits")</x:f>
        <x:v>HYPERLINK is not implemented. linkLocation=https://hdlbits.01xz.net/wiki/popcount3, friendlyName=HDLBits</x:v>
      </x:c>
      <x:c r="T72" s="8" t="s">
        <x:v>294</x:v>
      </x:c>
      <x:c r="U72" s="8"/>
    </x:row>
    <x:row r="73" ht="34.04999923706055" customHeight="1">
      <x:c r="A73" s="3">
        <x:v>59</x:v>
      </x:c>
      <x:c r="B73" s="3" t="n">
        <x:v>57</x:v>
      </x:c>
      <x:c r="C73" s="2" t="s">
        <x:v>27</x:v>
      </x:c>
      <x:c r="D73" s="2" t="s">
        <x:v>28</x:v>
      </x:c>
      <x:c r="E73" s="2" t="s">
        <x:v>295</x:v>
      </x:c>
      <x:c r="F73" s="2" t="s">
        <x:v>296</x:v>
      </x:c>
      <x:c r="G73" s="3" t="s">
        <x:v>1</x:v>
      </x:c>
      <x:c r="H73" s="3" t="str">
        <x:v>Day 03</x:v>
      </x:c>
      <x:c r="I73" s="56">
        <x:v>46198</x:v>
      </x:c>
      <x:c r="J73" s="3" t="s">
        <x:v>297</x:v>
      </x:c>
      <x:c r="K73" s="3">
        <x:v>6</x:v>
      </x:c>
      <x:c r="L73" s="3">
        <x:v>5</x:v>
      </x:c>
      <x:c r="M73" s="3">
        <x:v>0</x:v>
      </x:c>
      <x:c r="N73" s="3">
        <x:v>0</x:v>
      </x:c>
      <x:c r="O73" s="6">
        <x:v>0.17</x:v>
      </x:c>
      <x:c r="P73" s="4" t="e">
        <x:f>HYPERLINK("https://github.com/kapiltrip/hdlBits/blob/main/study/problems/Day%2003/057-gatesv.md","Note")</x:f>
        <x:v>HYPERLINK is not implemented. linkLocation=https://github.com/kapiltrip/hdlBits/blob/main/study/problems/Day%2003/057-gatesv.md, friendlyName=Note</x:v>
      </x:c>
      <x:c r="Q73" s="4" t="e">
        <x:f>HYPERLINK("https://github.com/kapiltrip/hdlBits/blob/main/study/images/Day%2003/057-gatesv.png","Image")</x:f>
        <x:v>HYPERLINK is not implemented. linkLocation=https://github.com/kapiltrip/hdlBits/blob/main/study/images/Day%2003/057-gatesv.png, friendlyName=Image</x:v>
      </x:c>
      <x:c r="R73" s="4" t="e">
        <x:f>HYPERLINK("https://github.com/kapiltrip/hdlBits/blob/main/study/solutions/Day%2003/057-gatesv.sv","Code")</x:f>
        <x:v>HYPERLINK is not implemented. linkLocation=https://github.com/kapiltrip/hdlBits/blob/main/study/solutions/Day%2003/057-gatesv.sv, friendlyName=Code</x:v>
      </x:c>
      <x:c r="S73" s="4" t="e">
        <x:f>HYPERLINK("https://hdlbits.01xz.net/wiki/gatesv","HDLBits")</x:f>
        <x:v>HYPERLINK is not implemented. linkLocation=https://hdlbits.01xz.net/wiki/gatesv, friendlyName=HDLBits</x:v>
      </x:c>
      <x:c r="T73" s="2" t="s">
        <x:v>298</x:v>
      </x:c>
      <x:c r="U73" s="2"/>
    </x:row>
    <x:row r="74" ht="34.04999923706055" customHeight="1">
      <x:c r="A74" s="7">
        <x:v>60</x:v>
      </x:c>
      <x:c r="B74" s="7" t="n">
        <x:v>58</x:v>
      </x:c>
      <x:c r="C74" s="8" t="s">
        <x:v>27</x:v>
      </x:c>
      <x:c r="D74" s="8" t="s">
        <x:v>28</x:v>
      </x:c>
      <x:c r="E74" s="8" t="s">
        <x:v>299</x:v>
      </x:c>
      <x:c r="F74" s="8" t="s">
        <x:v>300</x:v>
      </x:c>
      <x:c r="G74" s="7" t="s">
        <x:v>1</x:v>
      </x:c>
      <x:c r="H74" s="7" t="str">
        <x:v>Day 03</x:v>
      </x:c>
      <x:c r="I74" s="55">
        <x:v>46198</x:v>
      </x:c>
      <x:c r="J74" s="7" t="s">
        <x:v>301</x:v>
      </x:c>
      <x:c r="K74" s="7">
        <x:v>1</x:v>
      </x:c>
      <x:c r="L74" s="7">
        <x:v>0</x:v>
      </x:c>
      <x:c r="M74" s="7">
        <x:v>0</x:v>
      </x:c>
      <x:c r="N74" s="7">
        <x:v>0</x:v>
      </x:c>
      <x:c r="O74" s="10">
        <x:v>1</x:v>
      </x:c>
      <x:c r="P74" s="11" t="e">
        <x:f>HYPERLINK("https://github.com/kapiltrip/hdlBits/blob/main/study/problems/Day%2003/058-gatesv100.md","Note")</x:f>
        <x:v>HYPERLINK is not implemented. linkLocation=https://github.com/kapiltrip/hdlBits/blob/main/study/problems/Day%2003/058-gatesv100.md, friendlyName=Note</x:v>
      </x:c>
      <x:c r="Q74" s="11" t="e">
        <x:f>HYPERLINK("https://github.com/kapiltrip/hdlBits/blob/main/study/images/Day%2003/058-gatesv100.png","Image")</x:f>
        <x:v>HYPERLINK is not implemented. linkLocation=https://github.com/kapiltrip/hdlBits/blob/main/study/images/Day%2003/058-gatesv100.png, friendlyName=Image</x:v>
      </x:c>
      <x:c r="R74" s="11" t="e">
        <x:f>HYPERLINK("https://github.com/kapiltrip/hdlBits/blob/main/study/solutions/Day%2003/058-gatesv100.sv","Code")</x:f>
        <x:v>HYPERLINK is not implemented. linkLocation=https://github.com/kapiltrip/hdlBits/blob/main/study/solutions/Day%2003/058-gatesv100.sv, friendlyName=Code</x:v>
      </x:c>
      <x:c r="S74" s="11" t="e">
        <x:f>HYPERLINK("https://hdlbits.01xz.net/wiki/gatesv100","HDLBits")</x:f>
        <x:v>HYPERLINK is not implemented. linkLocation=https://hdlbits.01xz.net/wiki/gatesv100, friendlyName=HDLBits</x:v>
      </x:c>
      <x:c r="T74" s="8" t="s">
        <x:v>302</x:v>
      </x:c>
      <x:c r="U74" s="8"/>
    </x:row>
    <x:row r="75" ht="22.049999237060547" customHeight="1">
      <x:c r="A75" s="44" t="s">
        <x:v>303</x:v>
      </x:c>
      <x:c r="B75" s="44"/>
      <x:c r="C75" s="44"/>
      <x:c r="D75" s="44"/>
      <x:c r="E75" s="44"/>
      <x:c r="F75" s="44"/>
      <x:c r="G75" s="44"/>
      <x:c r="H75" s="44"/>
      <x:c r="I75" s="60"/>
      <x:c r="J75" s="44"/>
      <x:c r="K75" s="44"/>
      <x:c r="L75" s="44"/>
      <x:c r="M75" s="44"/>
      <x:c r="N75" s="44"/>
      <x:c r="O75" s="46"/>
      <x:c r="P75" s="44"/>
      <x:c r="Q75" s="44"/>
      <x:c r="R75" s="44"/>
      <x:c r="S75" s="44"/>
      <x:c r="T75" s="44"/>
      <x:c r="U75" s="44"/>
    </x:row>
    <x:row r="76" ht="34.04999923706055" customHeight="1">
      <x:c r="A76" s="3">
        <x:v>61</x:v>
      </x:c>
      <x:c r="B76" s="3" t="n">
        <x:v>59</x:v>
      </x:c>
      <x:c r="C76" s="2" t="s">
        <x:v>27</x:v>
      </x:c>
      <x:c r="D76" s="2" t="s">
        <x:v>30</x:v>
      </x:c>
      <x:c r="E76" s="2" t="s">
        <x:v>304</x:v>
      </x:c>
      <x:c r="F76" s="2" t="s">
        <x:v>305</x:v>
      </x:c>
      <x:c r="G76" s="3" t="s">
        <x:v>1</x:v>
      </x:c>
      <x:c r="H76" s="3" t="str">
        <x:v>Day 03</x:v>
      </x:c>
      <x:c r="I76" s="56">
        <x:v>46198</x:v>
      </x:c>
      <x:c r="J76" s="3" t="s">
        <x:v>306</x:v>
      </x:c>
      <x:c r="K76" s="3">
        <x:v>1</x:v>
      </x:c>
      <x:c r="L76" s="3">
        <x:v>0</x:v>
      </x:c>
      <x:c r="M76" s="3">
        <x:v>0</x:v>
      </x:c>
      <x:c r="N76" s="3">
        <x:v>0</x:v>
      </x:c>
      <x:c r="O76" s="6">
        <x:v>1</x:v>
      </x:c>
      <x:c r="P76" s="4" t="e">
        <x:f>HYPERLINK("https://github.com/kapiltrip/hdlBits/blob/main/study/problems/Day%2003/059-mux2to1.md","Note")</x:f>
        <x:v>HYPERLINK is not implemented. linkLocation=https://github.com/kapiltrip/hdlBits/blob/main/study/problems/Day%2003/059-mux2to1.md, friendlyName=Note</x:v>
      </x:c>
      <x:c r="Q76" s="4" t="e">
        <x:f>HYPERLINK("https://github.com/kapiltrip/hdlBits/blob/main/study/images/Day%2003/059-mux2to1.png","Image")</x:f>
        <x:v>HYPERLINK is not implemented. linkLocation=https://github.com/kapiltrip/hdlBits/blob/main/study/images/Day%2003/059-mux2to1.png, friendlyName=Image</x:v>
      </x:c>
      <x:c r="R76" s="4" t="e">
        <x:f>HYPERLINK("https://github.com/kapiltrip/hdlBits/blob/main/study/solutions/Day%2003/059-mux2to1.sv","Code")</x:f>
        <x:v>HYPERLINK is not implemented. linkLocation=https://github.com/kapiltrip/hdlBits/blob/main/study/solutions/Day%2003/059-mux2to1.sv, friendlyName=Code</x:v>
      </x:c>
      <x:c r="S76" s="4" t="e">
        <x:f>HYPERLINK("https://hdlbits.01xz.net/wiki/mux2to1","HDLBits")</x:f>
        <x:v>HYPERLINK is not implemented. linkLocation=https://hdlbits.01xz.net/wiki/mux2to1, friendlyName=HDLBits</x:v>
      </x:c>
      <x:c r="T76" s="2" t="s">
        <x:v>307</x:v>
      </x:c>
      <x:c r="U76" s="2"/>
    </x:row>
    <x:row r="77" ht="34.04999923706055" customHeight="1">
      <x:c r="A77" s="7">
        <x:v>62</x:v>
      </x:c>
      <x:c r="B77" s="7" t="n">
        <x:v>60</x:v>
      </x:c>
      <x:c r="C77" s="8" t="s">
        <x:v>27</x:v>
      </x:c>
      <x:c r="D77" s="8" t="s">
        <x:v>30</x:v>
      </x:c>
      <x:c r="E77" s="8" t="s">
        <x:v>308</x:v>
      </x:c>
      <x:c r="F77" s="8" t="s">
        <x:v>309</x:v>
      </x:c>
      <x:c r="G77" s="7" t="s">
        <x:v>1</x:v>
      </x:c>
      <x:c r="H77" s="7" t="str">
        <x:v>Day 03</x:v>
      </x:c>
      <x:c r="I77" s="55">
        <x:v>46198</x:v>
      </x:c>
      <x:c r="J77" s="7" t="s">
        <x:v>310</x:v>
      </x:c>
      <x:c r="K77" s="7">
        <x:v>1</x:v>
      </x:c>
      <x:c r="L77" s="7">
        <x:v>0</x:v>
      </x:c>
      <x:c r="M77" s="7">
        <x:v>0</x:v>
      </x:c>
      <x:c r="N77" s="7">
        <x:v>0</x:v>
      </x:c>
      <x:c r="O77" s="10">
        <x:v>1</x:v>
      </x:c>
      <x:c r="P77" s="11" t="e">
        <x:f>HYPERLINK("https://github.com/kapiltrip/hdlBits/blob/main/study/problems/Day%2003/060-mux2to1v.md","Note")</x:f>
        <x:v>HYPERLINK is not implemented. linkLocation=https://github.com/kapiltrip/hdlBits/blob/main/study/problems/Day%2003/060-mux2to1v.md, friendlyName=Note</x:v>
      </x:c>
      <x:c r="Q77" s="11" t="e">
        <x:f>HYPERLINK("https://github.com/kapiltrip/hdlBits/blob/main/study/images/Day%2003/060-mux2to1v.png","Image")</x:f>
        <x:v>HYPERLINK is not implemented. linkLocation=https://github.com/kapiltrip/hdlBits/blob/main/study/images/Day%2003/060-mux2to1v.png, friendlyName=Image</x:v>
      </x:c>
      <x:c r="R77" s="11" t="e">
        <x:f>HYPERLINK("https://github.com/kapiltrip/hdlBits/blob/main/study/solutions/Day%2003/060-mux2to1v.sv","Code")</x:f>
        <x:v>HYPERLINK is not implemented. linkLocation=https://github.com/kapiltrip/hdlBits/blob/main/study/solutions/Day%2003/060-mux2to1v.sv, friendlyName=Code</x:v>
      </x:c>
      <x:c r="S77" s="11" t="e">
        <x:f>HYPERLINK("https://hdlbits.01xz.net/wiki/mux2to1v","HDLBits")</x:f>
        <x:v>HYPERLINK is not implemented. linkLocation=https://hdlbits.01xz.net/wiki/mux2to1v, friendlyName=HDLBits</x:v>
      </x:c>
      <x:c r="T77" s="8" t="s">
        <x:v>311</x:v>
      </x:c>
      <x:c r="U77" s="8"/>
    </x:row>
    <x:row r="78" ht="34.04999923706055" customHeight="1">
      <x:c r="A78" s="3">
        <x:v>63</x:v>
      </x:c>
      <x:c r="B78" s="3" t="n">
        <x:v>61</x:v>
      </x:c>
      <x:c r="C78" s="2" t="s">
        <x:v>27</x:v>
      </x:c>
      <x:c r="D78" s="2" t="s">
        <x:v>30</x:v>
      </x:c>
      <x:c r="E78" s="2" t="s">
        <x:v>312</x:v>
      </x:c>
      <x:c r="F78" s="2" t="s">
        <x:v>313</x:v>
      </x:c>
      <x:c r="G78" s="3" t="s">
        <x:v>1</x:v>
      </x:c>
      <x:c r="H78" s="3" t="str">
        <x:v>Day 03</x:v>
      </x:c>
      <x:c r="I78" s="56">
        <x:v>46198</x:v>
      </x:c>
      <x:c r="J78" s="3" t="s">
        <x:v>314</x:v>
      </x:c>
      <x:c r="K78" s="3">
        <x:v>10</x:v>
      </x:c>
      <x:c r="L78" s="3">
        <x:v>7</x:v>
      </x:c>
      <x:c r="M78" s="3">
        <x:v>2</x:v>
      </x:c>
      <x:c r="N78" s="3">
        <x:v>0</x:v>
      </x:c>
      <x:c r="O78" s="6">
        <x:v>0.1</x:v>
      </x:c>
      <x:c r="P78" s="4" t="e">
        <x:f>HYPERLINK("https://github.com/kapiltrip/hdlBits/blob/main/study/problems/Day%2003/061-mux9to1v.md","Note")</x:f>
        <x:v>HYPERLINK is not implemented. linkLocation=https://github.com/kapiltrip/hdlBits/blob/main/study/problems/Day%2003/061-mux9to1v.md, friendlyName=Note</x:v>
      </x:c>
      <x:c r="Q78" s="4" t="e">
        <x:f>HYPERLINK("https://github.com/kapiltrip/hdlBits/blob/main/study/images/Day%2003/061-mux9to1v.png","Image")</x:f>
        <x:v>HYPERLINK is not implemented. linkLocation=https://github.com/kapiltrip/hdlBits/blob/main/study/images/Day%2003/061-mux9to1v.png, friendlyName=Image</x:v>
      </x:c>
      <x:c r="R78" s="4" t="e">
        <x:f>HYPERLINK("https://github.com/kapiltrip/hdlBits/blob/main/study/solutions/Day%2003/061-mux9to1v.sv","Code")</x:f>
        <x:v>HYPERLINK is not implemented. linkLocation=https://github.com/kapiltrip/hdlBits/blob/main/study/solutions/Day%2003/061-mux9to1v.sv, friendlyName=Code</x:v>
      </x:c>
      <x:c r="S78" s="4" t="e">
        <x:f>HYPERLINK("https://hdlbits.01xz.net/wiki/mux9to1v","HDLBits")</x:f>
        <x:v>HYPERLINK is not implemented. linkLocation=https://hdlbits.01xz.net/wiki/mux9to1v, friendlyName=HDLBits</x:v>
      </x:c>
      <x:c r="T78" s="2" t="s">
        <x:v>315</x:v>
      </x:c>
      <x:c r="U78" s="2"/>
    </x:row>
    <x:row r="79" ht="34.04999923706055" customHeight="1">
      <x:c r="A79" s="7">
        <x:v>64</x:v>
      </x:c>
      <x:c r="B79" s="7" t="n">
        <x:v>62</x:v>
      </x:c>
      <x:c r="C79" s="8" t="s">
        <x:v>27</x:v>
      </x:c>
      <x:c r="D79" s="8" t="s">
        <x:v>30</x:v>
      </x:c>
      <x:c r="E79" s="8" t="s">
        <x:v>316</x:v>
      </x:c>
      <x:c r="F79" s="8" t="s">
        <x:v>317</x:v>
      </x:c>
      <x:c r="G79" s="7" t="s">
        <x:v>1</x:v>
      </x:c>
      <x:c r="H79" s="7" t="str">
        <x:v>Day 03</x:v>
      </x:c>
      <x:c r="I79" s="55">
        <x:v>46198</x:v>
      </x:c>
      <x:c r="J79" s="7" t="s">
        <x:v>318</x:v>
      </x:c>
      <x:c r="K79" s="7">
        <x:v>1</x:v>
      </x:c>
      <x:c r="L79" s="7">
        <x:v>0</x:v>
      </x:c>
      <x:c r="M79" s="7">
        <x:v>0</x:v>
      </x:c>
      <x:c r="N79" s="7">
        <x:v>0</x:v>
      </x:c>
      <x:c r="O79" s="10">
        <x:v>1</x:v>
      </x:c>
      <x:c r="P79" s="11" t="e">
        <x:f>HYPERLINK("https://github.com/kapiltrip/hdlBits/blob/main/study/problems/Day%2003/062-mux256to1.md","Note")</x:f>
        <x:v>HYPERLINK is not implemented. linkLocation=https://github.com/kapiltrip/hdlBits/blob/main/study/problems/Day%2003/062-mux256to1.md, friendlyName=Note</x:v>
      </x:c>
      <x:c r="Q79" s="11" t="e">
        <x:f>HYPERLINK("https://github.com/kapiltrip/hdlBits/blob/main/study/images/Day%2003/062-mux256to1.png","Image")</x:f>
        <x:v>HYPERLINK is not implemented. linkLocation=https://github.com/kapiltrip/hdlBits/blob/main/study/images/Day%2003/062-mux256to1.png, friendlyName=Image</x:v>
      </x:c>
      <x:c r="R79" s="11" t="e">
        <x:f>HYPERLINK("https://github.com/kapiltrip/hdlBits/blob/main/study/solutions/Day%2003/062-mux256to1.sv","Code")</x:f>
        <x:v>HYPERLINK is not implemented. linkLocation=https://github.com/kapiltrip/hdlBits/blob/main/study/solutions/Day%2003/062-mux256to1.sv, friendlyName=Code</x:v>
      </x:c>
      <x:c r="S79" s="11" t="e">
        <x:f>HYPERLINK("https://hdlbits.01xz.net/wiki/mux256to1","HDLBits")</x:f>
        <x:v>HYPERLINK is not implemented. linkLocation=https://hdlbits.01xz.net/wiki/mux256to1, friendlyName=HDLBits</x:v>
      </x:c>
      <x:c r="T79" s="8" t="s">
        <x:v>319</x:v>
      </x:c>
      <x:c r="U79" s="8"/>
    </x:row>
    <x:row r="80" ht="34.04999923706055" customHeight="1">
      <x:c r="A80" s="3">
        <x:v>65</x:v>
      </x:c>
      <x:c r="B80" s="3" t="n">
        <x:v>63</x:v>
      </x:c>
      <x:c r="C80" s="2" t="s">
        <x:v>27</x:v>
      </x:c>
      <x:c r="D80" s="2" t="s">
        <x:v>30</x:v>
      </x:c>
      <x:c r="E80" s="2" t="s">
        <x:v>320</x:v>
      </x:c>
      <x:c r="F80" s="2" t="s">
        <x:v>321</x:v>
      </x:c>
      <x:c r="G80" s="3" t="s">
        <x:v>1</x:v>
      </x:c>
      <x:c r="H80" s="3" t="str">
        <x:v>Day 03</x:v>
      </x:c>
      <x:c r="I80" s="56">
        <x:v>46198</x:v>
      </x:c>
      <x:c r="J80" s="3" t="s">
        <x:v>322</x:v>
      </x:c>
      <x:c r="K80" s="3">
        <x:v>1</x:v>
      </x:c>
      <x:c r="L80" s="3">
        <x:v>0</x:v>
      </x:c>
      <x:c r="M80" s="3">
        <x:v>0</x:v>
      </x:c>
      <x:c r="N80" s="3">
        <x:v>0</x:v>
      </x:c>
      <x:c r="O80" s="6">
        <x:v>1</x:v>
      </x:c>
      <x:c r="P80" s="4" t="e">
        <x:f>HYPERLINK("https://github.com/kapiltrip/hdlBits/blob/main/study/problems/Day%2003/063-mux256to1v.md","Note")</x:f>
        <x:v>HYPERLINK is not implemented. linkLocation=https://github.com/kapiltrip/hdlBits/blob/main/study/problems/Day%2003/063-mux256to1v.md, friendlyName=Note</x:v>
      </x:c>
      <x:c r="Q80" s="4" t="e">
        <x:f>HYPERLINK("https://github.com/kapiltrip/hdlBits/blob/main/study/images/Day%2003/063-mux256to1v.png","Image")</x:f>
        <x:v>HYPERLINK is not implemented. linkLocation=https://github.com/kapiltrip/hdlBits/blob/main/study/images/Day%2003/063-mux256to1v.png, friendlyName=Image</x:v>
      </x:c>
      <x:c r="R80" s="4" t="e">
        <x:f>HYPERLINK("https://github.com/kapiltrip/hdlBits/blob/main/study/solutions/Day%2003/063-mux256to1v.sv","Code")</x:f>
        <x:v>HYPERLINK is not implemented. linkLocation=https://github.com/kapiltrip/hdlBits/blob/main/study/solutions/Day%2003/063-mux256to1v.sv, friendlyName=Code</x:v>
      </x:c>
      <x:c r="S80" s="4" t="e">
        <x:f>HYPERLINK("https://hdlbits.01xz.net/wiki/mux256to1v","HDLBits")</x:f>
        <x:v>HYPERLINK is not implemented. linkLocation=https://hdlbits.01xz.net/wiki/mux256to1v, friendlyName=HDLBits</x:v>
      </x:c>
      <x:c r="T80" s="2" t="s">
        <x:v>323</x:v>
      </x:c>
      <x:c r="U80" s="2"/>
    </x:row>
    <x:row r="81" ht="22.049999237060547" customHeight="1">
      <x:c r="A81" s="44" t="s">
        <x:v>324</x:v>
      </x:c>
      <x:c r="B81" s="44"/>
      <x:c r="C81" s="44"/>
      <x:c r="D81" s="44"/>
      <x:c r="E81" s="44"/>
      <x:c r="F81" s="44"/>
      <x:c r="G81" s="44"/>
      <x:c r="H81" s="44"/>
      <x:c r="I81" s="60"/>
      <x:c r="J81" s="44"/>
      <x:c r="K81" s="44"/>
      <x:c r="L81" s="44"/>
      <x:c r="M81" s="44"/>
      <x:c r="N81" s="44"/>
      <x:c r="O81" s="46"/>
      <x:c r="P81" s="44"/>
      <x:c r="Q81" s="44"/>
      <x:c r="R81" s="44"/>
      <x:c r="S81" s="44"/>
      <x:c r="T81" s="44"/>
      <x:c r="U81" s="44"/>
    </x:row>
    <x:row r="82" ht="34.04999923706055" customHeight="1">
      <x:c r="A82" s="7">
        <x:v>66</x:v>
      </x:c>
      <x:c r="B82" s="7" t="n">
        <x:v>64</x:v>
      </x:c>
      <x:c r="C82" s="8" t="s">
        <x:v>27</x:v>
      </x:c>
      <x:c r="D82" s="8" t="s">
        <x:v>32</x:v>
      </x:c>
      <x:c r="E82" s="8" t="s">
        <x:v>325</x:v>
      </x:c>
      <x:c r="F82" s="8" t="s">
        <x:v>326</x:v>
      </x:c>
      <x:c r="G82" s="7" t="s">
        <x:v>1</x:v>
      </x:c>
      <x:c r="H82" s="7" t="str">
        <x:v>Day 03</x:v>
      </x:c>
      <x:c r="I82" s="55">
        <x:v>46198</x:v>
      </x:c>
      <x:c r="J82" s="7" t="s">
        <x:v>327</x:v>
      </x:c>
      <x:c r="K82" s="7">
        <x:v>1</x:v>
      </x:c>
      <x:c r="L82" s="7">
        <x:v>0</x:v>
      </x:c>
      <x:c r="M82" s="7">
        <x:v>0</x:v>
      </x:c>
      <x:c r="N82" s="7">
        <x:v>0</x:v>
      </x:c>
      <x:c r="O82" s="10">
        <x:v>1</x:v>
      </x:c>
      <x:c r="P82" s="11" t="e">
        <x:f>HYPERLINK("https://github.com/kapiltrip/hdlBits/blob/main/study/problems/Day%2003/064-hadd.md","Note")</x:f>
        <x:v>HYPERLINK is not implemented. linkLocation=https://github.com/kapiltrip/hdlBits/blob/main/study/problems/Day%2003/064-hadd.md, friendlyName=Note</x:v>
      </x:c>
      <x:c r="Q82" s="11" t="e">
        <x:f>HYPERLINK("https://github.com/kapiltrip/hdlBits/blob/main/study/images/Day%2003/064-hadd.png","Image")</x:f>
        <x:v>HYPERLINK is not implemented. linkLocation=https://github.com/kapiltrip/hdlBits/blob/main/study/images/Day%2003/064-hadd.png, friendlyName=Image</x:v>
      </x:c>
      <x:c r="R82" s="11" t="e">
        <x:f>HYPERLINK("https://github.com/kapiltrip/hdlBits/blob/main/study/solutions/Day%2003/064-hadd.sv","Code")</x:f>
        <x:v>HYPERLINK is not implemented. linkLocation=https://github.com/kapiltrip/hdlBits/blob/main/study/solutions/Day%2003/064-hadd.sv, friendlyName=Code</x:v>
      </x:c>
      <x:c r="S82" s="11" t="e">
        <x:f>HYPERLINK("https://hdlbits.01xz.net/wiki/hadd","HDLBits")</x:f>
        <x:v>HYPERLINK is not implemented. linkLocation=https://hdlbits.01xz.net/wiki/hadd, friendlyName=HDLBits</x:v>
      </x:c>
      <x:c r="T82" s="8" t="s">
        <x:v>328</x:v>
      </x:c>
      <x:c r="U82" s="8"/>
    </x:row>
    <x:row r="83" ht="34.04999923706055" customHeight="1">
      <x:c r="A83" s="3">
        <x:v>67</x:v>
      </x:c>
      <x:c r="B83" s="3" t="n">
        <x:v>65</x:v>
      </x:c>
      <x:c r="C83" s="2" t="s">
        <x:v>27</x:v>
      </x:c>
      <x:c r="D83" s="2" t="s">
        <x:v>32</x:v>
      </x:c>
      <x:c r="E83" s="2" t="s">
        <x:v>329</x:v>
      </x:c>
      <x:c r="F83" s="2" t="s">
        <x:v>330</x:v>
      </x:c>
      <x:c r="G83" s="3" t="s">
        <x:v>1</x:v>
      </x:c>
      <x:c r="H83" s="3" t="str">
        <x:v>Day 02</x:v>
      </x:c>
      <x:c r="I83" s="56">
        <x:v>46197</x:v>
      </x:c>
      <x:c r="J83" s="3" t="s">
        <x:v>331</x:v>
      </x:c>
      <x:c r="K83" s="3">
        <x:v>1</x:v>
      </x:c>
      <x:c r="L83" s="3">
        <x:v>0</x:v>
      </x:c>
      <x:c r="M83" s="3">
        <x:v>0</x:v>
      </x:c>
      <x:c r="N83" s="3">
        <x:v>0</x:v>
      </x:c>
      <x:c r="O83" s="6">
        <x:v>1</x:v>
      </x:c>
      <x:c r="P83" s="4" t="e">
        <x:f>HYPERLINK("https://github.com/kapiltrip/hdlBits/blob/main/study/problems/Day%2002/065-fadd.md","Note")</x:f>
        <x:v>HYPERLINK is not implemented. linkLocation=https://github.com/kapiltrip/hdlBits/blob/main/study/problems/Day%2002/065-fadd.md, friendlyName=Note</x:v>
      </x:c>
      <x:c r="Q83" s="4" t="e">
        <x:f>HYPERLINK("https://github.com/kapiltrip/hdlBits/blob/main/study/images/Day%2002/065-fadd.png","Image")</x:f>
        <x:v>HYPERLINK is not implemented. linkLocation=https://github.com/kapiltrip/hdlBits/blob/main/study/images/Day%2002/065-fadd.png, friendlyName=Image</x:v>
      </x:c>
      <x:c r="R83" s="4" t="e">
        <x:f>HYPERLINK("https://github.com/kapiltrip/hdlBits/blob/main/study/solutions/Day%2002/065-fadd.sv","Code")</x:f>
        <x:v>HYPERLINK is not implemented. linkLocation=https://github.com/kapiltrip/hdlBits/blob/main/study/solutions/Day%2002/065-fadd.sv, friendlyName=Code</x:v>
      </x:c>
      <x:c r="S83" s="4" t="e">
        <x:f>HYPERLINK("https://hdlbits.01xz.net/wiki/fadd","HDLBits")</x:f>
        <x:v>HYPERLINK is not implemented. linkLocation=https://hdlbits.01xz.net/wiki/fadd, friendlyName=HDLBits</x:v>
      </x:c>
      <x:c r="T83" s="2" t="s">
        <x:v>332</x:v>
      </x:c>
      <x:c r="U83" s="2"/>
    </x:row>
    <x:row r="84" ht="34.04999923706055" customHeight="1">
      <x:c r="A84" s="7">
        <x:v>68</x:v>
      </x:c>
      <x:c r="B84" s="7" t="n">
        <x:v>66</x:v>
      </x:c>
      <x:c r="C84" s="8" t="s">
        <x:v>27</x:v>
      </x:c>
      <x:c r="D84" s="8" t="s">
        <x:v>32</x:v>
      </x:c>
      <x:c r="E84" s="8" t="s">
        <x:v>333</x:v>
      </x:c>
      <x:c r="F84" s="8" t="s">
        <x:v>334</x:v>
      </x:c>
      <x:c r="G84" s="7" t="s">
        <x:v>1</x:v>
      </x:c>
      <x:c r="H84" s="7" t="str">
        <x:v>Day 03</x:v>
      </x:c>
      <x:c r="I84" s="55">
        <x:v>46198</x:v>
      </x:c>
      <x:c r="J84" s="7" t="s">
        <x:v>335</x:v>
      </x:c>
      <x:c r="K84" s="7">
        <x:v>3</x:v>
      </x:c>
      <x:c r="L84" s="7">
        <x:v>1</x:v>
      </x:c>
      <x:c r="M84" s="7">
        <x:v>1</x:v>
      </x:c>
      <x:c r="N84" s="7">
        <x:v>0</x:v>
      </x:c>
      <x:c r="O84" s="10">
        <x:v>0.33</x:v>
      </x:c>
      <x:c r="P84" s="11" t="e">
        <x:f>HYPERLINK("https://github.com/kapiltrip/hdlBits/blob/main/study/problems/Day%2003/066-adder3.md","Note")</x:f>
        <x:v>HYPERLINK is not implemented. linkLocation=https://github.com/kapiltrip/hdlBits/blob/main/study/problems/Day%2003/066-adder3.md, friendlyName=Note</x:v>
      </x:c>
      <x:c r="Q84" s="11" t="e">
        <x:f>HYPERLINK("https://github.com/kapiltrip/hdlBits/blob/main/study/images/Day%2003/066-adder3.png","Image")</x:f>
        <x:v>HYPERLINK is not implemented. linkLocation=https://github.com/kapiltrip/hdlBits/blob/main/study/images/Day%2003/066-adder3.png, friendlyName=Image</x:v>
      </x:c>
      <x:c r="R84" s="11" t="e">
        <x:f>HYPERLINK("https://github.com/kapiltrip/hdlBits/blob/main/study/solutions/Day%2003/066-adder3.sv","Code")</x:f>
        <x:v>HYPERLINK is not implemented. linkLocation=https://github.com/kapiltrip/hdlBits/blob/main/study/solutions/Day%2003/066-adder3.sv, friendlyName=Code</x:v>
      </x:c>
      <x:c r="S84" s="11" t="e">
        <x:f>HYPERLINK("https://hdlbits.01xz.net/wiki/adder3","HDLBits")</x:f>
        <x:v>HYPERLINK is not implemented. linkLocation=https://hdlbits.01xz.net/wiki/adder3, friendlyName=HDLBits</x:v>
      </x:c>
      <x:c r="T84" s="8" t="s">
        <x:v>336</x:v>
      </x:c>
      <x:c r="U84" s="8"/>
    </x:row>
    <x:row r="85" ht="34.04999923706055" customHeight="1">
      <x:c r="A85" s="3">
        <x:v>69</x:v>
      </x:c>
      <x:c r="B85" s="3" t="n">
        <x:v>67</x:v>
      </x:c>
      <x:c r="C85" s="2" t="s">
        <x:v>27</x:v>
      </x:c>
      <x:c r="D85" s="2" t="s">
        <x:v>32</x:v>
      </x:c>
      <x:c r="E85" s="2" t="s">
        <x:v>337</x:v>
      </x:c>
      <x:c r="F85" s="2" t="s">
        <x:v>338</x:v>
      </x:c>
      <x:c r="G85" s="3" t="s">
        <x:v>1</x:v>
      </x:c>
      <x:c r="H85" s="3" t="str">
        <x:v>Day 03</x:v>
      </x:c>
      <x:c r="I85" s="56">
        <x:v>46198</x:v>
      </x:c>
      <x:c r="J85" s="3" t="s">
        <x:v>339</x:v>
      </x:c>
      <x:c r="K85" s="3">
        <x:v>4</x:v>
      </x:c>
      <x:c r="L85" s="3">
        <x:v>0</x:v>
      </x:c>
      <x:c r="M85" s="3">
        <x:v>3</x:v>
      </x:c>
      <x:c r="N85" s="3">
        <x:v>0</x:v>
      </x:c>
      <x:c r="O85" s="6">
        <x:v>0.25</x:v>
      </x:c>
      <x:c r="P85" s="4" t="e">
        <x:f>HYPERLINK("https://github.com/kapiltrip/hdlBits/blob/main/study/problems/Day%2003/067-exams__m2014_q4j.md","Note")</x:f>
        <x:v>HYPERLINK is not implemented. linkLocation=https://github.com/kapiltrip/hdlBits/blob/main/study/problems/Day%2003/067-exams__m2014_q4j.md, friendlyName=Note</x:v>
      </x:c>
      <x:c r="Q85" s="4" t="e">
        <x:f>HYPERLINK("https://github.com/kapiltrip/hdlBits/blob/main/study/images/Day%2003/067-exams__m2014_q4j.png","Image")</x:f>
        <x:v>HYPERLINK is not implemented. linkLocation=https://github.com/kapiltrip/hdlBits/blob/main/study/images/Day%2003/067-exams__m2014_q4j.png, friendlyName=Image</x:v>
      </x:c>
      <x:c r="R85" s="4" t="e">
        <x:f>HYPERLINK("https://github.com/kapiltrip/hdlBits/blob/main/study/solutions/Day%2003/067-exams__m2014_q4j.sv","Code")</x:f>
        <x:v>HYPERLINK is not implemented. linkLocation=https://github.com/kapiltrip/hdlBits/blob/main/study/solutions/Day%2003/067-exams__m2014_q4j.sv, friendlyName=Code</x:v>
      </x:c>
      <x:c r="S85" s="4" t="e">
        <x:f>HYPERLINK("https://hdlbits.01xz.net/wiki/exams/m2014_q4j","HDLBits")</x:f>
        <x:v>HYPERLINK is not implemented. linkLocation=https://hdlbits.01xz.net/wiki/exams/m2014_q4j, friendlyName=HDLBits</x:v>
      </x:c>
      <x:c r="T85" s="2" t="s">
        <x:v>340</x:v>
      </x:c>
      <x:c r="U85" s="2"/>
    </x:row>
    <x:row r="86" ht="34.04999923706055" customHeight="1">
      <x:c r="A86" s="7">
        <x:v>70</x:v>
      </x:c>
      <x:c r="B86" s="7" t="n">
        <x:v>68</x:v>
      </x:c>
      <x:c r="C86" s="8" t="s">
        <x:v>27</x:v>
      </x:c>
      <x:c r="D86" s="8" t="s">
        <x:v>32</x:v>
      </x:c>
      <x:c r="E86" s="8" t="s">
        <x:v>341</x:v>
      </x:c>
      <x:c r="F86" s="8" t="s">
        <x:v>342</x:v>
      </x:c>
      <x:c r="G86" s="7" t="s">
        <x:v>1</x:v>
      </x:c>
      <x:c r="H86" s="7" t="str">
        <x:v>Day 03</x:v>
      </x:c>
      <x:c r="I86" s="55">
        <x:v>46198</x:v>
      </x:c>
      <x:c r="J86" s="7" t="s">
        <x:v>343</x:v>
      </x:c>
      <x:c r="K86" s="7">
        <x:v>1</x:v>
      </x:c>
      <x:c r="L86" s="7">
        <x:v>0</x:v>
      </x:c>
      <x:c r="M86" s="7">
        <x:v>0</x:v>
      </x:c>
      <x:c r="N86" s="7">
        <x:v>0</x:v>
      </x:c>
      <x:c r="O86" s="10">
        <x:v>1</x:v>
      </x:c>
      <x:c r="P86" s="11" t="e">
        <x:f>HYPERLINK("https://github.com/kapiltrip/hdlBits/blob/main/study/problems/Day%2003/068-exams__ece241_2014_q1c.md","Note")</x:f>
        <x:v>HYPERLINK is not implemented. linkLocation=https://github.com/kapiltrip/hdlBits/blob/main/study/problems/Day%2003/068-exams__ece241_2014_q1c.md, friendlyName=Note</x:v>
      </x:c>
      <x:c r="Q86" s="11" t="e">
        <x:f>HYPERLINK("https://github.com/kapiltrip/hdlBits/blob/main/study/images/Day%2003/068-exams__ece241_2014_q1c.png","Image")</x:f>
        <x:v>HYPERLINK is not implemented. linkLocation=https://github.com/kapiltrip/hdlBits/blob/main/study/images/Day%2003/068-exams__ece241_2014_q1c.png, friendlyName=Image</x:v>
      </x:c>
      <x:c r="R86" s="11" t="e">
        <x:f>HYPERLINK("https://github.com/kapiltrip/hdlBits/blob/main/study/solutions/Day%2003/068-exams__ece241_2014_q1c.sv","Code")</x:f>
        <x:v>HYPERLINK is not implemented. linkLocation=https://github.com/kapiltrip/hdlBits/blob/main/study/solutions/Day%2003/068-exams__ece241_2014_q1c.sv, friendlyName=Code</x:v>
      </x:c>
      <x:c r="S86" s="11" t="e">
        <x:f>HYPERLINK("https://hdlbits.01xz.net/wiki/exams/ece241_2014_q1c","HDLBits")</x:f>
        <x:v>HYPERLINK is not implemented. linkLocation=https://hdlbits.01xz.net/wiki/exams/ece241_2014_q1c, friendlyName=HDLBits</x:v>
      </x:c>
      <x:c r="T86" s="8" t="s">
        <x:v>344</x:v>
      </x:c>
      <x:c r="U86" s="8"/>
    </x:row>
    <x:row r="87" ht="34.04999923706055" customHeight="1">
      <x:c r="A87" s="3">
        <x:v>71</x:v>
      </x:c>
      <x:c r="B87" s="3" t="n">
        <x:v>69</x:v>
      </x:c>
      <x:c r="C87" s="2" t="s">
        <x:v>27</x:v>
      </x:c>
      <x:c r="D87" s="2" t="s">
        <x:v>32</x:v>
      </x:c>
      <x:c r="E87" s="2" t="s">
        <x:v>345</x:v>
      </x:c>
      <x:c r="F87" s="2" t="s">
        <x:v>346</x:v>
      </x:c>
      <x:c r="G87" s="3" t="s">
        <x:v>1</x:v>
      </x:c>
      <x:c r="H87" s="3" t="str">
        <x:v>Day 03</x:v>
      </x:c>
      <x:c r="I87" s="56">
        <x:v>46198</x:v>
      </x:c>
      <x:c r="J87" s="3" t="s">
        <x:v>347</x:v>
      </x:c>
      <x:c r="K87" s="3">
        <x:v>2</x:v>
      </x:c>
      <x:c r="L87" s="3">
        <x:v>1</x:v>
      </x:c>
      <x:c r="M87" s="3">
        <x:v>0</x:v>
      </x:c>
      <x:c r="N87" s="3">
        <x:v>0</x:v>
      </x:c>
      <x:c r="O87" s="6">
        <x:v>0.5</x:v>
      </x:c>
      <x:c r="P87" s="4" t="e">
        <x:f>HYPERLINK("https://github.com/kapiltrip/hdlBits/blob/main/study/problems/Day%2003/069-adder100.md","Note")</x:f>
        <x:v>HYPERLINK is not implemented. linkLocation=https://github.com/kapiltrip/hdlBits/blob/main/study/problems/Day%2003/069-adder100.md, friendlyName=Note</x:v>
      </x:c>
      <x:c r="Q87" s="4" t="e">
        <x:f>HYPERLINK("https://github.com/kapiltrip/hdlBits/blob/main/study/images/Day%2003/069-adder100.png","Image")</x:f>
        <x:v>HYPERLINK is not implemented. linkLocation=https://github.com/kapiltrip/hdlBits/blob/main/study/images/Day%2003/069-adder100.png, friendlyName=Image</x:v>
      </x:c>
      <x:c r="R87" s="4" t="e">
        <x:f>HYPERLINK("https://github.com/kapiltrip/hdlBits/blob/main/study/solutions/Day%2003/069-adder100.sv","Code")</x:f>
        <x:v>HYPERLINK is not implemented. linkLocation=https://github.com/kapiltrip/hdlBits/blob/main/study/solutions/Day%2003/069-adder100.sv, friendlyName=Code</x:v>
      </x:c>
      <x:c r="S87" s="4" t="e">
        <x:f>HYPERLINK("https://hdlbits.01xz.net/wiki/adder100","HDLBits")</x:f>
        <x:v>HYPERLINK is not implemented. linkLocation=https://hdlbits.01xz.net/wiki/adder100, friendlyName=HDLBits</x:v>
      </x:c>
      <x:c r="T87" s="2" t="s">
        <x:v>348</x:v>
      </x:c>
      <x:c r="U87" s="2"/>
    </x:row>
    <x:row r="88" ht="34.04999923706055" customHeight="1">
      <x:c r="A88" s="7">
        <x:v>72</x:v>
      </x:c>
      <x:c r="B88" s="7" t="n">
        <x:v>70</x:v>
      </x:c>
      <x:c r="C88" s="8" t="s">
        <x:v>27</x:v>
      </x:c>
      <x:c r="D88" s="8" t="s">
        <x:v>32</x:v>
      </x:c>
      <x:c r="E88" s="8" t="s">
        <x:v>349</x:v>
      </x:c>
      <x:c r="F88" s="8" t="s">
        <x:v>350</x:v>
      </x:c>
      <x:c r="G88" s="7" t="s">
        <x:v>1</x:v>
      </x:c>
      <x:c r="H88" s="7" t="str">
        <x:v>Day 03</x:v>
      </x:c>
      <x:c r="I88" s="55">
        <x:v>46198</x:v>
      </x:c>
      <x:c r="J88" s="7" t="s">
        <x:v>351</x:v>
      </x:c>
      <x:c r="K88" s="7">
        <x:v>2</x:v>
      </x:c>
      <x:c r="L88" s="7">
        <x:v>0</x:v>
      </x:c>
      <x:c r="M88" s="7">
        <x:v>1</x:v>
      </x:c>
      <x:c r="N88" s="7">
        <x:v>0</x:v>
      </x:c>
      <x:c r="O88" s="10">
        <x:v>0.5</x:v>
      </x:c>
      <x:c r="P88" s="11" t="e">
        <x:f>HYPERLINK("https://github.com/kapiltrip/hdlBits/blob/main/study/problems/Day%2003/070-bcdadd4.md","Note")</x:f>
        <x:v>HYPERLINK is not implemented. linkLocation=https://github.com/kapiltrip/hdlBits/blob/main/study/problems/Day%2003/070-bcdadd4.md, friendlyName=Note</x:v>
      </x:c>
      <x:c r="Q88" s="11" t="e">
        <x:f>HYPERLINK("https://github.com/kapiltrip/hdlBits/blob/main/study/images/Day%2003/070-bcdadd4.png","Image")</x:f>
        <x:v>HYPERLINK is not implemented. linkLocation=https://github.com/kapiltrip/hdlBits/blob/main/study/images/Day%2003/070-bcdadd4.png, friendlyName=Image</x:v>
      </x:c>
      <x:c r="R88" s="11" t="e">
        <x:f>HYPERLINK("https://github.com/kapiltrip/hdlBits/blob/main/study/solutions/Day%2003/070-bcdadd4.sv","Code")</x:f>
        <x:v>HYPERLINK is not implemented. linkLocation=https://github.com/kapiltrip/hdlBits/blob/main/study/solutions/Day%2003/070-bcdadd4.sv, friendlyName=Code</x:v>
      </x:c>
      <x:c r="S88" s="11" t="e">
        <x:f>HYPERLINK("https://hdlbits.01xz.net/wiki/bcdadd4","HDLBits")</x:f>
        <x:v>HYPERLINK is not implemented. linkLocation=https://hdlbits.01xz.net/wiki/bcdadd4, friendlyName=HDLBits</x:v>
      </x:c>
      <x:c r="T88" s="8" t="s">
        <x:v>352</x:v>
      </x:c>
      <x:c r="U88" s="8"/>
    </x:row>
    <x:row r="89" ht="22.049999237060547" customHeight="1">
      <x:c r="A89" s="44" t="s">
        <x:v>353</x:v>
      </x:c>
      <x:c r="B89" s="44"/>
      <x:c r="C89" s="44"/>
      <x:c r="D89" s="44"/>
      <x:c r="E89" s="44"/>
      <x:c r="F89" s="44"/>
      <x:c r="G89" s="44"/>
      <x:c r="H89" s="44"/>
      <x:c r="I89" s="60"/>
      <x:c r="J89" s="44"/>
      <x:c r="K89" s="44"/>
      <x:c r="L89" s="44"/>
      <x:c r="M89" s="44"/>
      <x:c r="N89" s="44"/>
      <x:c r="O89" s="46"/>
      <x:c r="P89" s="44"/>
      <x:c r="Q89" s="44"/>
      <x:c r="R89" s="44"/>
      <x:c r="S89" s="44"/>
      <x:c r="T89" s="44"/>
      <x:c r="U89" s="44"/>
    </x:row>
    <x:row r="90" ht="34.04999923706055" customHeight="1">
      <x:c r="A90" s="3">
        <x:v>73</x:v>
      </x:c>
      <x:c r="B90" s="3" t="n">
        <x:v>71</x:v>
      </x:c>
      <x:c r="C90" s="2" t="s">
        <x:v>27</x:v>
      </x:c>
      <x:c r="D90" s="2" t="s">
        <x:v>33</x:v>
      </x:c>
      <x:c r="E90" s="2" t="s">
        <x:v>354</x:v>
      </x:c>
      <x:c r="F90" s="2" t="s">
        <x:v>355</x:v>
      </x:c>
      <x:c r="G90" s="3" t="s">
        <x:v>1</x:v>
      </x:c>
      <x:c r="H90" s="3" t="str">
        <x:v>Day 03</x:v>
      </x:c>
      <x:c r="I90" s="56">
        <x:v>46198</x:v>
      </x:c>
      <x:c r="J90" s="3" t="s">
        <x:v>356</x:v>
      </x:c>
      <x:c r="K90" s="3">
        <x:v>1</x:v>
      </x:c>
      <x:c r="L90" s="3">
        <x:v>0</x:v>
      </x:c>
      <x:c r="M90" s="3">
        <x:v>0</x:v>
      </x:c>
      <x:c r="N90" s="3">
        <x:v>0</x:v>
      </x:c>
      <x:c r="O90" s="6">
        <x:v>1</x:v>
      </x:c>
      <x:c r="P90" s="4" t="e">
        <x:f>HYPERLINK("https://github.com/kapiltrip/hdlBits/blob/main/study/problems/Day%2003/071-kmap1.md","Note")</x:f>
        <x:v>HYPERLINK is not implemented. linkLocation=https://github.com/kapiltrip/hdlBits/blob/main/study/problems/Day%2003/071-kmap1.md, friendlyName=Note</x:v>
      </x:c>
      <x:c r="Q90" s="4" t="e">
        <x:f>HYPERLINK("https://github.com/kapiltrip/hdlBits/blob/main/study/images/Day%2003/071-kmap1.png","Image")</x:f>
        <x:v>HYPERLINK is not implemented. linkLocation=https://github.com/kapiltrip/hdlBits/blob/main/study/images/Day%2003/071-kmap1.png, friendlyName=Image</x:v>
      </x:c>
      <x:c r="R90" s="4" t="e">
        <x:f>HYPERLINK("https://github.com/kapiltrip/hdlBits/blob/main/study/solutions/Day%2003/071-kmap1.sv","Code")</x:f>
        <x:v>HYPERLINK is not implemented. linkLocation=https://github.com/kapiltrip/hdlBits/blob/main/study/solutions/Day%2003/071-kmap1.sv, friendlyName=Code</x:v>
      </x:c>
      <x:c r="S90" s="4" t="e">
        <x:f>HYPERLINK("https://hdlbits.01xz.net/wiki/kmap1","HDLBits")</x:f>
        <x:v>HYPERLINK is not implemented. linkLocation=https://hdlbits.01xz.net/wiki/kmap1, friendlyName=HDLBits</x:v>
      </x:c>
      <x:c r="T90" s="2" t="s">
        <x:v>357</x:v>
      </x:c>
      <x:c r="U90" s="2"/>
    </x:row>
    <x:row r="91" ht="34.04999923706055" customHeight="1">
      <x:c r="A91" s="7">
        <x:v>74</x:v>
      </x:c>
      <x:c r="B91" s="7" t="n">
        <x:v>72</x:v>
      </x:c>
      <x:c r="C91" s="8" t="s">
        <x:v>27</x:v>
      </x:c>
      <x:c r="D91" s="8" t="s">
        <x:v>33</x:v>
      </x:c>
      <x:c r="E91" s="8" t="s">
        <x:v>358</x:v>
      </x:c>
      <x:c r="F91" s="8" t="s">
        <x:v>359</x:v>
      </x:c>
      <x:c r="G91" s="7" t="s">
        <x:v>1</x:v>
      </x:c>
      <x:c r="H91" s="7" t="str">
        <x:v>Day 03</x:v>
      </x:c>
      <x:c r="I91" s="55">
        <x:v>46198</x:v>
      </x:c>
      <x:c r="J91" s="7" t="s">
        <x:v>360</x:v>
      </x:c>
      <x:c r="K91" s="7">
        <x:v>1</x:v>
      </x:c>
      <x:c r="L91" s="7">
        <x:v>0</x:v>
      </x:c>
      <x:c r="M91" s="7">
        <x:v>0</x:v>
      </x:c>
      <x:c r="N91" s="7">
        <x:v>0</x:v>
      </x:c>
      <x:c r="O91" s="10">
        <x:v>1</x:v>
      </x:c>
      <x:c r="P91" s="11" t="e">
        <x:f>HYPERLINK("https://github.com/kapiltrip/hdlBits/blob/main/study/problems/Day%2003/072-kmap2.md","Note")</x:f>
        <x:v>HYPERLINK is not implemented. linkLocation=https://github.com/kapiltrip/hdlBits/blob/main/study/problems/Day%2003/072-kmap2.md, friendlyName=Note</x:v>
      </x:c>
      <x:c r="Q91" s="11" t="e">
        <x:f>HYPERLINK("https://github.com/kapiltrip/hdlBits/blob/main/study/images/Day%2003/072-kmap2.png","Image")</x:f>
        <x:v>HYPERLINK is not implemented. linkLocation=https://github.com/kapiltrip/hdlBits/blob/main/study/images/Day%2003/072-kmap2.png, friendlyName=Image</x:v>
      </x:c>
      <x:c r="R91" s="11" t="e">
        <x:f>HYPERLINK("https://github.com/kapiltrip/hdlBits/blob/main/study/solutions/Day%2003/072-kmap2.sv","Code")</x:f>
        <x:v>HYPERLINK is not implemented. linkLocation=https://github.com/kapiltrip/hdlBits/blob/main/study/solutions/Day%2003/072-kmap2.sv, friendlyName=Code</x:v>
      </x:c>
      <x:c r="S91" s="11" t="e">
        <x:f>HYPERLINK("https://hdlbits.01xz.net/wiki/kmap2","HDLBits")</x:f>
        <x:v>HYPERLINK is not implemented. linkLocation=https://hdlbits.01xz.net/wiki/kmap2, friendlyName=HDLBits</x:v>
      </x:c>
      <x:c r="T91" s="8" t="s">
        <x:v>361</x:v>
      </x:c>
      <x:c r="U91" s="8"/>
    </x:row>
    <x:row r="92" ht="34.04999923706055" customHeight="1">
      <x:c r="A92" s="3">
        <x:v>75</x:v>
      </x:c>
      <x:c r="B92" s="3" t="n">
        <x:v>73</x:v>
      </x:c>
      <x:c r="C92" s="2" t="s">
        <x:v>27</x:v>
      </x:c>
      <x:c r="D92" s="2" t="s">
        <x:v>33</x:v>
      </x:c>
      <x:c r="E92" s="2" t="s">
        <x:v>358</x:v>
      </x:c>
      <x:c r="F92" s="2" t="s">
        <x:v>362</x:v>
      </x:c>
      <x:c r="G92" s="3" t="s">
        <x:v>1</x:v>
      </x:c>
      <x:c r="H92" s="3" t="str">
        <x:v>Day 03</x:v>
      </x:c>
      <x:c r="I92" s="56">
        <x:v>46198</x:v>
      </x:c>
      <x:c r="J92" s="3" t="s">
        <x:v>363</x:v>
      </x:c>
      <x:c r="K92" s="3">
        <x:v>4</x:v>
      </x:c>
      <x:c r="L92" s="3">
        <x:v>2</x:v>
      </x:c>
      <x:c r="M92" s="3">
        <x:v>1</x:v>
      </x:c>
      <x:c r="N92" s="3">
        <x:v>0</x:v>
      </x:c>
      <x:c r="O92" s="6">
        <x:v>0.25</x:v>
      </x:c>
      <x:c r="P92" s="4" t="e">
        <x:f>HYPERLINK("https://github.com/kapiltrip/hdlBits/blob/main/study/problems/Day%2003/073-kmap3.md","Note")</x:f>
        <x:v>HYPERLINK is not implemented. linkLocation=https://github.com/kapiltrip/hdlBits/blob/main/study/problems/Day%2003/073-kmap3.md, friendlyName=Note</x:v>
      </x:c>
      <x:c r="Q92" s="4" t="e">
        <x:f>HYPERLINK("https://github.com/kapiltrip/hdlBits/blob/main/study/images/Day%2003/073-kmap3.png","Image")</x:f>
        <x:v>HYPERLINK is not implemented. linkLocation=https://github.com/kapiltrip/hdlBits/blob/main/study/images/Day%2003/073-kmap3.png, friendlyName=Image</x:v>
      </x:c>
      <x:c r="R92" s="4" t="e">
        <x:f>HYPERLINK("https://github.com/kapiltrip/hdlBits/blob/main/study/solutions/Day%2003/073-kmap3.sv","Code")</x:f>
        <x:v>HYPERLINK is not implemented. linkLocation=https://github.com/kapiltrip/hdlBits/blob/main/study/solutions/Day%2003/073-kmap3.sv, friendlyName=Code</x:v>
      </x:c>
      <x:c r="S92" s="4" t="e">
        <x:f>HYPERLINK("https://hdlbits.01xz.net/wiki/kmap3","HDLBits")</x:f>
        <x:v>HYPERLINK is not implemented. linkLocation=https://hdlbits.01xz.net/wiki/kmap3, friendlyName=HDLBits</x:v>
      </x:c>
      <x:c r="T92" s="2" t="s">
        <x:v>364</x:v>
      </x:c>
      <x:c r="U92" s="2"/>
    </x:row>
    <x:row r="93" ht="34.04999923706055" customHeight="1">
      <x:c r="A93" s="7">
        <x:v>76</x:v>
      </x:c>
      <x:c r="B93" s="7" t="n">
        <x:v>74</x:v>
      </x:c>
      <x:c r="C93" s="8" t="s">
        <x:v>27</x:v>
      </x:c>
      <x:c r="D93" s="8" t="s">
        <x:v>33</x:v>
      </x:c>
      <x:c r="E93" s="8" t="s">
        <x:v>358</x:v>
      </x:c>
      <x:c r="F93" s="8" t="s">
        <x:v>365</x:v>
      </x:c>
      <x:c r="G93" s="7" t="s">
        <x:v>1</x:v>
      </x:c>
      <x:c r="H93" s="7" t="str">
        <x:v>Day 03</x:v>
      </x:c>
      <x:c r="I93" s="55">
        <x:v>46198</x:v>
      </x:c>
      <x:c r="J93" s="7" t="s">
        <x:v>366</x:v>
      </x:c>
      <x:c r="K93" s="7">
        <x:v>1</x:v>
      </x:c>
      <x:c r="L93" s="7">
        <x:v>0</x:v>
      </x:c>
      <x:c r="M93" s="7">
        <x:v>0</x:v>
      </x:c>
      <x:c r="N93" s="7">
        <x:v>0</x:v>
      </x:c>
      <x:c r="O93" s="10">
        <x:v>1</x:v>
      </x:c>
      <x:c r="P93" s="11" t="e">
        <x:f>HYPERLINK("https://github.com/kapiltrip/hdlBits/blob/main/study/problems/Day%2003/074-kmap4.md","Note")</x:f>
        <x:v>HYPERLINK is not implemented. linkLocation=https://github.com/kapiltrip/hdlBits/blob/main/study/problems/Day%2003/074-kmap4.md, friendlyName=Note</x:v>
      </x:c>
      <x:c r="Q93" s="11" t="e">
        <x:f>HYPERLINK("https://github.com/kapiltrip/hdlBits/blob/main/study/images/Day%2003/074-kmap4.png","Image")</x:f>
        <x:v>HYPERLINK is not implemented. linkLocation=https://github.com/kapiltrip/hdlBits/blob/main/study/images/Day%2003/074-kmap4.png, friendlyName=Image</x:v>
      </x:c>
      <x:c r="R93" s="11" t="e">
        <x:f>HYPERLINK("https://github.com/kapiltrip/hdlBits/blob/main/study/solutions/Day%2003/074-kmap4.sv","Code")</x:f>
        <x:v>HYPERLINK is not implemented. linkLocation=https://github.com/kapiltrip/hdlBits/blob/main/study/solutions/Day%2003/074-kmap4.sv, friendlyName=Code</x:v>
      </x:c>
      <x:c r="S93" s="11" t="e">
        <x:f>HYPERLINK("https://hdlbits.01xz.net/wiki/kmap4","HDLBits")</x:f>
        <x:v>HYPERLINK is not implemented. linkLocation=https://hdlbits.01xz.net/wiki/kmap4, friendlyName=HDLBits</x:v>
      </x:c>
      <x:c r="T93" s="8" t="s">
        <x:v>367</x:v>
      </x:c>
      <x:c r="U93" s="8"/>
    </x:row>
    <x:row r="94" ht="34.04999923706055" customHeight="1">
      <x:c r="A94" s="3">
        <x:v>77</x:v>
      </x:c>
      <x:c r="B94" s="3" t="n">
        <x:v>75</x:v>
      </x:c>
      <x:c r="C94" s="2" t="s">
        <x:v>27</x:v>
      </x:c>
      <x:c r="D94" s="2" t="s">
        <x:v>33</x:v>
      </x:c>
      <x:c r="E94" s="2" t="s">
        <x:v>368</x:v>
      </x:c>
      <x:c r="F94" s="2" t="s">
        <x:v>369</x:v>
      </x:c>
      <x:c r="G94" s="3" t="s">
        <x:v>1</x:v>
      </x:c>
      <x:c r="H94" s="3" t="str">
        <x:v>Day 03</x:v>
      </x:c>
      <x:c r="I94" s="56">
        <x:v>46198</x:v>
      </x:c>
      <x:c r="J94" s="3" t="s">
        <x:v>370</x:v>
      </x:c>
      <x:c r="K94" s="3">
        <x:v>5</x:v>
      </x:c>
      <x:c r="L94" s="3">
        <x:v>3</x:v>
      </x:c>
      <x:c r="M94" s="3">
        <x:v>1</x:v>
      </x:c>
      <x:c r="N94" s="3">
        <x:v>0</x:v>
      </x:c>
      <x:c r="O94" s="6">
        <x:v>0.2</x:v>
      </x:c>
      <x:c r="P94" s="4" t="e">
        <x:f>HYPERLINK("https://github.com/kapiltrip/hdlBits/blob/main/study/problems/Day%2003/075-exams__ece241_2013_q2.md","Note")</x:f>
        <x:v>HYPERLINK is not implemented. linkLocation=https://github.com/kapiltrip/hdlBits/blob/main/study/problems/Day%2003/075-exams__ece241_2013_q2.md, friendlyName=Note</x:v>
      </x:c>
      <x:c r="Q94" s="4" t="e">
        <x:f>HYPERLINK("https://github.com/kapiltrip/hdlBits/blob/main/study/images/Day%2003/075-exams__ece241_2013_q2.png","Image")</x:f>
        <x:v>HYPERLINK is not implemented. linkLocation=https://github.com/kapiltrip/hdlBits/blob/main/study/images/Day%2003/075-exams__ece241_2013_q2.png, friendlyName=Image</x:v>
      </x:c>
      <x:c r="R94" s="4" t="e">
        <x:f>HYPERLINK("https://github.com/kapiltrip/hdlBits/blob/main/study/solutions/Day%2003/075-exams__ece241_2013_q2.sv","Code")</x:f>
        <x:v>HYPERLINK is not implemented. linkLocation=https://github.com/kapiltrip/hdlBits/blob/main/study/solutions/Day%2003/075-exams__ece241_2013_q2.sv, friendlyName=Code</x:v>
      </x:c>
      <x:c r="S94" s="4" t="e">
        <x:f>HYPERLINK("https://hdlbits.01xz.net/wiki/exams/ece241_2013_q2","HDLBits")</x:f>
        <x:v>HYPERLINK is not implemented. linkLocation=https://hdlbits.01xz.net/wiki/exams/ece241_2013_q2, friendlyName=HDLBits</x:v>
      </x:c>
      <x:c r="T94" s="2" t="s">
        <x:v>371</x:v>
      </x:c>
      <x:c r="U94" s="2"/>
    </x:row>
    <x:row r="95" ht="34.04999923706055" customHeight="1">
      <x:c r="A95" s="7">
        <x:v>78</x:v>
      </x:c>
      <x:c r="B95" s="7" t="n">
        <x:v>76</x:v>
      </x:c>
      <x:c r="C95" s="8" t="s">
        <x:v>27</x:v>
      </x:c>
      <x:c r="D95" s="8" t="s">
        <x:v>33</x:v>
      </x:c>
      <x:c r="E95" s="8" t="s">
        <x:v>372</x:v>
      </x:c>
      <x:c r="F95" s="8" t="s">
        <x:v>373</x:v>
      </x:c>
      <x:c r="G95" s="7" t="s">
        <x:v>1</x:v>
      </x:c>
      <x:c r="H95" s="7" t="str">
        <x:v>Day 03</x:v>
      </x:c>
      <x:c r="I95" s="55">
        <x:v>46198</x:v>
      </x:c>
      <x:c r="J95" s="7" t="s">
        <x:v>374</x:v>
      </x:c>
      <x:c r="K95" s="7">
        <x:v>2</x:v>
      </x:c>
      <x:c r="L95" s="7">
        <x:v>1</x:v>
      </x:c>
      <x:c r="M95" s="7">
        <x:v>0</x:v>
      </x:c>
      <x:c r="N95" s="7">
        <x:v>0</x:v>
      </x:c>
      <x:c r="O95" s="10">
        <x:v>0.5</x:v>
      </x:c>
      <x:c r="P95" s="11" t="e">
        <x:f>HYPERLINK("https://github.com/kapiltrip/hdlBits/blob/main/study/problems/Day%2003/076-exams__m2014_q3.md","Note")</x:f>
        <x:v>HYPERLINK is not implemented. linkLocation=https://github.com/kapiltrip/hdlBits/blob/main/study/problems/Day%2003/076-exams__m2014_q3.md, friendlyName=Note</x:v>
      </x:c>
      <x:c r="Q95" s="11" t="e">
        <x:f>HYPERLINK("https://github.com/kapiltrip/hdlBits/blob/main/study/images/Day%2003/076-exams__m2014_q3.png","Image")</x:f>
        <x:v>HYPERLINK is not implemented. linkLocation=https://github.com/kapiltrip/hdlBits/blob/main/study/images/Day%2003/076-exams__m2014_q3.png, friendlyName=Image</x:v>
      </x:c>
      <x:c r="R95" s="11" t="e">
        <x:f>HYPERLINK("https://github.com/kapiltrip/hdlBits/blob/main/study/solutions/Day%2003/076-exams__m2014_q3.sv","Code")</x:f>
        <x:v>HYPERLINK is not implemented. linkLocation=https://github.com/kapiltrip/hdlBits/blob/main/study/solutions/Day%2003/076-exams__m2014_q3.sv, friendlyName=Code</x:v>
      </x:c>
      <x:c r="S95" s="11" t="e">
        <x:f>HYPERLINK("https://hdlbits.01xz.net/wiki/exams/m2014_q3","HDLBits")</x:f>
        <x:v>HYPERLINK is not implemented. linkLocation=https://hdlbits.01xz.net/wiki/exams/m2014_q3, friendlyName=HDLBits</x:v>
      </x:c>
      <x:c r="T95" s="8" t="s">
        <x:v>375</x:v>
      </x:c>
      <x:c r="U95" s="8"/>
    </x:row>
    <x:row r="96" ht="34.04999923706055" customHeight="1">
      <x:c r="A96" s="3">
        <x:v>79</x:v>
      </x:c>
      <x:c r="B96" s="3" t="n">
        <x:v>77</x:v>
      </x:c>
      <x:c r="C96" s="2" t="s">
        <x:v>27</x:v>
      </x:c>
      <x:c r="D96" s="2" t="s">
        <x:v>33</x:v>
      </x:c>
      <x:c r="E96" s="2" t="s">
        <x:v>372</x:v>
      </x:c>
      <x:c r="F96" s="2" t="s">
        <x:v>376</x:v>
      </x:c>
      <x:c r="G96" s="3" t="s">
        <x:v>1</x:v>
      </x:c>
      <x:c r="H96" s="3" t="str">
        <x:v>Day 03</x:v>
      </x:c>
      <x:c r="I96" s="56">
        <x:v>46198</x:v>
      </x:c>
      <x:c r="J96" s="3" t="s">
        <x:v>377</x:v>
      </x:c>
      <x:c r="K96" s="3">
        <x:v>1</x:v>
      </x:c>
      <x:c r="L96" s="3">
        <x:v>0</x:v>
      </x:c>
      <x:c r="M96" s="3">
        <x:v>0</x:v>
      </x:c>
      <x:c r="N96" s="3">
        <x:v>0</x:v>
      </x:c>
      <x:c r="O96" s="6">
        <x:v>1</x:v>
      </x:c>
      <x:c r="P96" s="4" t="e">
        <x:f>HYPERLINK("https://github.com/kapiltrip/hdlBits/blob/main/study/problems/Day%2003/077-exams__2012_q1g.md","Note")</x:f>
        <x:v>HYPERLINK is not implemented. linkLocation=https://github.com/kapiltrip/hdlBits/blob/main/study/problems/Day%2003/077-exams__2012_q1g.md, friendlyName=Note</x:v>
      </x:c>
      <x:c r="Q96" s="4" t="e">
        <x:f>HYPERLINK("https://github.com/kapiltrip/hdlBits/blob/main/study/images/Day%2003/077-exams__2012_q1g.png","Image")</x:f>
        <x:v>HYPERLINK is not implemented. linkLocation=https://github.com/kapiltrip/hdlBits/blob/main/study/images/Day%2003/077-exams__2012_q1g.png, friendlyName=Image</x:v>
      </x:c>
      <x:c r="R96" s="4" t="e">
        <x:f>HYPERLINK("https://github.com/kapiltrip/hdlBits/blob/main/study/solutions/Day%2003/077-exams__2012_q1g.sv","Code")</x:f>
        <x:v>HYPERLINK is not implemented. linkLocation=https://github.com/kapiltrip/hdlBits/blob/main/study/solutions/Day%2003/077-exams__2012_q1g.sv, friendlyName=Code</x:v>
      </x:c>
      <x:c r="S96" s="4" t="e">
        <x:f>HYPERLINK("https://hdlbits.01xz.net/wiki/exams/2012_q1g","HDLBits")</x:f>
        <x:v>HYPERLINK is not implemented. linkLocation=https://hdlbits.01xz.net/wiki/exams/2012_q1g, friendlyName=HDLBits</x:v>
      </x:c>
      <x:c r="T96" s="2" t="s">
        <x:v>378</x:v>
      </x:c>
      <x:c r="U96" s="2"/>
    </x:row>
    <x:row r="97" ht="34.04999923706055" customHeight="1">
      <x:c r="A97" s="7">
        <x:v>80</x:v>
      </x:c>
      <x:c r="B97" s="7" t="n">
        <x:v>78</x:v>
      </x:c>
      <x:c r="C97" s="8" t="s">
        <x:v>27</x:v>
      </x:c>
      <x:c r="D97" s="8" t="s">
        <x:v>33</x:v>
      </x:c>
      <x:c r="E97" s="8" t="s">
        <x:v>379</x:v>
      </x:c>
      <x:c r="F97" s="8" t="s">
        <x:v>380</x:v>
      </x:c>
      <x:c r="G97" s="7" t="s">
        <x:v>1</x:v>
      </x:c>
      <x:c r="H97" s="7" t="str">
        <x:v>Day 03</x:v>
      </x:c>
      <x:c r="I97" s="55">
        <x:v>46198</x:v>
      </x:c>
      <x:c r="J97" s="7" t="s">
        <x:v>381</x:v>
      </x:c>
      <x:c r="K97" s="7">
        <x:v>4</x:v>
      </x:c>
      <x:c r="L97" s="7">
        <x:v>2</x:v>
      </x:c>
      <x:c r="M97" s="7">
        <x:v>1</x:v>
      </x:c>
      <x:c r="N97" s="7">
        <x:v>0</x:v>
      </x:c>
      <x:c r="O97" s="10">
        <x:v>0.25</x:v>
      </x:c>
      <x:c r="P97" s="11" t="e">
        <x:f>HYPERLINK("https://github.com/kapiltrip/hdlBits/blob/main/study/problems/Day%2003/078-exams__ece241_2014_q3.md","Note")</x:f>
        <x:v>HYPERLINK is not implemented. linkLocation=https://github.com/kapiltrip/hdlBits/blob/main/study/problems/Day%2003/078-exams__ece241_2014_q3.md, friendlyName=Note</x:v>
      </x:c>
      <x:c r="Q97" s="11" t="e">
        <x:f>HYPERLINK("https://github.com/kapiltrip/hdlBits/blob/main/study/images/Day%2003/078-exams__ece241_2014_q3.png","Image")</x:f>
        <x:v>HYPERLINK is not implemented. linkLocation=https://github.com/kapiltrip/hdlBits/blob/main/study/images/Day%2003/078-exams__ece241_2014_q3.png, friendlyName=Image</x:v>
      </x:c>
      <x:c r="R97" s="11" t="e">
        <x:f>HYPERLINK("https://github.com/kapiltrip/hdlBits/blob/main/study/solutions/Day%2003/078-exams__ece241_2014_q3.sv","Code")</x:f>
        <x:v>HYPERLINK is not implemented. linkLocation=https://github.com/kapiltrip/hdlBits/blob/main/study/solutions/Day%2003/078-exams__ece241_2014_q3.sv, friendlyName=Code</x:v>
      </x:c>
      <x:c r="S97" s="11" t="e">
        <x:f>HYPERLINK("https://hdlbits.01xz.net/wiki/exams/ece241_2014_q3","HDLBits")</x:f>
        <x:v>HYPERLINK is not implemented. linkLocation=https://hdlbits.01xz.net/wiki/exams/ece241_2014_q3, friendlyName=HDLBits</x:v>
      </x:c>
      <x:c r="T97" s="8" t="s">
        <x:v>382</x:v>
      </x:c>
      <x:c r="U97" s="8"/>
    </x:row>
    <x:row r="98" ht="22.049999237060547" customHeight="1">
      <x:c r="A98" s="44" t="s">
        <x:v>383</x:v>
      </x:c>
      <x:c r="B98" s="44"/>
      <x:c r="C98" s="44"/>
      <x:c r="D98" s="44"/>
      <x:c r="E98" s="44"/>
      <x:c r="F98" s="44"/>
      <x:c r="G98" s="44"/>
      <x:c r="H98" s="44"/>
      <x:c r="I98" s="60"/>
      <x:c r="J98" s="44"/>
      <x:c r="K98" s="44"/>
      <x:c r="L98" s="44"/>
      <x:c r="M98" s="44"/>
      <x:c r="N98" s="44"/>
      <x:c r="O98" s="46"/>
      <x:c r="P98" s="44"/>
      <x:c r="Q98" s="44"/>
      <x:c r="R98" s="44"/>
      <x:c r="S98" s="44"/>
      <x:c r="T98" s="44"/>
      <x:c r="U98" s="44"/>
    </x:row>
    <x:row r="99" ht="34.04999923706055" customHeight="1">
      <x:c r="A99" s="3">
        <x:v>81</x:v>
      </x:c>
      <x:c r="B99" s="3" t="n">
        <x:v>79</x:v>
      </x:c>
      <x:c r="C99" s="2" t="s">
        <x:v>27</x:v>
      </x:c>
      <x:c r="D99" s="2" t="s">
        <x:v>34</x:v>
      </x:c>
      <x:c r="E99" s="2" t="s">
        <x:v>384</x:v>
      </x:c>
      <x:c r="F99" s="2" t="s">
        <x:v>385</x:v>
      </x:c>
      <x:c r="G99" s="3" t="s">
        <x:v>1</x:v>
      </x:c>
      <x:c r="H99" s="3" t="str">
        <x:v>Day 03</x:v>
      </x:c>
      <x:c r="I99" s="56">
        <x:v>46198</x:v>
      </x:c>
      <x:c r="J99" s="3" t="s">
        <x:v>386</x:v>
      </x:c>
      <x:c r="K99" s="3">
        <x:v>1</x:v>
      </x:c>
      <x:c r="L99" s="3">
        <x:v>0</x:v>
      </x:c>
      <x:c r="M99" s="3">
        <x:v>0</x:v>
      </x:c>
      <x:c r="N99" s="3">
        <x:v>0</x:v>
      </x:c>
      <x:c r="O99" s="6">
        <x:v>1</x:v>
      </x:c>
      <x:c r="P99" s="4" t="e">
        <x:f>HYPERLINK("https://github.com/kapiltrip/hdlBits/blob/main/study/problems/Day%2003/079-dff.md","Note")</x:f>
        <x:v>HYPERLINK is not implemented. linkLocation=https://github.com/kapiltrip/hdlBits/blob/main/study/problems/Day%2003/079-dff.md, friendlyName=Note</x:v>
      </x:c>
      <x:c r="Q99" s="4" t="e">
        <x:f>HYPERLINK("https://github.com/kapiltrip/hdlBits/blob/main/study/images/Day%2003/079-dff.png","Image")</x:f>
        <x:v>HYPERLINK is not implemented. linkLocation=https://github.com/kapiltrip/hdlBits/blob/main/study/images/Day%2003/079-dff.png, friendlyName=Image</x:v>
      </x:c>
      <x:c r="R99" s="4" t="e">
        <x:f>HYPERLINK("https://github.com/kapiltrip/hdlBits/blob/main/study/solutions/Day%2003/079-dff.sv","Code")</x:f>
        <x:v>HYPERLINK is not implemented. linkLocation=https://github.com/kapiltrip/hdlBits/blob/main/study/solutions/Day%2003/079-dff.sv, friendlyName=Code</x:v>
      </x:c>
      <x:c r="S99" s="4" t="e">
        <x:f>HYPERLINK("https://hdlbits.01xz.net/wiki/dff","HDLBits")</x:f>
        <x:v>HYPERLINK is not implemented. linkLocation=https://hdlbits.01xz.net/wiki/dff, friendlyName=HDLBits</x:v>
      </x:c>
      <x:c r="T99" s="2" t="s">
        <x:v>387</x:v>
      </x:c>
      <x:c r="U99" s="2"/>
    </x:row>
    <x:row r="100" ht="34.04999923706055" customHeight="1">
      <x:c r="A100" s="7">
        <x:v>82</x:v>
      </x:c>
      <x:c r="B100" s="7" t="n">
        <x:v>80</x:v>
      </x:c>
      <x:c r="C100" s="8" t="s">
        <x:v>27</x:v>
      </x:c>
      <x:c r="D100" s="8" t="s">
        <x:v>34</x:v>
      </x:c>
      <x:c r="E100" s="8" t="s">
        <x:v>388</x:v>
      </x:c>
      <x:c r="F100" s="8" t="s">
        <x:v>389</x:v>
      </x:c>
      <x:c r="G100" s="7" t="s">
        <x:v>1</x:v>
      </x:c>
      <x:c r="H100" s="7" t="str">
        <x:v>Day 03</x:v>
      </x:c>
      <x:c r="I100" s="55">
        <x:v>46198</x:v>
      </x:c>
      <x:c r="J100" s="7" t="s">
        <x:v>390</x:v>
      </x:c>
      <x:c r="K100" s="7">
        <x:v>1</x:v>
      </x:c>
      <x:c r="L100" s="7">
        <x:v>0</x:v>
      </x:c>
      <x:c r="M100" s="7">
        <x:v>0</x:v>
      </x:c>
      <x:c r="N100" s="7">
        <x:v>0</x:v>
      </x:c>
      <x:c r="O100" s="10">
        <x:v>1</x:v>
      </x:c>
      <x:c r="P100" s="11" t="e">
        <x:f>HYPERLINK("https://github.com/kapiltrip/hdlBits/blob/main/study/problems/Day%2003/080-dff8.md","Note")</x:f>
        <x:v>HYPERLINK is not implemented. linkLocation=https://github.com/kapiltrip/hdlBits/blob/main/study/problems/Day%2003/080-dff8.md, friendlyName=Note</x:v>
      </x:c>
      <x:c r="Q100" s="11" t="e">
        <x:f>HYPERLINK("https://github.com/kapiltrip/hdlBits/blob/main/study/images/Day%2003/080-dff8.png","Image")</x:f>
        <x:v>HYPERLINK is not implemented. linkLocation=https://github.com/kapiltrip/hdlBits/blob/main/study/images/Day%2003/080-dff8.png, friendlyName=Image</x:v>
      </x:c>
      <x:c r="R100" s="11" t="e">
        <x:f>HYPERLINK("https://github.com/kapiltrip/hdlBits/blob/main/study/solutions/Day%2003/080-dff8.sv","Code")</x:f>
        <x:v>HYPERLINK is not implemented. linkLocation=https://github.com/kapiltrip/hdlBits/blob/main/study/solutions/Day%2003/080-dff8.sv, friendlyName=Code</x:v>
      </x:c>
      <x:c r="S100" s="11" t="e">
        <x:f>HYPERLINK("https://hdlbits.01xz.net/wiki/dff8","HDLBits")</x:f>
        <x:v>HYPERLINK is not implemented. linkLocation=https://hdlbits.01xz.net/wiki/dff8, friendlyName=HDLBits</x:v>
      </x:c>
      <x:c r="T100" s="8" t="s">
        <x:v>391</x:v>
      </x:c>
      <x:c r="U100" s="8"/>
    </x:row>
    <x:row r="101" ht="34.04999923706055" customHeight="1">
      <x:c r="A101" s="3">
        <x:v>83</x:v>
      </x:c>
      <x:c r="B101" s="3" t="n">
        <x:v>81</x:v>
      </x:c>
      <x:c r="C101" s="2" t="s">
        <x:v>27</x:v>
      </x:c>
      <x:c r="D101" s="2" t="s">
        <x:v>34</x:v>
      </x:c>
      <x:c r="E101" s="2" t="s">
        <x:v>392</x:v>
      </x:c>
      <x:c r="F101" s="2" t="s">
        <x:v>393</x:v>
      </x:c>
      <x:c r="G101" s="3" t="s">
        <x:v>1</x:v>
      </x:c>
      <x:c r="H101" s="3" t="str">
        <x:v>Day 03</x:v>
      </x:c>
      <x:c r="I101" s="56">
        <x:v>46198</x:v>
      </x:c>
      <x:c r="J101" s="3" t="s">
        <x:v>394</x:v>
      </x:c>
      <x:c r="K101" s="3">
        <x:v>2</x:v>
      </x:c>
      <x:c r="L101" s="3">
        <x:v>1</x:v>
      </x:c>
      <x:c r="M101" s="3">
        <x:v>0</x:v>
      </x:c>
      <x:c r="N101" s="3">
        <x:v>0</x:v>
      </x:c>
      <x:c r="O101" s="6">
        <x:v>0.5</x:v>
      </x:c>
      <x:c r="P101" s="4" t="e">
        <x:f>HYPERLINK("https://github.com/kapiltrip/hdlBits/blob/main/study/problems/Day%2003/081-dff8r.md","Note")</x:f>
        <x:v>HYPERLINK is not implemented. linkLocation=https://github.com/kapiltrip/hdlBits/blob/main/study/problems/Day%2003/081-dff8r.md, friendlyName=Note</x:v>
      </x:c>
      <x:c r="Q101" s="4" t="e">
        <x:f>HYPERLINK("https://github.com/kapiltrip/hdlBits/blob/main/study/images/Day%2003/081-dff8r.png","Image")</x:f>
        <x:v>HYPERLINK is not implemented. linkLocation=https://github.com/kapiltrip/hdlBits/blob/main/study/images/Day%2003/081-dff8r.png, friendlyName=Image</x:v>
      </x:c>
      <x:c r="R101" s="4" t="e">
        <x:f>HYPERLINK("https://github.com/kapiltrip/hdlBits/blob/main/study/solutions/Day%2003/081-dff8r.sv","Code")</x:f>
        <x:v>HYPERLINK is not implemented. linkLocation=https://github.com/kapiltrip/hdlBits/blob/main/study/solutions/Day%2003/081-dff8r.sv, friendlyName=Code</x:v>
      </x:c>
      <x:c r="S101" s="4" t="e">
        <x:f>HYPERLINK("https://hdlbits.01xz.net/wiki/dff8r","HDLBits")</x:f>
        <x:v>HYPERLINK is not implemented. linkLocation=https://hdlbits.01xz.net/wiki/dff8r, friendlyName=HDLBits</x:v>
      </x:c>
      <x:c r="T101" s="2" t="s">
        <x:v>395</x:v>
      </x:c>
      <x:c r="U101" s="2"/>
    </x:row>
    <x:row r="102" ht="34.04999923706055" customHeight="1">
      <x:c r="A102" s="7">
        <x:v>84</x:v>
      </x:c>
      <x:c r="B102" s="7" t="n">
        <x:v>82</x:v>
      </x:c>
      <x:c r="C102" s="8" t="s">
        <x:v>27</x:v>
      </x:c>
      <x:c r="D102" s="8" t="s">
        <x:v>34</x:v>
      </x:c>
      <x:c r="E102" s="8" t="s">
        <x:v>396</x:v>
      </x:c>
      <x:c r="F102" s="8" t="s">
        <x:v>397</x:v>
      </x:c>
      <x:c r="G102" s="7" t="s">
        <x:v>1</x:v>
      </x:c>
      <x:c r="H102" s="7" t="str">
        <x:v>Day 03</x:v>
      </x:c>
      <x:c r="I102" s="55">
        <x:v>46198</x:v>
      </x:c>
      <x:c r="J102" s="7" t="s">
        <x:v>398</x:v>
      </x:c>
      <x:c r="K102" s="7">
        <x:v>2</x:v>
      </x:c>
      <x:c r="L102" s="7">
        <x:v>1</x:v>
      </x:c>
      <x:c r="M102" s="7">
        <x:v>0</x:v>
      </x:c>
      <x:c r="N102" s="7">
        <x:v>0</x:v>
      </x:c>
      <x:c r="O102" s="10">
        <x:v>0.5</x:v>
      </x:c>
      <x:c r="P102" s="11" t="e">
        <x:f>HYPERLINK("https://github.com/kapiltrip/hdlBits/blob/main/study/problems/Day%2003/082-dff8p.md","Note")</x:f>
        <x:v>HYPERLINK is not implemented. linkLocation=https://github.com/kapiltrip/hdlBits/blob/main/study/problems/Day%2003/082-dff8p.md, friendlyName=Note</x:v>
      </x:c>
      <x:c r="Q102" s="11" t="e">
        <x:f>HYPERLINK("https://github.com/kapiltrip/hdlBits/blob/main/study/images/Day%2003/082-dff8p.png","Image")</x:f>
        <x:v>HYPERLINK is not implemented. linkLocation=https://github.com/kapiltrip/hdlBits/blob/main/study/images/Day%2003/082-dff8p.png, friendlyName=Image</x:v>
      </x:c>
      <x:c r="R102" s="11" t="e">
        <x:f>HYPERLINK("https://github.com/kapiltrip/hdlBits/blob/main/study/solutions/Day%2003/082-dff8p.sv","Code")</x:f>
        <x:v>HYPERLINK is not implemented. linkLocation=https://github.com/kapiltrip/hdlBits/blob/main/study/solutions/Day%2003/082-dff8p.sv, friendlyName=Code</x:v>
      </x:c>
      <x:c r="S102" s="11" t="e">
        <x:f>HYPERLINK("https://hdlbits.01xz.net/wiki/dff8p","HDLBits")</x:f>
        <x:v>HYPERLINK is not implemented. linkLocation=https://hdlbits.01xz.net/wiki/dff8p, friendlyName=HDLBits</x:v>
      </x:c>
      <x:c r="T102" s="8" t="s">
        <x:v>399</x:v>
      </x:c>
      <x:c r="U102" s="8"/>
    </x:row>
    <x:row r="103" ht="34.04999923706055" customHeight="1">
      <x:c r="A103" s="3">
        <x:v>85</x:v>
      </x:c>
      <x:c r="B103" s="3" t="n">
        <x:v>83</x:v>
      </x:c>
      <x:c r="C103" s="2" t="s">
        <x:v>27</x:v>
      </x:c>
      <x:c r="D103" s="2" t="s">
        <x:v>34</x:v>
      </x:c>
      <x:c r="E103" s="2" t="s">
        <x:v>400</x:v>
      </x:c>
      <x:c r="F103" s="2" t="s">
        <x:v>401</x:v>
      </x:c>
      <x:c r="G103" s="3" t="s">
        <x:v>1</x:v>
      </x:c>
      <x:c r="H103" s="3" t="str">
        <x:v>Day 03</x:v>
      </x:c>
      <x:c r="I103" s="56">
        <x:v>46198</x:v>
      </x:c>
      <x:c r="J103" s="3" t="s">
        <x:v>402</x:v>
      </x:c>
      <x:c r="K103" s="3">
        <x:v>2</x:v>
      </x:c>
      <x:c r="L103" s="3">
        <x:v>0</x:v>
      </x:c>
      <x:c r="M103" s="3">
        <x:v>1</x:v>
      </x:c>
      <x:c r="N103" s="3">
        <x:v>0</x:v>
      </x:c>
      <x:c r="O103" s="6">
        <x:v>0.5</x:v>
      </x:c>
      <x:c r="P103" s="4" t="e">
        <x:f>HYPERLINK("https://github.com/kapiltrip/hdlBits/blob/main/study/problems/Day%2003/083-dff8ar.md","Note")</x:f>
        <x:v>HYPERLINK is not implemented. linkLocation=https://github.com/kapiltrip/hdlBits/blob/main/study/problems/Day%2003/083-dff8ar.md, friendlyName=Note</x:v>
      </x:c>
      <x:c r="Q103" s="4" t="e">
        <x:f>HYPERLINK("https://github.com/kapiltrip/hdlBits/blob/main/study/images/Day%2003/083-dff8ar.png","Image")</x:f>
        <x:v>HYPERLINK is not implemented. linkLocation=https://github.com/kapiltrip/hdlBits/blob/main/study/images/Day%2003/083-dff8ar.png, friendlyName=Image</x:v>
      </x:c>
      <x:c r="R103" s="4" t="e">
        <x:f>HYPERLINK("https://github.com/kapiltrip/hdlBits/blob/main/study/solutions/Day%2003/083-dff8ar.sv","Code")</x:f>
        <x:v>HYPERLINK is not implemented. linkLocation=https://github.com/kapiltrip/hdlBits/blob/main/study/solutions/Day%2003/083-dff8ar.sv, friendlyName=Code</x:v>
      </x:c>
      <x:c r="S103" s="4" t="e">
        <x:f>HYPERLINK("https://hdlbits.01xz.net/wiki/dff8ar","HDLBits")</x:f>
        <x:v>HYPERLINK is not implemented. linkLocation=https://hdlbits.01xz.net/wiki/dff8ar, friendlyName=HDLBits</x:v>
      </x:c>
      <x:c r="T103" s="2" t="s">
        <x:v>403</x:v>
      </x:c>
      <x:c r="U103" s="2"/>
    </x:row>
    <x:row r="104" ht="34.04999923706055" customHeight="1">
      <x:c r="A104" s="7">
        <x:v>86</x:v>
      </x:c>
      <x:c r="B104" s="7" t="n">
        <x:v>84</x:v>
      </x:c>
      <x:c r="C104" s="8" t="s">
        <x:v>27</x:v>
      </x:c>
      <x:c r="D104" s="8" t="s">
        <x:v>34</x:v>
      </x:c>
      <x:c r="E104" s="8" t="s">
        <x:v>404</x:v>
      </x:c>
      <x:c r="F104" s="8" t="s">
        <x:v>405</x:v>
      </x:c>
      <x:c r="G104" s="7" t="s">
        <x:v>1</x:v>
      </x:c>
      <x:c r="H104" s="7" t="str">
        <x:v>Day 03</x:v>
      </x:c>
      <x:c r="I104" s="55">
        <x:v>46198</x:v>
      </x:c>
      <x:c r="J104" s="7" t="s">
        <x:v>406</x:v>
      </x:c>
      <x:c r="K104" s="7">
        <x:v>9</x:v>
      </x:c>
      <x:c r="L104" s="7">
        <x:v>8</x:v>
      </x:c>
      <x:c r="M104" s="7">
        <x:v>0</x:v>
      </x:c>
      <x:c r="N104" s="7">
        <x:v>0</x:v>
      </x:c>
      <x:c r="O104" s="10">
        <x:v>0.11</x:v>
      </x:c>
      <x:c r="P104" s="11" t="e">
        <x:f>HYPERLINK("https://github.com/kapiltrip/hdlBits/blob/main/study/problems/Day%2003/084-dff16e.md","Note")</x:f>
        <x:v>HYPERLINK is not implemented. linkLocation=https://github.com/kapiltrip/hdlBits/blob/main/study/problems/Day%2003/084-dff16e.md, friendlyName=Note</x:v>
      </x:c>
      <x:c r="Q104" s="11" t="e">
        <x:f>HYPERLINK("https://github.com/kapiltrip/hdlBits/blob/main/study/images/Day%2003/084-dff16e.png","Image")</x:f>
        <x:v>HYPERLINK is not implemented. linkLocation=https://github.com/kapiltrip/hdlBits/blob/main/study/images/Day%2003/084-dff16e.png, friendlyName=Image</x:v>
      </x:c>
      <x:c r="R104" s="11" t="e">
        <x:f>HYPERLINK("https://github.com/kapiltrip/hdlBits/blob/main/study/solutions/Day%2003/084-dff16e.sv","Code")</x:f>
        <x:v>HYPERLINK is not implemented. linkLocation=https://github.com/kapiltrip/hdlBits/blob/main/study/solutions/Day%2003/084-dff16e.sv, friendlyName=Code</x:v>
      </x:c>
      <x:c r="S104" s="11" t="e">
        <x:f>HYPERLINK("https://hdlbits.01xz.net/wiki/dff16e","HDLBits")</x:f>
        <x:v>HYPERLINK is not implemented. linkLocation=https://hdlbits.01xz.net/wiki/dff16e, friendlyName=HDLBits</x:v>
      </x:c>
      <x:c r="T104" s="8" t="s">
        <x:v>407</x:v>
      </x:c>
      <x:c r="U104" s="8"/>
    </x:row>
    <x:row r="105" ht="34.04999923706055" customHeight="1">
      <x:c r="A105" s="3">
        <x:v>87</x:v>
      </x:c>
      <x:c r="B105" s="3" t="n">
        <x:v>85</x:v>
      </x:c>
      <x:c r="C105" s="2" t="s">
        <x:v>27</x:v>
      </x:c>
      <x:c r="D105" s="2" t="s">
        <x:v>34</x:v>
      </x:c>
      <x:c r="E105" s="2" t="s">
        <x:v>408</x:v>
      </x:c>
      <x:c r="F105" s="2" t="s">
        <x:v>409</x:v>
      </x:c>
      <x:c r="G105" s="3" t="s">
        <x:v>1</x:v>
      </x:c>
      <x:c r="H105" s="3" t="str">
        <x:v>Day 03</x:v>
      </x:c>
      <x:c r="I105" s="56">
        <x:v>46198</x:v>
      </x:c>
      <x:c r="J105" s="3" t="s">
        <x:v>410</x:v>
      </x:c>
      <x:c r="K105" s="3">
        <x:v>8</x:v>
      </x:c>
      <x:c r="L105" s="3">
        <x:v>7</x:v>
      </x:c>
      <x:c r="M105" s="3">
        <x:v>0</x:v>
      </x:c>
      <x:c r="N105" s="3">
        <x:v>0</x:v>
      </x:c>
      <x:c r="O105" s="6">
        <x:v>0.13</x:v>
      </x:c>
      <x:c r="P105" s="4" t="e">
        <x:f>HYPERLINK("https://github.com/kapiltrip/hdlBits/blob/main/study/problems/Day%2003/085-exams__m2014_q4a.md","Note")</x:f>
        <x:v>HYPERLINK is not implemented. linkLocation=https://github.com/kapiltrip/hdlBits/blob/main/study/problems/Day%2003/085-exams__m2014_q4a.md, friendlyName=Note</x:v>
      </x:c>
      <x:c r="Q105" s="4" t="e">
        <x:f>HYPERLINK("https://github.com/kapiltrip/hdlBits/blob/main/study/images/Day%2003/085-exams__m2014_q4a.png","Image")</x:f>
        <x:v>HYPERLINK is not implemented. linkLocation=https://github.com/kapiltrip/hdlBits/blob/main/study/images/Day%2003/085-exams__m2014_q4a.png, friendlyName=Image</x:v>
      </x:c>
      <x:c r="R105" s="4" t="e">
        <x:f>HYPERLINK("https://github.com/kapiltrip/hdlBits/blob/main/study/solutions/Day%2003/085-exams__m2014_q4a.sv","Code")</x:f>
        <x:v>HYPERLINK is not implemented. linkLocation=https://github.com/kapiltrip/hdlBits/blob/main/study/solutions/Day%2003/085-exams__m2014_q4a.sv, friendlyName=Code</x:v>
      </x:c>
      <x:c r="S105" s="4" t="e">
        <x:f>HYPERLINK("https://hdlbits.01xz.net/wiki/exams/m2014_q4a","HDLBits")</x:f>
        <x:v>HYPERLINK is not implemented. linkLocation=https://hdlbits.01xz.net/wiki/exams/m2014_q4a, friendlyName=HDLBits</x:v>
      </x:c>
      <x:c r="T105" s="2" t="s">
        <x:v>411</x:v>
      </x:c>
      <x:c r="U105" s="2"/>
    </x:row>
    <x:row r="106" ht="34.04999923706055" customHeight="1">
      <x:c r="A106" s="7">
        <x:v>88</x:v>
      </x:c>
      <x:c r="B106" s="7" t="n">
        <x:v>86</x:v>
      </x:c>
      <x:c r="C106" s="8" t="s">
        <x:v>27</x:v>
      </x:c>
      <x:c r="D106" s="8" t="s">
        <x:v>34</x:v>
      </x:c>
      <x:c r="E106" s="8" t="s">
        <x:v>412</x:v>
      </x:c>
      <x:c r="F106" s="8" t="s">
        <x:v>413</x:v>
      </x:c>
      <x:c r="G106" s="7" t="s">
        <x:v>1</x:v>
      </x:c>
      <x:c r="H106" s="7" t="str">
        <x:v>Day 03</x:v>
      </x:c>
      <x:c r="I106" s="55">
        <x:v>46198</x:v>
      </x:c>
      <x:c r="J106" s="7" t="s">
        <x:v>414</x:v>
      </x:c>
      <x:c r="K106" s="7">
        <x:v>1</x:v>
      </x:c>
      <x:c r="L106" s="7">
        <x:v>0</x:v>
      </x:c>
      <x:c r="M106" s="7">
        <x:v>0</x:v>
      </x:c>
      <x:c r="N106" s="7">
        <x:v>0</x:v>
      </x:c>
      <x:c r="O106" s="10">
        <x:v>1</x:v>
      </x:c>
      <x:c r="P106" s="11" t="e">
        <x:f>HYPERLINK("https://github.com/kapiltrip/hdlBits/blob/main/study/problems/Day%2003/086-exams__m2014_q4b.md","Note")</x:f>
        <x:v>HYPERLINK is not implemented. linkLocation=https://github.com/kapiltrip/hdlBits/blob/main/study/problems/Day%2003/086-exams__m2014_q4b.md, friendlyName=Note</x:v>
      </x:c>
      <x:c r="Q106" s="11" t="e">
        <x:f>HYPERLINK("https://github.com/kapiltrip/hdlBits/blob/main/study/images/Day%2003/086-exams__m2014_q4b.png","Image")</x:f>
        <x:v>HYPERLINK is not implemented. linkLocation=https://github.com/kapiltrip/hdlBits/blob/main/study/images/Day%2003/086-exams__m2014_q4b.png, friendlyName=Image</x:v>
      </x:c>
      <x:c r="R106" s="11" t="e">
        <x:f>HYPERLINK("https://github.com/kapiltrip/hdlBits/blob/main/study/solutions/Day%2003/086-exams__m2014_q4b.sv","Code")</x:f>
        <x:v>HYPERLINK is not implemented. linkLocation=https://github.com/kapiltrip/hdlBits/blob/main/study/solutions/Day%2003/086-exams__m2014_q4b.sv, friendlyName=Code</x:v>
      </x:c>
      <x:c r="S106" s="11" t="e">
        <x:f>HYPERLINK("https://hdlbits.01xz.net/wiki/exams/m2014_q4b","HDLBits")</x:f>
        <x:v>HYPERLINK is not implemented. linkLocation=https://hdlbits.01xz.net/wiki/exams/m2014_q4b, friendlyName=HDLBits</x:v>
      </x:c>
      <x:c r="T106" s="8" t="s">
        <x:v>415</x:v>
      </x:c>
      <x:c r="U106" s="8"/>
    </x:row>
    <x:row r="107" ht="34.04999923706055" customHeight="1">
      <x:c r="A107" s="3">
        <x:v>89</x:v>
      </x:c>
      <x:c r="B107" s="3" t="n">
        <x:v>87</x:v>
      </x:c>
      <x:c r="C107" s="2" t="s">
        <x:v>27</x:v>
      </x:c>
      <x:c r="D107" s="2" t="s">
        <x:v>34</x:v>
      </x:c>
      <x:c r="E107" s="2" t="s">
        <x:v>412</x:v>
      </x:c>
      <x:c r="F107" s="2" t="s">
        <x:v>416</x:v>
      </x:c>
      <x:c r="G107" s="3" t="s">
        <x:v>1</x:v>
      </x:c>
      <x:c r="H107" s="3" t="str">
        <x:v>Day 03</x:v>
      </x:c>
      <x:c r="I107" s="56">
        <x:v>46198</x:v>
      </x:c>
      <x:c r="J107" s="3" t="s">
        <x:v>417</x:v>
      </x:c>
      <x:c r="K107" s="3">
        <x:v>1</x:v>
      </x:c>
      <x:c r="L107" s="3">
        <x:v>0</x:v>
      </x:c>
      <x:c r="M107" s="3">
        <x:v>0</x:v>
      </x:c>
      <x:c r="N107" s="3">
        <x:v>0</x:v>
      </x:c>
      <x:c r="O107" s="6">
        <x:v>1</x:v>
      </x:c>
      <x:c r="P107" s="4" t="e">
        <x:f>HYPERLINK("https://github.com/kapiltrip/hdlBits/blob/main/study/problems/Day%2003/087-exams__m2014_q4c.md","Note")</x:f>
        <x:v>HYPERLINK is not implemented. linkLocation=https://github.com/kapiltrip/hdlBits/blob/main/study/problems/Day%2003/087-exams__m2014_q4c.md, friendlyName=Note</x:v>
      </x:c>
      <x:c r="Q107" s="4" t="e">
        <x:f>HYPERLINK("https://github.com/kapiltrip/hdlBits/blob/main/study/images/Day%2003/087-exams__m2014_q4c.png","Image")</x:f>
        <x:v>HYPERLINK is not implemented. linkLocation=https://github.com/kapiltrip/hdlBits/blob/main/study/images/Day%2003/087-exams__m2014_q4c.png, friendlyName=Image</x:v>
      </x:c>
      <x:c r="R107" s="4" t="e">
        <x:f>HYPERLINK("https://github.com/kapiltrip/hdlBits/blob/main/study/solutions/Day%2003/087-exams__m2014_q4c.sv","Code")</x:f>
        <x:v>HYPERLINK is not implemented. linkLocation=https://github.com/kapiltrip/hdlBits/blob/main/study/solutions/Day%2003/087-exams__m2014_q4c.sv, friendlyName=Code</x:v>
      </x:c>
      <x:c r="S107" s="4" t="e">
        <x:f>HYPERLINK("https://hdlbits.01xz.net/wiki/exams/m2014_q4c","HDLBits")</x:f>
        <x:v>HYPERLINK is not implemented. linkLocation=https://hdlbits.01xz.net/wiki/exams/m2014_q4c, friendlyName=HDLBits</x:v>
      </x:c>
      <x:c r="T107" s="2" t="s">
        <x:v>418</x:v>
      </x:c>
      <x:c r="U107" s="2"/>
    </x:row>
    <x:row r="108" ht="34.04999923706055" customHeight="1">
      <x:c r="A108" s="7">
        <x:v>90</x:v>
      </x:c>
      <x:c r="B108" s="7" t="n">
        <x:v>88</x:v>
      </x:c>
      <x:c r="C108" s="8" t="s">
        <x:v>27</x:v>
      </x:c>
      <x:c r="D108" s="8" t="s">
        <x:v>34</x:v>
      </x:c>
      <x:c r="E108" s="8" t="s">
        <x:v>419</x:v>
      </x:c>
      <x:c r="F108" s="8" t="s">
        <x:v>420</x:v>
      </x:c>
      <x:c r="G108" s="7" t="s">
        <x:v>1</x:v>
      </x:c>
      <x:c r="H108" s="7" t="str">
        <x:v>Day 03</x:v>
      </x:c>
      <x:c r="I108" s="55">
        <x:v>46198</x:v>
      </x:c>
      <x:c r="J108" s="7" t="s">
        <x:v>421</x:v>
      </x:c>
      <x:c r="K108" s="7">
        <x:v>5</x:v>
      </x:c>
      <x:c r="L108" s="7">
        <x:v>3</x:v>
      </x:c>
      <x:c r="M108" s="7">
        <x:v>1</x:v>
      </x:c>
      <x:c r="N108" s="7">
        <x:v>0</x:v>
      </x:c>
      <x:c r="O108" s="10">
        <x:v>0.2</x:v>
      </x:c>
      <x:c r="P108" s="11" t="e">
        <x:f>HYPERLINK("https://github.com/kapiltrip/hdlBits/blob/main/study/problems/Day%2003/088-exams__m2014_q4d.md","Note")</x:f>
        <x:v>HYPERLINK is not implemented. linkLocation=https://github.com/kapiltrip/hdlBits/blob/main/study/problems/Day%2003/088-exams__m2014_q4d.md, friendlyName=Note</x:v>
      </x:c>
      <x:c r="Q108" s="11" t="e">
        <x:f>HYPERLINK("https://github.com/kapiltrip/hdlBits/blob/main/study/images/Day%2003/088-exams__m2014_q4d.png","Image")</x:f>
        <x:v>HYPERLINK is not implemented. linkLocation=https://github.com/kapiltrip/hdlBits/blob/main/study/images/Day%2003/088-exams__m2014_q4d.png, friendlyName=Image</x:v>
      </x:c>
      <x:c r="R108" s="11" t="e">
        <x:f>HYPERLINK("https://github.com/kapiltrip/hdlBits/blob/main/study/solutions/Day%2003/088-exams__m2014_q4d.sv","Code")</x:f>
        <x:v>HYPERLINK is not implemented. linkLocation=https://github.com/kapiltrip/hdlBits/blob/main/study/solutions/Day%2003/088-exams__m2014_q4d.sv, friendlyName=Code</x:v>
      </x:c>
      <x:c r="S108" s="11" t="e">
        <x:f>HYPERLINK("https://hdlbits.01xz.net/wiki/exams/m2014_q4d","HDLBits")</x:f>
        <x:v>HYPERLINK is not implemented. linkLocation=https://hdlbits.01xz.net/wiki/exams/m2014_q4d, friendlyName=HDLBits</x:v>
      </x:c>
      <x:c r="T108" s="8" t="s">
        <x:v>422</x:v>
      </x:c>
      <x:c r="U108" s="8"/>
    </x:row>
    <x:row r="109" ht="34.04999923706055" customHeight="1">
      <x:c r="A109" s="3">
        <x:v>91</x:v>
      </x:c>
      <x:c r="B109" s="3" t="n">
        <x:v>89</x:v>
      </x:c>
      <x:c r="C109" s="2" t="s">
        <x:v>27</x:v>
      </x:c>
      <x:c r="D109" s="2" t="s">
        <x:v>34</x:v>
      </x:c>
      <x:c r="E109" s="2" t="s">
        <x:v>423</x:v>
      </x:c>
      <x:c r="F109" s="2" t="s">
        <x:v>424</x:v>
      </x:c>
      <x:c r="G109" s="3" t="s">
        <x:v>1</x:v>
      </x:c>
      <x:c r="H109" s="3" t="str">
        <x:v>Day 04</x:v>
      </x:c>
      <x:c r="I109" s="56">
        <x:v>46199</x:v>
      </x:c>
      <x:c r="J109" s="3" t="s">
        <x:v>425</x:v>
      </x:c>
      <x:c r="K109" s="3">
        <x:v>2</x:v>
      </x:c>
      <x:c r="L109" s="3">
        <x:v>0</x:v>
      </x:c>
      <x:c r="M109" s="3">
        <x:v>1</x:v>
      </x:c>
      <x:c r="N109" s="3">
        <x:v>0</x:v>
      </x:c>
      <x:c r="O109" s="6">
        <x:v>0.5</x:v>
      </x:c>
      <x:c r="P109" s="4" t="e">
        <x:f>HYPERLINK("https://github.com/kapiltrip/hdlBits/blob/main/study/problems/Day%2004/089-mt2015_muxdff.md","Note")</x:f>
        <x:v>HYPERLINK is not implemented. linkLocation=https://github.com/kapiltrip/hdlBits/blob/main/study/problems/Day%2004/089-mt2015_muxdff.md, friendlyName=Note</x:v>
      </x:c>
      <x:c r="Q109" s="4" t="e">
        <x:f>HYPERLINK("https://github.com/kapiltrip/hdlBits/blob/main/study/images/Day%2004/089-mt2015_muxdff.png","Image")</x:f>
        <x:v>HYPERLINK is not implemented. linkLocation=https://github.com/kapiltrip/hdlBits/blob/main/study/images/Day%2004/089-mt2015_muxdff.png, friendlyName=Image</x:v>
      </x:c>
      <x:c r="R109" s="4" t="e">
        <x:f>HYPERLINK("https://github.com/kapiltrip/hdlBits/blob/main/study/solutions/Day%2004/089-mt2015_muxdff.sv","Code")</x:f>
        <x:v>HYPERLINK is not implemented. linkLocation=https://github.com/kapiltrip/hdlBits/blob/main/study/solutions/Day%2004/089-mt2015_muxdff.sv, friendlyName=Code</x:v>
      </x:c>
      <x:c r="S109" s="4" t="e">
        <x:f>HYPERLINK("https://hdlbits.01xz.net/wiki/mt2015_muxdff","HDLBits")</x:f>
        <x:v>HYPERLINK is not implemented. linkLocation=https://hdlbits.01xz.net/wiki/mt2015_muxdff, friendlyName=HDLBits</x:v>
      </x:c>
      <x:c r="T109" s="2" t="s">
        <x:v>426</x:v>
      </x:c>
      <x:c r="U109" s="2"/>
    </x:row>
    <x:row r="110" ht="34.04999923706055" customHeight="1">
      <x:c r="A110" s="7">
        <x:v>92</x:v>
      </x:c>
      <x:c r="B110" s="7" t="n">
        <x:v>90</x:v>
      </x:c>
      <x:c r="C110" s="8" t="s">
        <x:v>27</x:v>
      </x:c>
      <x:c r="D110" s="8" t="s">
        <x:v>34</x:v>
      </x:c>
      <x:c r="E110" s="8" t="s">
        <x:v>423</x:v>
      </x:c>
      <x:c r="F110" s="8" t="s">
        <x:v>427</x:v>
      </x:c>
      <x:c r="G110" s="7" t="s">
        <x:v>1</x:v>
      </x:c>
      <x:c r="H110" s="7" t="str">
        <x:v>Day 04</x:v>
      </x:c>
      <x:c r="I110" s="55">
        <x:v>46199</x:v>
      </x:c>
      <x:c r="J110" s="7" t="s">
        <x:v>428</x:v>
      </x:c>
      <x:c r="K110" s="7">
        <x:v>5</x:v>
      </x:c>
      <x:c r="L110" s="7">
        <x:v>4</x:v>
      </x:c>
      <x:c r="M110" s="7">
        <x:v>0</x:v>
      </x:c>
      <x:c r="N110" s="7">
        <x:v>0</x:v>
      </x:c>
      <x:c r="O110" s="10">
        <x:v>0.2</x:v>
      </x:c>
      <x:c r="P110" s="11" t="e">
        <x:f>HYPERLINK("https://github.com/kapiltrip/hdlBits/blob/main/study/problems/Day%2004/090-exams__2014_q4a.md","Note")</x:f>
        <x:v>HYPERLINK is not implemented. linkLocation=https://github.com/kapiltrip/hdlBits/blob/main/study/problems/Day%2004/090-exams__2014_q4a.md, friendlyName=Note</x:v>
      </x:c>
      <x:c r="Q110" s="11" t="e">
        <x:f>HYPERLINK("https://github.com/kapiltrip/hdlBits/blob/main/study/images/Day%2004/090-exams__2014_q4a.png","Image")</x:f>
        <x:v>HYPERLINK is not implemented. linkLocation=https://github.com/kapiltrip/hdlBits/blob/main/study/images/Day%2004/090-exams__2014_q4a.png, friendlyName=Image</x:v>
      </x:c>
      <x:c r="R110" s="11" t="e">
        <x:f>HYPERLINK("https://github.com/kapiltrip/hdlBits/blob/main/study/solutions/Day%2004/090-exams__2014_q4a.sv","Code")</x:f>
        <x:v>HYPERLINK is not implemented. linkLocation=https://github.com/kapiltrip/hdlBits/blob/main/study/solutions/Day%2004/090-exams__2014_q4a.sv, friendlyName=Code</x:v>
      </x:c>
      <x:c r="S110" s="11" t="e">
        <x:f>HYPERLINK("https://hdlbits.01xz.net/wiki/exams/2014_q4a","HDLBits")</x:f>
        <x:v>HYPERLINK is not implemented. linkLocation=https://hdlbits.01xz.net/wiki/exams/2014_q4a, friendlyName=HDLBits</x:v>
      </x:c>
      <x:c r="T110" s="8" t="s">
        <x:v>429</x:v>
      </x:c>
      <x:c r="U110" s="8"/>
    </x:row>
    <x:row r="111" ht="34.04999923706055" customHeight="1">
      <x:c r="A111" s="3">
        <x:v>93</x:v>
      </x:c>
      <x:c r="B111" s="3" t="n">
        <x:v>91</x:v>
      </x:c>
      <x:c r="C111" s="2" t="s">
        <x:v>27</x:v>
      </x:c>
      <x:c r="D111" s="2" t="s">
        <x:v>34</x:v>
      </x:c>
      <x:c r="E111" s="2" t="s">
        <x:v>430</x:v>
      </x:c>
      <x:c r="F111" s="2" t="s">
        <x:v>431</x:v>
      </x:c>
      <x:c r="G111" s="3" t="s">
        <x:v>1</x:v>
      </x:c>
      <x:c r="H111" s="3" t="str">
        <x:v>Day 04</x:v>
      </x:c>
      <x:c r="I111" s="56">
        <x:v>46199</x:v>
      </x:c>
      <x:c r="J111" s="3" t="s">
        <x:v>432</x:v>
      </x:c>
      <x:c r="K111" s="3">
        <x:v>3</x:v>
      </x:c>
      <x:c r="L111" s="3">
        <x:v>0</x:v>
      </x:c>
      <x:c r="M111" s="3">
        <x:v>2</x:v>
      </x:c>
      <x:c r="N111" s="3">
        <x:v>0</x:v>
      </x:c>
      <x:c r="O111" s="6">
        <x:v>0.33</x:v>
      </x:c>
      <x:c r="P111" s="4" t="e">
        <x:f>HYPERLINK("https://github.com/kapiltrip/hdlBits/blob/main/study/problems/Day%2004/091-exams__ece241_2014_q4.md","Note")</x:f>
        <x:v>HYPERLINK is not implemented. linkLocation=https://github.com/kapiltrip/hdlBits/blob/main/study/problems/Day%2004/091-exams__ece241_2014_q4.md, friendlyName=Note</x:v>
      </x:c>
      <x:c r="Q111" s="4" t="e">
        <x:f>HYPERLINK("https://github.com/kapiltrip/hdlBits/blob/main/study/images/Day%2004/091-exams__ece241_2014_q4.png","Image")</x:f>
        <x:v>HYPERLINK is not implemented. linkLocation=https://github.com/kapiltrip/hdlBits/blob/main/study/images/Day%2004/091-exams__ece241_2014_q4.png, friendlyName=Image</x:v>
      </x:c>
      <x:c r="R111" s="4" t="e">
        <x:f>HYPERLINK("https://github.com/kapiltrip/hdlBits/blob/main/study/solutions/Day%2004/091-exams__ece241_2014_q4.sv","Code")</x:f>
        <x:v>HYPERLINK is not implemented. linkLocation=https://github.com/kapiltrip/hdlBits/blob/main/study/solutions/Day%2004/091-exams__ece241_2014_q4.sv, friendlyName=Code</x:v>
      </x:c>
      <x:c r="S111" s="4" t="e">
        <x:f>HYPERLINK("https://hdlbits.01xz.net/wiki/exams/ece241_2014_q4","HDLBits")</x:f>
        <x:v>HYPERLINK is not implemented. linkLocation=https://hdlbits.01xz.net/wiki/exams/ece241_2014_q4, friendlyName=HDLBits</x:v>
      </x:c>
      <x:c r="T111" s="2" t="s">
        <x:v>433</x:v>
      </x:c>
      <x:c r="U111" s="2"/>
    </x:row>
    <x:row r="112" ht="34.04999923706055" customHeight="1">
      <x:c r="A112" s="7">
        <x:v>94</x:v>
      </x:c>
      <x:c r="B112" s="7" t="n">
        <x:v>92</x:v>
      </x:c>
      <x:c r="C112" s="8" t="s">
        <x:v>27</x:v>
      </x:c>
      <x:c r="D112" s="8" t="s">
        <x:v>34</x:v>
      </x:c>
      <x:c r="E112" s="8" t="s">
        <x:v>434</x:v>
      </x:c>
      <x:c r="F112" s="8" t="s">
        <x:v>435</x:v>
      </x:c>
      <x:c r="G112" s="7" t="s">
        <x:v>1</x:v>
      </x:c>
      <x:c r="H112" s="7" t="str">
        <x:v>Day 04</x:v>
      </x:c>
      <x:c r="I112" s="55">
        <x:v>46199</x:v>
      </x:c>
      <x:c r="J112" s="7" t="s">
        <x:v>436</x:v>
      </x:c>
      <x:c r="K112" s="7">
        <x:v>1</x:v>
      </x:c>
      <x:c r="L112" s="7">
        <x:v>0</x:v>
      </x:c>
      <x:c r="M112" s="7">
        <x:v>0</x:v>
      </x:c>
      <x:c r="N112" s="7">
        <x:v>0</x:v>
      </x:c>
      <x:c r="O112" s="10">
        <x:v>1</x:v>
      </x:c>
      <x:c r="P112" s="11" t="e">
        <x:f>HYPERLINK("https://github.com/kapiltrip/hdlBits/blob/main/study/problems/Day%2004/092-exams__ece241_2013_q7.md","Note")</x:f>
        <x:v>HYPERLINK is not implemented. linkLocation=https://github.com/kapiltrip/hdlBits/blob/main/study/problems/Day%2004/092-exams__ece241_2013_q7.md, friendlyName=Note</x:v>
      </x:c>
      <x:c r="Q112" s="11" t="e">
        <x:f>HYPERLINK("https://github.com/kapiltrip/hdlBits/blob/main/study/images/Day%2004/092-exams__ece241_2013_q7.png","Image")</x:f>
        <x:v>HYPERLINK is not implemented. linkLocation=https://github.com/kapiltrip/hdlBits/blob/main/study/images/Day%2004/092-exams__ece241_2013_q7.png, friendlyName=Image</x:v>
      </x:c>
      <x:c r="R112" s="11" t="e">
        <x:f>HYPERLINK("https://github.com/kapiltrip/hdlBits/blob/main/study/solutions/Day%2004/092-exams__ece241_2013_q7.sv","Code")</x:f>
        <x:v>HYPERLINK is not implemented. linkLocation=https://github.com/kapiltrip/hdlBits/blob/main/study/solutions/Day%2004/092-exams__ece241_2013_q7.sv, friendlyName=Code</x:v>
      </x:c>
      <x:c r="S112" s="11" t="e">
        <x:f>HYPERLINK("https://hdlbits.01xz.net/wiki/exams/ece241_2013_q7","HDLBits")</x:f>
        <x:v>HYPERLINK is not implemented. linkLocation=https://hdlbits.01xz.net/wiki/exams/ece241_2013_q7, friendlyName=HDLBits</x:v>
      </x:c>
      <x:c r="T112" s="8" t="s">
        <x:v>437</x:v>
      </x:c>
      <x:c r="U112" s="8"/>
    </x:row>
    <x:row r="113" ht="34.04999923706055" customHeight="1">
      <x:c r="A113" s="3">
        <x:v>95</x:v>
      </x:c>
      <x:c r="B113" s="3" t="n">
        <x:v>93</x:v>
      </x:c>
      <x:c r="C113" s="2" t="s">
        <x:v>27</x:v>
      </x:c>
      <x:c r="D113" s="2" t="s">
        <x:v>34</x:v>
      </x:c>
      <x:c r="E113" s="2" t="s">
        <x:v>438</x:v>
      </x:c>
      <x:c r="F113" s="2" t="s">
        <x:v>439</x:v>
      </x:c>
      <x:c r="G113" s="3" t="s">
        <x:v>1</x:v>
      </x:c>
      <x:c r="H113" s="3" t="str">
        <x:v>Day 04</x:v>
      </x:c>
      <x:c r="I113" s="56">
        <x:v>46199</x:v>
      </x:c>
      <x:c r="J113" s="3" t="s">
        <x:v>440</x:v>
      </x:c>
      <x:c r="K113" s="3">
        <x:v>1</x:v>
      </x:c>
      <x:c r="L113" s="3">
        <x:v>0</x:v>
      </x:c>
      <x:c r="M113" s="3">
        <x:v>0</x:v>
      </x:c>
      <x:c r="N113" s="3">
        <x:v>0</x:v>
      </x:c>
      <x:c r="O113" s="6">
        <x:v>1</x:v>
      </x:c>
      <x:c r="P113" s="4" t="e">
        <x:f>HYPERLINK("https://github.com/kapiltrip/hdlBits/blob/main/study/problems/Day%2004/093-edgedetect.md","Note")</x:f>
        <x:v>HYPERLINK is not implemented. linkLocation=https://github.com/kapiltrip/hdlBits/blob/main/study/problems/Day%2004/093-edgedetect.md, friendlyName=Note</x:v>
      </x:c>
      <x:c r="Q113" s="4" t="e">
        <x:f>HYPERLINK("https://github.com/kapiltrip/hdlBits/blob/main/study/images/Day%2004/093-edgedetect.png","Image")</x:f>
        <x:v>HYPERLINK is not implemented. linkLocation=https://github.com/kapiltrip/hdlBits/blob/main/study/images/Day%2004/093-edgedetect.png, friendlyName=Image</x:v>
      </x:c>
      <x:c r="R113" s="4" t="e">
        <x:f>HYPERLINK("https://github.com/kapiltrip/hdlBits/blob/main/study/solutions/Day%2004/093-edgedetect.sv","Code")</x:f>
        <x:v>HYPERLINK is not implemented. linkLocation=https://github.com/kapiltrip/hdlBits/blob/main/study/solutions/Day%2004/093-edgedetect.sv, friendlyName=Code</x:v>
      </x:c>
      <x:c r="S113" s="4" t="e">
        <x:f>HYPERLINK("https://hdlbits.01xz.net/wiki/edgedetect","HDLBits")</x:f>
        <x:v>HYPERLINK is not implemented. linkLocation=https://hdlbits.01xz.net/wiki/edgedetect, friendlyName=HDLBits</x:v>
      </x:c>
      <x:c r="T113" s="2" t="s">
        <x:v>441</x:v>
      </x:c>
      <x:c r="U113" s="2"/>
    </x:row>
    <x:row r="114" ht="34.04999923706055" customHeight="1">
      <x:c r="A114" s="7">
        <x:v>96</x:v>
      </x:c>
      <x:c r="B114" s="7" t="n">
        <x:v>94</x:v>
      </x:c>
      <x:c r="C114" s="8" t="s">
        <x:v>27</x:v>
      </x:c>
      <x:c r="D114" s="8" t="s">
        <x:v>34</x:v>
      </x:c>
      <x:c r="E114" s="8" t="s">
        <x:v>442</x:v>
      </x:c>
      <x:c r="F114" s="8" t="s">
        <x:v>443</x:v>
      </x:c>
      <x:c r="G114" s="7" t="s">
        <x:v>1</x:v>
      </x:c>
      <x:c r="H114" s="7" t="str">
        <x:v>Day 04</x:v>
      </x:c>
      <x:c r="I114" s="55">
        <x:v>46199</x:v>
      </x:c>
      <x:c r="J114" s="7" t="s">
        <x:v>444</x:v>
      </x:c>
      <x:c r="K114" s="7">
        <x:v>1</x:v>
      </x:c>
      <x:c r="L114" s="7">
        <x:v>0</x:v>
      </x:c>
      <x:c r="M114" s="7">
        <x:v>0</x:v>
      </x:c>
      <x:c r="N114" s="7">
        <x:v>0</x:v>
      </x:c>
      <x:c r="O114" s="10">
        <x:v>1</x:v>
      </x:c>
      <x:c r="P114" s="11" t="e">
        <x:f>HYPERLINK("https://github.com/kapiltrip/hdlBits/blob/main/study/problems/Day%2004/094-edgedetect2.md","Note")</x:f>
        <x:v>HYPERLINK is not implemented. linkLocation=https://github.com/kapiltrip/hdlBits/blob/main/study/problems/Day%2004/094-edgedetect2.md, friendlyName=Note</x:v>
      </x:c>
      <x:c r="Q114" s="11" t="e">
        <x:f>HYPERLINK("https://github.com/kapiltrip/hdlBits/blob/main/study/images/Day%2004/094-edgedetect2.png","Image")</x:f>
        <x:v>HYPERLINK is not implemented. linkLocation=https://github.com/kapiltrip/hdlBits/blob/main/study/images/Day%2004/094-edgedetect2.png, friendlyName=Image</x:v>
      </x:c>
      <x:c r="R114" s="11" t="e">
        <x:f>HYPERLINK("https://github.com/kapiltrip/hdlBits/blob/main/study/solutions/Day%2004/094-edgedetect2.sv","Code")</x:f>
        <x:v>HYPERLINK is not implemented. linkLocation=https://github.com/kapiltrip/hdlBits/blob/main/study/solutions/Day%2004/094-edgedetect2.sv, friendlyName=Code</x:v>
      </x:c>
      <x:c r="S114" s="11" t="e">
        <x:f>HYPERLINK("https://hdlbits.01xz.net/wiki/edgedetect2","HDLBits")</x:f>
        <x:v>HYPERLINK is not implemented. linkLocation=https://hdlbits.01xz.net/wiki/edgedetect2, friendlyName=HDLBits</x:v>
      </x:c>
      <x:c r="T114" s="8" t="s">
        <x:v>445</x:v>
      </x:c>
      <x:c r="U114" s="8"/>
    </x:row>
    <x:row r="115" ht="34.04999923706055" customHeight="1">
      <x:c r="A115" s="3">
        <x:v>97</x:v>
      </x:c>
      <x:c r="B115" s="3" t="n">
        <x:v>95</x:v>
      </x:c>
      <x:c r="C115" s="2" t="s">
        <x:v>27</x:v>
      </x:c>
      <x:c r="D115" s="2" t="s">
        <x:v>34</x:v>
      </x:c>
      <x:c r="E115" s="2" t="s">
        <x:v>446</x:v>
      </x:c>
      <x:c r="F115" s="2" t="s">
        <x:v>447</x:v>
      </x:c>
      <x:c r="G115" s="3" t="s">
        <x:v>1</x:v>
      </x:c>
      <x:c r="H115" s="3" t="str">
        <x:v>Day 04</x:v>
      </x:c>
      <x:c r="I115" s="56">
        <x:v>46199</x:v>
      </x:c>
      <x:c r="J115" s="3" t="s">
        <x:v>448</x:v>
      </x:c>
      <x:c r="K115" s="3">
        <x:v>7</x:v>
      </x:c>
      <x:c r="L115" s="3">
        <x:v>5</x:v>
      </x:c>
      <x:c r="M115" s="3">
        <x:v>1</x:v>
      </x:c>
      <x:c r="N115" s="3">
        <x:v>0</x:v>
      </x:c>
      <x:c r="O115" s="6">
        <x:v>0.14000000000000001</x:v>
      </x:c>
      <x:c r="P115" s="4" t="e">
        <x:f>HYPERLINK("https://github.com/kapiltrip/hdlBits/blob/main/study/problems/Day%2004/095-edgecapture.md","Note")</x:f>
        <x:v>HYPERLINK is not implemented. linkLocation=https://github.com/kapiltrip/hdlBits/blob/main/study/problems/Day%2004/095-edgecapture.md, friendlyName=Note</x:v>
      </x:c>
      <x:c r="Q115" s="4" t="e">
        <x:f>HYPERLINK("https://github.com/kapiltrip/hdlBits/blob/main/study/images/Day%2004/095-edgecapture.png","Image")</x:f>
        <x:v>HYPERLINK is not implemented. linkLocation=https://github.com/kapiltrip/hdlBits/blob/main/study/images/Day%2004/095-edgecapture.png, friendlyName=Image</x:v>
      </x:c>
      <x:c r="R115" s="4" t="e">
        <x:f>HYPERLINK("https://github.com/kapiltrip/hdlBits/blob/main/study/solutions/Day%2004/095-edgecapture.sv","Code")</x:f>
        <x:v>HYPERLINK is not implemented. linkLocation=https://github.com/kapiltrip/hdlBits/blob/main/study/solutions/Day%2004/095-edgecapture.sv, friendlyName=Code</x:v>
      </x:c>
      <x:c r="S115" s="4" t="e">
        <x:f>HYPERLINK("https://hdlbits.01xz.net/wiki/edgecapture","HDLBits")</x:f>
        <x:v>HYPERLINK is not implemented. linkLocation=https://hdlbits.01xz.net/wiki/edgecapture, friendlyName=HDLBits</x:v>
      </x:c>
      <x:c r="T115" s="2" t="s">
        <x:v>449</x:v>
      </x:c>
      <x:c r="U115" s="2"/>
    </x:row>
    <x:row r="116" ht="34.04999923706055" customHeight="1">
      <x:c r="A116" s="7">
        <x:v>98</x:v>
      </x:c>
      <x:c r="B116" s="7" t="n">
        <x:v>96</x:v>
      </x:c>
      <x:c r="C116" s="8" t="s">
        <x:v>27</x:v>
      </x:c>
      <x:c r="D116" s="8" t="s">
        <x:v>34</x:v>
      </x:c>
      <x:c r="E116" s="8" t="s">
        <x:v>450</x:v>
      </x:c>
      <x:c r="F116" s="8" t="s">
        <x:v>451</x:v>
      </x:c>
      <x:c r="G116" s="7" t="s">
        <x:v>1</x:v>
      </x:c>
      <x:c r="H116" s="7" t="str">
        <x:v>Day 04</x:v>
      </x:c>
      <x:c r="I116" s="55">
        <x:v>46199</x:v>
      </x:c>
      <x:c r="J116" s="7" t="s">
        <x:v>452</x:v>
      </x:c>
      <x:c r="K116" s="7">
        <x:v>7</x:v>
      </x:c>
      <x:c r="L116" s="7">
        <x:v>4</x:v>
      </x:c>
      <x:c r="M116" s="7">
        <x:v>2</x:v>
      </x:c>
      <x:c r="N116" s="7">
        <x:v>0</x:v>
      </x:c>
      <x:c r="O116" s="10">
        <x:v>0.14000000000000001</x:v>
      </x:c>
      <x:c r="P116" s="11" t="e">
        <x:f>HYPERLINK("https://github.com/kapiltrip/hdlBits/blob/main/study/problems/Day%2004/096-dualedge.md","Note")</x:f>
        <x:v>HYPERLINK is not implemented. linkLocation=https://github.com/kapiltrip/hdlBits/blob/main/study/problems/Day%2004/096-dualedge.md, friendlyName=Note</x:v>
      </x:c>
      <x:c r="Q116" s="11" t="e">
        <x:f>HYPERLINK("https://github.com/kapiltrip/hdlBits/blob/main/study/images/Day%2004/096-dualedge.png","Image")</x:f>
        <x:v>HYPERLINK is not implemented. linkLocation=https://github.com/kapiltrip/hdlBits/blob/main/study/images/Day%2004/096-dualedge.png, friendlyName=Image</x:v>
      </x:c>
      <x:c r="R116" s="11" t="e">
        <x:f>HYPERLINK("https://github.com/kapiltrip/hdlBits/blob/main/study/solutions/Day%2004/096-dualedge.sv","Code")</x:f>
        <x:v>HYPERLINK is not implemented. linkLocation=https://github.com/kapiltrip/hdlBits/blob/main/study/solutions/Day%2004/096-dualedge.sv, friendlyName=Code</x:v>
      </x:c>
      <x:c r="S116" s="11" t="e">
        <x:f>HYPERLINK("https://hdlbits.01xz.net/wiki/dualedge","HDLBits")</x:f>
        <x:v>HYPERLINK is not implemented. linkLocation=https://hdlbits.01xz.net/wiki/dualedge, friendlyName=HDLBits</x:v>
      </x:c>
      <x:c r="T116" s="8" t="s">
        <x:v>453</x:v>
      </x:c>
      <x:c r="U116" s="8"/>
    </x:row>
    <x:row r="117" ht="22.049999237060547" customHeight="1">
      <x:c r="A117" s="44" t="s">
        <x:v>454</x:v>
      </x:c>
      <x:c r="B117" s="44"/>
      <x:c r="C117" s="44"/>
      <x:c r="D117" s="44"/>
      <x:c r="E117" s="44"/>
      <x:c r="F117" s="44"/>
      <x:c r="G117" s="44"/>
      <x:c r="H117" s="44"/>
      <x:c r="I117" s="60"/>
      <x:c r="J117" s="44"/>
      <x:c r="K117" s="44"/>
      <x:c r="L117" s="44"/>
      <x:c r="M117" s="44"/>
      <x:c r="N117" s="44"/>
      <x:c r="O117" s="46"/>
      <x:c r="P117" s="44"/>
      <x:c r="Q117" s="44"/>
      <x:c r="R117" s="44"/>
      <x:c r="S117" s="44"/>
      <x:c r="T117" s="44"/>
      <x:c r="U117" s="44"/>
    </x:row>
    <x:row r="118" ht="34.04999923706055" customHeight="1">
      <x:c r="A118" s="3">
        <x:v>99</x:v>
      </x:c>
      <x:c r="B118" s="3" t="n">
        <x:v>97</x:v>
      </x:c>
      <x:c r="C118" s="2" t="s">
        <x:v>27</x:v>
      </x:c>
      <x:c r="D118" s="2" t="s">
        <x:v>35</x:v>
      </x:c>
      <x:c r="E118" s="2" t="s">
        <x:v>455</x:v>
      </x:c>
      <x:c r="F118" s="2" t="s">
        <x:v>456</x:v>
      </x:c>
      <x:c r="G118" s="3" t="s">
        <x:v>1</x:v>
      </x:c>
      <x:c r="H118" s="3" t="str">
        <x:v>Day 04</x:v>
      </x:c>
      <x:c r="I118" s="56">
        <x:v>46199</x:v>
      </x:c>
      <x:c r="J118" s="3" t="s">
        <x:v>457</x:v>
      </x:c>
      <x:c r="K118" s="3">
        <x:v>5</x:v>
      </x:c>
      <x:c r="L118" s="3">
        <x:v>4</x:v>
      </x:c>
      <x:c r="M118" s="3">
        <x:v>0</x:v>
      </x:c>
      <x:c r="N118" s="3">
        <x:v>0</x:v>
      </x:c>
      <x:c r="O118" s="6">
        <x:v>0.2</x:v>
      </x:c>
      <x:c r="P118" s="4" t="e">
        <x:f>HYPERLINK("https://github.com/kapiltrip/hdlBits/blob/main/study/problems/Day%2004/097-count15.md","Note")</x:f>
        <x:v>HYPERLINK is not implemented. linkLocation=https://github.com/kapiltrip/hdlBits/blob/main/study/problems/Day%2004/097-count15.md, friendlyName=Note</x:v>
      </x:c>
      <x:c r="Q118" s="4" t="e">
        <x:f>HYPERLINK("https://github.com/kapiltrip/hdlBits/blob/main/study/images/Day%2004/097-count15.png","Image")</x:f>
        <x:v>HYPERLINK is not implemented. linkLocation=https://github.com/kapiltrip/hdlBits/blob/main/study/images/Day%2004/097-count15.png, friendlyName=Image</x:v>
      </x:c>
      <x:c r="R118" s="4" t="e">
        <x:f>HYPERLINK("https://github.com/kapiltrip/hdlBits/blob/main/study/solutions/Day%2004/097-count15.sv","Code")</x:f>
        <x:v>HYPERLINK is not implemented. linkLocation=https://github.com/kapiltrip/hdlBits/blob/main/study/solutions/Day%2004/097-count15.sv, friendlyName=Code</x:v>
      </x:c>
      <x:c r="S118" s="4" t="e">
        <x:f>HYPERLINK("https://hdlbits.01xz.net/wiki/count15","HDLBits")</x:f>
        <x:v>HYPERLINK is not implemented. linkLocation=https://hdlbits.01xz.net/wiki/count15, friendlyName=HDLBits</x:v>
      </x:c>
      <x:c r="T118" s="2" t="s">
        <x:v>458</x:v>
      </x:c>
      <x:c r="U118" s="2"/>
    </x:row>
    <x:row r="119" ht="34.04999923706055" customHeight="1">
      <x:c r="A119" s="7">
        <x:v>100</x:v>
      </x:c>
      <x:c r="B119" s="7" t="n">
        <x:v>98</x:v>
      </x:c>
      <x:c r="C119" s="8" t="s">
        <x:v>27</x:v>
      </x:c>
      <x:c r="D119" s="8" t="s">
        <x:v>35</x:v>
      </x:c>
      <x:c r="E119" s="8" t="s">
        <x:v>459</x:v>
      </x:c>
      <x:c r="F119" s="8" t="s">
        <x:v>460</x:v>
      </x:c>
      <x:c r="G119" s="7" t="s">
        <x:v>1</x:v>
      </x:c>
      <x:c r="H119" s="7" t="str">
        <x:v>Day 04</x:v>
      </x:c>
      <x:c r="I119" s="55">
        <x:v>46199</x:v>
      </x:c>
      <x:c r="J119" s="7" t="s">
        <x:v>461</x:v>
      </x:c>
      <x:c r="K119" s="7">
        <x:v>3</x:v>
      </x:c>
      <x:c r="L119" s="7">
        <x:v>2</x:v>
      </x:c>
      <x:c r="M119" s="7">
        <x:v>0</x:v>
      </x:c>
      <x:c r="N119" s="7">
        <x:v>0</x:v>
      </x:c>
      <x:c r="O119" s="10">
        <x:v>0.33</x:v>
      </x:c>
      <x:c r="P119" s="11" t="e">
        <x:f>HYPERLINK("https://github.com/kapiltrip/hdlBits/blob/main/study/problems/Day%2004/098-count10.md","Note")</x:f>
        <x:v>HYPERLINK is not implemented. linkLocation=https://github.com/kapiltrip/hdlBits/blob/main/study/problems/Day%2004/098-count10.md, friendlyName=Note</x:v>
      </x:c>
      <x:c r="Q119" s="11" t="e">
        <x:f>HYPERLINK("https://github.com/kapiltrip/hdlBits/blob/main/study/images/Day%2004/098-count10.png","Image")</x:f>
        <x:v>HYPERLINK is not implemented. linkLocation=https://github.com/kapiltrip/hdlBits/blob/main/study/images/Day%2004/098-count10.png, friendlyName=Image</x:v>
      </x:c>
      <x:c r="R119" s="11" t="e">
        <x:f>HYPERLINK("https://github.com/kapiltrip/hdlBits/blob/main/study/solutions/Day%2004/098-count10.sv","Code")</x:f>
        <x:v>HYPERLINK is not implemented. linkLocation=https://github.com/kapiltrip/hdlBits/blob/main/study/solutions/Day%2004/098-count10.sv, friendlyName=Code</x:v>
      </x:c>
      <x:c r="S119" s="11" t="e">
        <x:f>HYPERLINK("https://hdlbits.01xz.net/wiki/count10","HDLBits")</x:f>
        <x:v>HYPERLINK is not implemented. linkLocation=https://hdlbits.01xz.net/wiki/count10, friendlyName=HDLBits</x:v>
      </x:c>
      <x:c r="T119" s="8" t="s">
        <x:v>462</x:v>
      </x:c>
      <x:c r="U119" s="8"/>
    </x:row>
    <x:row r="120" ht="34.04999923706055" customHeight="1">
      <x:c r="A120" s="3">
        <x:v>101</x:v>
      </x:c>
      <x:c r="B120" s="3" t="n">
        <x:v>99</x:v>
      </x:c>
      <x:c r="C120" s="2" t="s">
        <x:v>27</x:v>
      </x:c>
      <x:c r="D120" s="2" t="s">
        <x:v>35</x:v>
      </x:c>
      <x:c r="E120" s="2" t="s">
        <x:v>463</x:v>
      </x:c>
      <x:c r="F120" s="2" t="s">
        <x:v>464</x:v>
      </x:c>
      <x:c r="G120" s="3" t="s">
        <x:v>1</x:v>
      </x:c>
      <x:c r="H120" s="3" t="str">
        <x:v>Day 04</x:v>
      </x:c>
      <x:c r="I120" s="56">
        <x:v>46199</x:v>
      </x:c>
      <x:c r="J120" s="3" t="s">
        <x:v>465</x:v>
      </x:c>
      <x:c r="K120" s="3">
        <x:v>3</x:v>
      </x:c>
      <x:c r="L120" s="3">
        <x:v>1</x:v>
      </x:c>
      <x:c r="M120" s="3">
        <x:v>1</x:v>
      </x:c>
      <x:c r="N120" s="3">
        <x:v>0</x:v>
      </x:c>
      <x:c r="O120" s="6">
        <x:v>0.33</x:v>
      </x:c>
      <x:c r="P120" s="4" t="e">
        <x:f>HYPERLINK("https://github.com/kapiltrip/hdlBits/blob/main/study/problems/Day%2004/099-count1to10.md","Note")</x:f>
        <x:v>HYPERLINK is not implemented. linkLocation=https://github.com/kapiltrip/hdlBits/blob/main/study/problems/Day%2004/099-count1to10.md, friendlyName=Note</x:v>
      </x:c>
      <x:c r="Q120" s="4" t="e">
        <x:f>HYPERLINK("https://github.com/kapiltrip/hdlBits/blob/main/study/images/Day%2004/099-count1to10.png","Image")</x:f>
        <x:v>HYPERLINK is not implemented. linkLocation=https://github.com/kapiltrip/hdlBits/blob/main/study/images/Day%2004/099-count1to10.png, friendlyName=Image</x:v>
      </x:c>
      <x:c r="R120" s="4" t="e">
        <x:f>HYPERLINK("https://github.com/kapiltrip/hdlBits/blob/main/study/solutions/Day%2004/099-count1to10.sv","Code")</x:f>
        <x:v>HYPERLINK is not implemented. linkLocation=https://github.com/kapiltrip/hdlBits/blob/main/study/solutions/Day%2004/099-count1to10.sv, friendlyName=Code</x:v>
      </x:c>
      <x:c r="S120" s="4" t="e">
        <x:f>HYPERLINK("https://hdlbits.01xz.net/wiki/count1to10","HDLBits")</x:f>
        <x:v>HYPERLINK is not implemented. linkLocation=https://hdlbits.01xz.net/wiki/count1to10, friendlyName=HDLBits</x:v>
      </x:c>
      <x:c r="T120" s="2" t="s">
        <x:v>466</x:v>
      </x:c>
      <x:c r="U120" s="2"/>
    </x:row>
    <x:row r="121" ht="34.04999923706055" customHeight="1">
      <x:c r="A121" s="7">
        <x:v>102</x:v>
      </x:c>
      <x:c r="B121" s="7" t="n">
        <x:v>100</x:v>
      </x:c>
      <x:c r="C121" s="8" t="s">
        <x:v>27</x:v>
      </x:c>
      <x:c r="D121" s="8" t="s">
        <x:v>35</x:v>
      </x:c>
      <x:c r="E121" s="8" t="s">
        <x:v>467</x:v>
      </x:c>
      <x:c r="F121" s="8" t="s">
        <x:v>468</x:v>
      </x:c>
      <x:c r="G121" s="7" t="s">
        <x:v>1</x:v>
      </x:c>
      <x:c r="H121" s="7" t="str">
        <x:v>Day 04</x:v>
      </x:c>
      <x:c r="I121" s="55">
        <x:v>46199</x:v>
      </x:c>
      <x:c r="J121" s="7" t="s">
        <x:v>469</x:v>
      </x:c>
      <x:c r="K121" s="7">
        <x:v>3</x:v>
      </x:c>
      <x:c r="L121" s="7">
        <x:v>1</x:v>
      </x:c>
      <x:c r="M121" s="7">
        <x:v>0</x:v>
      </x:c>
      <x:c r="N121" s="7">
        <x:v>0</x:v>
      </x:c>
      <x:c r="O121" s="10">
        <x:v>0.67</x:v>
      </x:c>
      <x:c r="P121" s="11" t="e">
        <x:f>HYPERLINK("https://github.com/kapiltrip/hdlBits/blob/main/study/problems/Day%2004/100-countslow.md","Note")</x:f>
        <x:v>HYPERLINK is not implemented. linkLocation=https://github.com/kapiltrip/hdlBits/blob/main/study/problems/Day%2004/100-countslow.md, friendlyName=Note</x:v>
      </x:c>
      <x:c r="Q121" s="11" t="e">
        <x:f>HYPERLINK("https://github.com/kapiltrip/hdlBits/blob/main/study/images/Day%2004/100-countslow.png","Image")</x:f>
        <x:v>HYPERLINK is not implemented. linkLocation=https://github.com/kapiltrip/hdlBits/blob/main/study/images/Day%2004/100-countslow.png, friendlyName=Image</x:v>
      </x:c>
      <x:c r="R121" s="11" t="e">
        <x:f>HYPERLINK("https://github.com/kapiltrip/hdlBits/blob/main/study/solutions/Day%2004/100-countslow.sv","Code")</x:f>
        <x:v>HYPERLINK is not implemented. linkLocation=https://github.com/kapiltrip/hdlBits/blob/main/study/solutions/Day%2004/100-countslow.sv, friendlyName=Code</x:v>
      </x:c>
      <x:c r="S121" s="11" t="e">
        <x:f>HYPERLINK("https://hdlbits.01xz.net/wiki/countslow","HDLBits")</x:f>
        <x:v>HYPERLINK is not implemented. linkLocation=https://hdlbits.01xz.net/wiki/countslow, friendlyName=HDLBits</x:v>
      </x:c>
      <x:c r="T121" s="8" t="s">
        <x:v>470</x:v>
      </x:c>
      <x:c r="U121" s="8"/>
    </x:row>
    <x:row r="122" ht="34.04999923706055" customHeight="1">
      <x:c r="A122" s="3">
        <x:v>103</x:v>
      </x:c>
      <x:c r="B122" s="3" t="n">
        <x:v>143</x:v>
      </x:c>
      <x:c r="C122" s="2" t="s">
        <x:v>27</x:v>
      </x:c>
      <x:c r="D122" s="2" t="s">
        <x:v>35</x:v>
      </x:c>
      <x:c r="E122" s="2" t="s">
        <x:v>471</x:v>
      </x:c>
      <x:c r="F122" s="2" t="s">
        <x:v>472</x:v>
      </x:c>
      <x:c r="G122" s="3" t="s">
        <x:v>1</x:v>
      </x:c>
      <x:c r="H122" s="3" t="str">
        <x:v>Day 08</x:v>
      </x:c>
      <x:c r="I122" s="56">
        <x:v>46203</x:v>
      </x:c>
      <x:c r="J122" s="48">
        <x:v>0.69167824074074069</x:v>
      </x:c>
      <x:c r="K122" s="3">
        <x:v>4</x:v>
      </x:c>
      <x:c r="L122" s="3">
        <x:v>2</x:v>
      </x:c>
      <x:c r="M122" s="3">
        <x:v>1</x:v>
      </x:c>
      <x:c r="N122" s="3">
        <x:v>0</x:v>
      </x:c>
      <x:c r="O122" s="6">
        <x:v>0.25</x:v>
      </x:c>
      <x:c r="P122" s="49" t="e">
        <x:f>HYPERLINK("https://github.com/kapiltrip/hdlBits/blob/main/study/problems/Day%2008/143-exams__ece241_2014_q7a.md","Note")</x:f>
        <x:v>HYPERLINK is not implemented. linkLocation=https://github.com/kapiltrip/hdlBits/blob/main/study/problems/Day%2008/143-exams__ece241_2014_q7a.md, friendlyName=Note</x:v>
      </x:c>
      <x:c r="Q122" s="49" t="e">
        <x:f>HYPERLINK("https://github.com/kapiltrip/hdlBits/blob/main/study/images/Day%2008/143-exams__ece241_2014_q7a.png","Image")</x:f>
        <x:v>HYPERLINK is not implemented. linkLocation=https://github.com/kapiltrip/hdlBits/blob/main/study/images/Day%2008/143-exams__ece241_2014_q7a.png, friendlyName=Image</x:v>
      </x:c>
      <x:c r="R122" s="49" t="e">
        <x:f>HYPERLINK("https://github.com/kapiltrip/hdlBits/blob/main/study/solutions/Day%2008/143-exams__ece241_2014_q7a.sv","Code")</x:f>
        <x:v>HYPERLINK is not implemented. linkLocation=https://github.com/kapiltrip/hdlBits/blob/main/study/solutions/Day%2008/143-exams__ece241_2014_q7a.sv, friendlyName=Code</x:v>
      </x:c>
      <x:c r="S122" s="49" t="e">
        <x:f>HYPERLINK("https://hdlbits.01xz.net/wiki/exams/ece241_2014_q7a","HDLBits")</x:f>
        <x:v>HYPERLINK is not implemented. linkLocation=https://hdlbits.01xz.net/wiki/exams/ece241_2014_q7a, friendlyName=HDLBits</x:v>
      </x:c>
      <x:c r="T122" s="2" t="s">
        <x:v>473</x:v>
      </x:c>
      <x:c r="U122" s="2"/>
    </x:row>
    <x:row r="123" ht="34.04999923706055" customHeight="1">
      <x:c r="A123" s="7">
        <x:v>104</x:v>
      </x:c>
      <x:c r="B123" s="7" t="n">
        <x:v>144</x:v>
      </x:c>
      <x:c r="C123" s="8" t="s">
        <x:v>27</x:v>
      </x:c>
      <x:c r="D123" s="8" t="s">
        <x:v>35</x:v>
      </x:c>
      <x:c r="E123" s="8" t="s">
        <x:v>474</x:v>
      </x:c>
      <x:c r="F123" s="8" t="s">
        <x:v>475</x:v>
      </x:c>
      <x:c r="G123" s="7" t="s">
        <x:v>1</x:v>
      </x:c>
      <x:c r="H123" s="7" t="str">
        <x:v>Day 09</x:v>
      </x:c>
      <x:c r="I123" s="55">
        <x:v>46205</x:v>
      </x:c>
      <x:c r="J123" s="51">
        <x:v>0.6317476851851852</x:v>
      </x:c>
      <x:c r="K123" s="7">
        <x:v>15</x:v>
      </x:c>
      <x:c r="L123" s="7">
        <x:v>8</x:v>
      </x:c>
      <x:c r="M123" s="7">
        <x:v>6</x:v>
      </x:c>
      <x:c r="N123" s="7">
        <x:v>0</x:v>
      </x:c>
      <x:c r="O123" s="10">
        <x:v>6.6666666666666666E-2</x:v>
      </x:c>
      <x:c r="P123" s="52" t="e">
        <x:f>HYPERLINK("https://github.com/kapiltrip/hdlBits/blob/main/study/problems/Day%2009/144-exams__ece241_2014_q7b.md","Note")</x:f>
        <x:v>HYPERLINK is not implemented. linkLocation=https://github.com/kapiltrip/hdlBits/blob/main/study/problems/Day%2009/144-exams__ece241_2014_q7b.md, friendlyName=Note</x:v>
      </x:c>
      <x:c r="Q123" s="52" t="e">
        <x:f>HYPERLINK("https://github.com/kapiltrip/hdlBits/blob/main/study/images/Day%2009/144-exams__ece241_2014_q7b.png","Image")</x:f>
        <x:v>HYPERLINK is not implemented. linkLocation=https://github.com/kapiltrip/hdlBits/blob/main/study/images/Day%2009/144-exams__ece241_2014_q7b.png, friendlyName=Image</x:v>
      </x:c>
      <x:c r="R123" s="52" t="e">
        <x:f>HYPERLINK("https://github.com/kapiltrip/hdlBits/blob/main/study/solutions/Day%2009/144-exams__ece241_2014_q7b.sv","Code")</x:f>
        <x:v>HYPERLINK is not implemented. linkLocation=https://github.com/kapiltrip/hdlBits/blob/main/study/solutions/Day%2009/144-exams__ece241_2014_q7b.sv, friendlyName=Code</x:v>
      </x:c>
      <x:c r="S123" s="52" t="e">
        <x:f>HYPERLINK("https://hdlbits.01xz.net/wiki/exams/ece241_2014_q7b","HDLBits")</x:f>
        <x:v>HYPERLINK is not implemented. linkLocation=https://hdlbits.01xz.net/wiki/exams/ece241_2014_q7b, friendlyName=HDLBits</x:v>
      </x:c>
      <x:c r="T123" s="8" t="s">
        <x:v>476</x:v>
      </x:c>
      <x:c r="U123" s="8"/>
    </x:row>
    <x:row r="124" ht="34.04999923706055" customHeight="1">
      <x:c r="A124" s="3">
        <x:v>105</x:v>
      </x:c>
      <x:c r="B124" s="3" t="n">
        <x:v>145</x:v>
      </x:c>
      <x:c r="C124" s="2" t="s">
        <x:v>27</x:v>
      </x:c>
      <x:c r="D124" s="2" t="s">
        <x:v>35</x:v>
      </x:c>
      <x:c r="E124" s="2" t="s">
        <x:v>477</x:v>
      </x:c>
      <x:c r="F124" s="2" t="s">
        <x:v>478</x:v>
      </x:c>
      <x:c r="G124" s="3" t="s">
        <x:v>1</x:v>
      </x:c>
      <x:c r="H124" s="3" t="str">
        <x:v>Day 09</x:v>
      </x:c>
      <x:c r="I124" s="56">
        <x:v>46205</x:v>
      </x:c>
      <x:c r="J124" s="48">
        <x:v>6.1805555555555555E-3</x:v>
      </x:c>
      <x:c r="K124" s="3">
        <x:v>11</x:v>
      </x:c>
      <x:c r="L124" s="3">
        <x:v>1</x:v>
      </x:c>
      <x:c r="M124" s="3">
        <x:v>9</x:v>
      </x:c>
      <x:c r="N124" s="3">
        <x:v>0</x:v>
      </x:c>
      <x:c r="O124" s="6">
        <x:v>9.0909090909090912E-2</x:v>
      </x:c>
      <x:c r="P124" s="49" t="e">
        <x:f>HYPERLINK("https://github.com/kapiltrip/hdlBits/blob/main/study/problems/Day%2009/145-countbcd.md","Note")</x:f>
        <x:v>HYPERLINK is not implemented. linkLocation=https://github.com/kapiltrip/hdlBits/blob/main/study/problems/Day%2009/145-countbcd.md, friendlyName=Note</x:v>
      </x:c>
      <x:c r="Q124" s="49" t="e">
        <x:f>HYPERLINK("https://github.com/kapiltrip/hdlBits/blob/main/study/images/Day%2009/145-countbcd.png","Image")</x:f>
        <x:v>HYPERLINK is not implemented. linkLocation=https://github.com/kapiltrip/hdlBits/blob/main/study/images/Day%2009/145-countbcd.png, friendlyName=Image</x:v>
      </x:c>
      <x:c r="R124" s="49" t="e">
        <x:f>HYPERLINK("https://github.com/kapiltrip/hdlBits/blob/main/study/solutions/Day%2009/145-countbcd.sv","Code")</x:f>
        <x:v>HYPERLINK is not implemented. linkLocation=https://github.com/kapiltrip/hdlBits/blob/main/study/solutions/Day%2009/145-countbcd.sv, friendlyName=Code</x:v>
      </x:c>
      <x:c r="S124" s="49" t="e">
        <x:f>HYPERLINK("https://hdlbits.01xz.net/wiki/countbcd","HDLBits")</x:f>
        <x:v>HYPERLINK is not implemented. linkLocation=https://hdlbits.01xz.net/wiki/countbcd, friendlyName=HDLBits</x:v>
      </x:c>
      <x:c r="T124" s="2" t="s">
        <x:v>479</x:v>
      </x:c>
      <x:c r="U124" s="2"/>
    </x:row>
    <x:row r="125" ht="34.04999923706055" customHeight="1">
      <x:c r="A125" s="7">
        <x:v>106</x:v>
      </x:c>
      <x:c r="B125" s="7" t="n">
        <x:v>146</x:v>
      </x:c>
      <x:c r="C125" s="8" t="s">
        <x:v>27</x:v>
      </x:c>
      <x:c r="D125" s="8" t="s">
        <x:v>35</x:v>
      </x:c>
      <x:c r="E125" s="8" t="s">
        <x:v>480</x:v>
      </x:c>
      <x:c r="F125" s="8" t="s">
        <x:v>481</x:v>
      </x:c>
      <x:c r="G125" s="7" t="s">
        <x:v>1</x:v>
      </x:c>
      <x:c r="H125" s="7" t="str">
        <x:v>Day 09</x:v>
      </x:c>
      <x:c r="I125" s="55">
        <x:v>46205</x:v>
      </x:c>
      <x:c r="J125" s="51">
        <x:v>0.62156250000000002</x:v>
      </x:c>
      <x:c r="K125" s="7">
        <x:v>6</x:v>
      </x:c>
      <x:c r="L125" s="7">
        <x:v>0</x:v>
      </x:c>
      <x:c r="M125" s="7">
        <x:v>4</x:v>
      </x:c>
      <x:c r="N125" s="7">
        <x:v>0</x:v>
      </x:c>
      <x:c r="O125" s="10">
        <x:v>0.33333333333333331</x:v>
      </x:c>
      <x:c r="P125" s="52" t="e">
        <x:f>HYPERLINK("https://github.com/kapiltrip/hdlBits/blob/main/study/problems/Day%2009/146-count_clock.md","Note")</x:f>
        <x:v>HYPERLINK is not implemented. linkLocation=https://github.com/kapiltrip/hdlBits/blob/main/study/problems/Day%2009/146-count_clock.md, friendlyName=Note</x:v>
      </x:c>
      <x:c r="Q125" s="52" t="e">
        <x:f>HYPERLINK("https://github.com/kapiltrip/hdlBits/blob/main/study/images/Day%2009/146-count_clock.png","Image")</x:f>
        <x:v>HYPERLINK is not implemented. linkLocation=https://github.com/kapiltrip/hdlBits/blob/main/study/images/Day%2009/146-count_clock.png, friendlyName=Image</x:v>
      </x:c>
      <x:c r="R125" s="52" t="e">
        <x:f>HYPERLINK("https://github.com/kapiltrip/hdlBits/blob/main/study/solutions/Day%2009/146-count_clock.sv","Code")</x:f>
        <x:v>HYPERLINK is not implemented. linkLocation=https://github.com/kapiltrip/hdlBits/blob/main/study/solutions/Day%2009/146-count_clock.sv, friendlyName=Code</x:v>
      </x:c>
      <x:c r="S125" s="52" t="e">
        <x:f>HYPERLINK("https://hdlbits.01xz.net/wiki/count_clock","HDLBits")</x:f>
        <x:v>HYPERLINK is not implemented. linkLocation=https://hdlbits.01xz.net/wiki/count_clock, friendlyName=HDLBits</x:v>
      </x:c>
      <x:c r="T125" s="8" t="s">
        <x:v>482</x:v>
      </x:c>
      <x:c r="U125" s="8"/>
    </x:row>
    <x:row r="126" ht="22.049999237060547" customHeight="1">
      <x:c r="A126" s="44" t="s">
        <x:v>483</x:v>
      </x:c>
      <x:c r="B126" s="44"/>
      <x:c r="C126" s="44"/>
      <x:c r="D126" s="44"/>
      <x:c r="E126" s="44"/>
      <x:c r="F126" s="44"/>
      <x:c r="G126" s="44"/>
      <x:c r="H126" s="44"/>
      <x:c r="I126" s="60"/>
      <x:c r="J126" s="44"/>
      <x:c r="K126" s="44"/>
      <x:c r="L126" s="44"/>
      <x:c r="M126" s="44"/>
      <x:c r="N126" s="44"/>
      <x:c r="O126" s="46"/>
      <x:c r="P126" s="44"/>
      <x:c r="Q126" s="44"/>
      <x:c r="R126" s="44"/>
      <x:c r="S126" s="44"/>
      <x:c r="T126" s="44"/>
      <x:c r="U126" s="44"/>
    </x:row>
    <x:row r="127" ht="34.04999923706055" customHeight="1">
      <x:c r="A127" s="3">
        <x:v>107</x:v>
      </x:c>
      <x:c r="B127" s="3" t="n">
        <x:v>101</x:v>
      </x:c>
      <x:c r="C127" s="2" t="s">
        <x:v>27</x:v>
      </x:c>
      <x:c r="D127" s="2" t="s">
        <x:v>36</x:v>
      </x:c>
      <x:c r="E127" s="2" t="s">
        <x:v>484</x:v>
      </x:c>
      <x:c r="F127" s="2" t="s">
        <x:v>485</x:v>
      </x:c>
      <x:c r="G127" s="3" t="s">
        <x:v>1</x:v>
      </x:c>
      <x:c r="H127" s="3" t="str">
        <x:v>Day 04</x:v>
      </x:c>
      <x:c r="I127" s="56">
        <x:v>46199</x:v>
      </x:c>
      <x:c r="J127" s="3" t="s">
        <x:v>486</x:v>
      </x:c>
      <x:c r="K127" s="3">
        <x:v>4</x:v>
      </x:c>
      <x:c r="L127" s="3">
        <x:v>3</x:v>
      </x:c>
      <x:c r="M127" s="3">
        <x:v>0</x:v>
      </x:c>
      <x:c r="N127" s="3">
        <x:v>0</x:v>
      </x:c>
      <x:c r="O127" s="6">
        <x:v>0.25</x:v>
      </x:c>
      <x:c r="P127" s="4" t="e">
        <x:f>HYPERLINK("https://github.com/kapiltrip/hdlBits/blob/main/study/problems/Day%2004/101-shift4.md","Note")</x:f>
        <x:v>HYPERLINK is not implemented. linkLocation=https://github.com/kapiltrip/hdlBits/blob/main/study/problems/Day%2004/101-shift4.md, friendlyName=Note</x:v>
      </x:c>
      <x:c r="Q127" s="4" t="e">
        <x:f>HYPERLINK("https://github.com/kapiltrip/hdlBits/blob/main/study/images/Day%2004/101-shift4.png","Image")</x:f>
        <x:v>HYPERLINK is not implemented. linkLocation=https://github.com/kapiltrip/hdlBits/blob/main/study/images/Day%2004/101-shift4.png, friendlyName=Image</x:v>
      </x:c>
      <x:c r="R127" s="4" t="e">
        <x:f>HYPERLINK("https://github.com/kapiltrip/hdlBits/blob/main/study/solutions/Day%2004/101-shift4.sv","Code")</x:f>
        <x:v>HYPERLINK is not implemented. linkLocation=https://github.com/kapiltrip/hdlBits/blob/main/study/solutions/Day%2004/101-shift4.sv, friendlyName=Code</x:v>
      </x:c>
      <x:c r="S127" s="4" t="e">
        <x:f>HYPERLINK("https://hdlbits.01xz.net/wiki/shift4","HDLBits")</x:f>
        <x:v>HYPERLINK is not implemented. linkLocation=https://hdlbits.01xz.net/wiki/shift4, friendlyName=HDLBits</x:v>
      </x:c>
      <x:c r="T127" s="2" t="s">
        <x:v>487</x:v>
      </x:c>
      <x:c r="U127" s="2"/>
    </x:row>
    <x:row r="128" ht="34.04999923706055" customHeight="1">
      <x:c r="A128" s="7">
        <x:v>108</x:v>
      </x:c>
      <x:c r="B128" s="7" t="n">
        <x:v>102</x:v>
      </x:c>
      <x:c r="C128" s="8" t="s">
        <x:v>27</x:v>
      </x:c>
      <x:c r="D128" s="8" t="s">
        <x:v>36</x:v>
      </x:c>
      <x:c r="E128" s="8" t="s">
        <x:v>488</x:v>
      </x:c>
      <x:c r="F128" s="8" t="s">
        <x:v>489</x:v>
      </x:c>
      <x:c r="G128" s="7" t="s">
        <x:v>1</x:v>
      </x:c>
      <x:c r="H128" s="7" t="str">
        <x:v>Day 04</x:v>
      </x:c>
      <x:c r="I128" s="55">
        <x:v>46199</x:v>
      </x:c>
      <x:c r="J128" s="7" t="s">
        <x:v>490</x:v>
      </x:c>
      <x:c r="K128" s="7">
        <x:v>2</x:v>
      </x:c>
      <x:c r="L128" s="7">
        <x:v>0</x:v>
      </x:c>
      <x:c r="M128" s="7">
        <x:v>1</x:v>
      </x:c>
      <x:c r="N128" s="7">
        <x:v>0</x:v>
      </x:c>
      <x:c r="O128" s="10">
        <x:v>0.5</x:v>
      </x:c>
      <x:c r="P128" s="11" t="e">
        <x:f>HYPERLINK("https://github.com/kapiltrip/hdlBits/blob/main/study/problems/Day%2004/102-rotate100.md","Note")</x:f>
        <x:v>HYPERLINK is not implemented. linkLocation=https://github.com/kapiltrip/hdlBits/blob/main/study/problems/Day%2004/102-rotate100.md, friendlyName=Note</x:v>
      </x:c>
      <x:c r="Q128" s="11" t="e">
        <x:f>HYPERLINK("https://github.com/kapiltrip/hdlBits/blob/main/study/images/Day%2004/102-rotate100.png","Image")</x:f>
        <x:v>HYPERLINK is not implemented. linkLocation=https://github.com/kapiltrip/hdlBits/blob/main/study/images/Day%2004/102-rotate100.png, friendlyName=Image</x:v>
      </x:c>
      <x:c r="R128" s="11" t="e">
        <x:f>HYPERLINK("https://github.com/kapiltrip/hdlBits/blob/main/study/solutions/Day%2004/102-rotate100.sv","Code")</x:f>
        <x:v>HYPERLINK is not implemented. linkLocation=https://github.com/kapiltrip/hdlBits/blob/main/study/solutions/Day%2004/102-rotate100.sv, friendlyName=Code</x:v>
      </x:c>
      <x:c r="S128" s="11" t="e">
        <x:f>HYPERLINK("https://hdlbits.01xz.net/wiki/rotate100","HDLBits")</x:f>
        <x:v>HYPERLINK is not implemented. linkLocation=https://hdlbits.01xz.net/wiki/rotate100, friendlyName=HDLBits</x:v>
      </x:c>
      <x:c r="T128" s="8" t="s">
        <x:v>491</x:v>
      </x:c>
      <x:c r="U128" s="8"/>
    </x:row>
    <x:row r="129" ht="34.04999923706055" customHeight="1">
      <x:c r="A129" s="3">
        <x:v>109</x:v>
      </x:c>
      <x:c r="B129" s="3" t="n">
        <x:v>103</x:v>
      </x:c>
      <x:c r="C129" s="2" t="s">
        <x:v>27</x:v>
      </x:c>
      <x:c r="D129" s="2" t="s">
        <x:v>36</x:v>
      </x:c>
      <x:c r="E129" s="2" t="s">
        <x:v>492</x:v>
      </x:c>
      <x:c r="F129" s="2" t="s">
        <x:v>493</x:v>
      </x:c>
      <x:c r="G129" s="3" t="s">
        <x:v>1</x:v>
      </x:c>
      <x:c r="H129" s="3" t="str">
        <x:v>Day 04</x:v>
      </x:c>
      <x:c r="I129" s="56">
        <x:v>46199</x:v>
      </x:c>
      <x:c r="J129" s="3" t="s">
        <x:v>494</x:v>
      </x:c>
      <x:c r="K129" s="3">
        <x:v>6</x:v>
      </x:c>
      <x:c r="L129" s="3">
        <x:v>0</x:v>
      </x:c>
      <x:c r="M129" s="3">
        <x:v>5</x:v>
      </x:c>
      <x:c r="N129" s="3">
        <x:v>0</x:v>
      </x:c>
      <x:c r="O129" s="6">
        <x:v>0.17</x:v>
      </x:c>
      <x:c r="P129" s="4" t="e">
        <x:f>HYPERLINK("https://github.com/kapiltrip/hdlBits/blob/main/study/problems/Day%2004/103-shift18.md","Note")</x:f>
        <x:v>HYPERLINK is not implemented. linkLocation=https://github.com/kapiltrip/hdlBits/blob/main/study/problems/Day%2004/103-shift18.md, friendlyName=Note</x:v>
      </x:c>
      <x:c r="Q129" s="4" t="e">
        <x:f>HYPERLINK("https://github.com/kapiltrip/hdlBits/blob/main/study/images/Day%2004/103-shift18.png","Image")</x:f>
        <x:v>HYPERLINK is not implemented. linkLocation=https://github.com/kapiltrip/hdlBits/blob/main/study/images/Day%2004/103-shift18.png, friendlyName=Image</x:v>
      </x:c>
      <x:c r="R129" s="4" t="e">
        <x:f>HYPERLINK("https://github.com/kapiltrip/hdlBits/blob/main/study/solutions/Day%2004/103-shift18.sv","Code")</x:f>
        <x:v>HYPERLINK is not implemented. linkLocation=https://github.com/kapiltrip/hdlBits/blob/main/study/solutions/Day%2004/103-shift18.sv, friendlyName=Code</x:v>
      </x:c>
      <x:c r="S129" s="4" t="e">
        <x:f>HYPERLINK("https://hdlbits.01xz.net/wiki/shift18","HDLBits")</x:f>
        <x:v>HYPERLINK is not implemented. linkLocation=https://hdlbits.01xz.net/wiki/shift18, friendlyName=HDLBits</x:v>
      </x:c>
      <x:c r="T129" s="2" t="s">
        <x:v>495</x:v>
      </x:c>
      <x:c r="U129" s="2"/>
    </x:row>
    <x:row r="130" ht="34.04999923706055" customHeight="1">
      <x:c r="A130" s="7">
        <x:v>110</x:v>
      </x:c>
      <x:c r="B130" s="7" t="n">
        <x:v>104</x:v>
      </x:c>
      <x:c r="C130" s="8" t="s">
        <x:v>27</x:v>
      </x:c>
      <x:c r="D130" s="8" t="s">
        <x:v>36</x:v>
      </x:c>
      <x:c r="E130" s="8" t="s">
        <x:v>496</x:v>
      </x:c>
      <x:c r="F130" s="8" t="s">
        <x:v>497</x:v>
      </x:c>
      <x:c r="G130" s="7" t="s">
        <x:v>1</x:v>
      </x:c>
      <x:c r="H130" s="7" t="str">
        <x:v>Day 04</x:v>
      </x:c>
      <x:c r="I130" s="55">
        <x:v>46199</x:v>
      </x:c>
      <x:c r="J130" s="7" t="s">
        <x:v>498</x:v>
      </x:c>
      <x:c r="K130" s="7">
        <x:v>1</x:v>
      </x:c>
      <x:c r="L130" s="7">
        <x:v>0</x:v>
      </x:c>
      <x:c r="M130" s="7">
        <x:v>0</x:v>
      </x:c>
      <x:c r="N130" s="7">
        <x:v>0</x:v>
      </x:c>
      <x:c r="O130" s="10">
        <x:v>1</x:v>
      </x:c>
      <x:c r="P130" s="11" t="e">
        <x:f>HYPERLINK("https://github.com/kapiltrip/hdlBits/blob/main/study/problems/Day%2004/104-lfsr5.md","Note")</x:f>
        <x:v>HYPERLINK is not implemented. linkLocation=https://github.com/kapiltrip/hdlBits/blob/main/study/problems/Day%2004/104-lfsr5.md, friendlyName=Note</x:v>
      </x:c>
      <x:c r="Q130" s="11" t="e">
        <x:f>HYPERLINK("https://github.com/kapiltrip/hdlBits/blob/main/study/images/Day%2004/104-lfsr5.png","Image")</x:f>
        <x:v>HYPERLINK is not implemented. linkLocation=https://github.com/kapiltrip/hdlBits/blob/main/study/images/Day%2004/104-lfsr5.png, friendlyName=Image</x:v>
      </x:c>
      <x:c r="R130" s="11" t="e">
        <x:f>HYPERLINK("https://github.com/kapiltrip/hdlBits/blob/main/study/solutions/Day%2004/104-lfsr5.sv","Code")</x:f>
        <x:v>HYPERLINK is not implemented. linkLocation=https://github.com/kapiltrip/hdlBits/blob/main/study/solutions/Day%2004/104-lfsr5.sv, friendlyName=Code</x:v>
      </x:c>
      <x:c r="S130" s="11" t="e">
        <x:f>HYPERLINK("https://hdlbits.01xz.net/wiki/lfsr5","HDLBits")</x:f>
        <x:v>HYPERLINK is not implemented. linkLocation=https://hdlbits.01xz.net/wiki/lfsr5, friendlyName=HDLBits</x:v>
      </x:c>
      <x:c r="T130" s="8" t="s">
        <x:v>499</x:v>
      </x:c>
      <x:c r="U130" s="8"/>
    </x:row>
    <x:row r="131" ht="34.04999923706055" customHeight="1">
      <x:c r="A131" s="3">
        <x:v>111</x:v>
      </x:c>
      <x:c r="B131" s="3" t="n">
        <x:v>105</x:v>
      </x:c>
      <x:c r="C131" s="2" t="s">
        <x:v>27</x:v>
      </x:c>
      <x:c r="D131" s="2" t="s">
        <x:v>36</x:v>
      </x:c>
      <x:c r="E131" s="2" t="s">
        <x:v>500</x:v>
      </x:c>
      <x:c r="F131" s="2" t="s">
        <x:v>501</x:v>
      </x:c>
      <x:c r="G131" s="3" t="s">
        <x:v>1</x:v>
      </x:c>
      <x:c r="H131" s="3" t="str">
        <x:v>Day 04</x:v>
      </x:c>
      <x:c r="I131" s="56">
        <x:v>46199</x:v>
      </x:c>
      <x:c r="J131" s="3" t="s">
        <x:v>502</x:v>
      </x:c>
      <x:c r="K131" s="3">
        <x:v>4</x:v>
      </x:c>
      <x:c r="L131" s="3">
        <x:v>1</x:v>
      </x:c>
      <x:c r="M131" s="3">
        <x:v>2</x:v>
      </x:c>
      <x:c r="N131" s="3">
        <x:v>0</x:v>
      </x:c>
      <x:c r="O131" s="6">
        <x:v>0.25</x:v>
      </x:c>
      <x:c r="P131" s="4" t="e">
        <x:f>HYPERLINK("https://github.com/kapiltrip/hdlBits/blob/main/study/problems/Day%2004/105-mt2015_lfsr.md","Note")</x:f>
        <x:v>HYPERLINK is not implemented. linkLocation=https://github.com/kapiltrip/hdlBits/blob/main/study/problems/Day%2004/105-mt2015_lfsr.md, friendlyName=Note</x:v>
      </x:c>
      <x:c r="Q131" s="4" t="e">
        <x:f>HYPERLINK("https://github.com/kapiltrip/hdlBits/blob/main/study/images/Day%2004/105-mt2015_lfsr.png","Image")</x:f>
        <x:v>HYPERLINK is not implemented. linkLocation=https://github.com/kapiltrip/hdlBits/blob/main/study/images/Day%2004/105-mt2015_lfsr.png, friendlyName=Image</x:v>
      </x:c>
      <x:c r="R131" s="4" t="e">
        <x:f>HYPERLINK("https://github.com/kapiltrip/hdlBits/blob/main/study/solutions/Day%2004/105-mt2015_lfsr.sv","Code")</x:f>
        <x:v>HYPERLINK is not implemented. linkLocation=https://github.com/kapiltrip/hdlBits/blob/main/study/solutions/Day%2004/105-mt2015_lfsr.sv, friendlyName=Code</x:v>
      </x:c>
      <x:c r="S131" s="4" t="e">
        <x:f>HYPERLINK("https://hdlbits.01xz.net/wiki/mt2015_lfsr","HDLBits")</x:f>
        <x:v>HYPERLINK is not implemented. linkLocation=https://hdlbits.01xz.net/wiki/mt2015_lfsr, friendlyName=HDLBits</x:v>
      </x:c>
      <x:c r="T131" s="2" t="s">
        <x:v>503</x:v>
      </x:c>
      <x:c r="U131" s="2"/>
    </x:row>
    <x:row r="132" ht="34.04999923706055" customHeight="1">
      <x:c r="A132" s="7">
        <x:v>112</x:v>
      </x:c>
      <x:c r="B132" s="7" t="n">
        <x:v>106</x:v>
      </x:c>
      <x:c r="C132" s="8" t="s">
        <x:v>27</x:v>
      </x:c>
      <x:c r="D132" s="8" t="s">
        <x:v>36</x:v>
      </x:c>
      <x:c r="E132" s="8" t="s">
        <x:v>504</x:v>
      </x:c>
      <x:c r="F132" s="8" t="s">
        <x:v>505</x:v>
      </x:c>
      <x:c r="G132" s="7" t="s">
        <x:v>1</x:v>
      </x:c>
      <x:c r="H132" s="7" t="str">
        <x:v>Day 04</x:v>
      </x:c>
      <x:c r="I132" s="55">
        <x:v>46199</x:v>
      </x:c>
      <x:c r="J132" s="7" t="s">
        <x:v>506</x:v>
      </x:c>
      <x:c r="K132" s="7">
        <x:v>1</x:v>
      </x:c>
      <x:c r="L132" s="7">
        <x:v>0</x:v>
      </x:c>
      <x:c r="M132" s="7">
        <x:v>0</x:v>
      </x:c>
      <x:c r="N132" s="7">
        <x:v>0</x:v>
      </x:c>
      <x:c r="O132" s="10">
        <x:v>1</x:v>
      </x:c>
      <x:c r="P132" s="11" t="e">
        <x:f>HYPERLINK("https://github.com/kapiltrip/hdlBits/blob/main/study/problems/Day%2004/106-lfsr32.md","Note")</x:f>
        <x:v>HYPERLINK is not implemented. linkLocation=https://github.com/kapiltrip/hdlBits/blob/main/study/problems/Day%2004/106-lfsr32.md, friendlyName=Note</x:v>
      </x:c>
      <x:c r="Q132" s="11" t="e">
        <x:f>HYPERLINK("https://github.com/kapiltrip/hdlBits/blob/main/study/images/Day%2004/106-lfsr32.png","Image")</x:f>
        <x:v>HYPERLINK is not implemented. linkLocation=https://github.com/kapiltrip/hdlBits/blob/main/study/images/Day%2004/106-lfsr32.png, friendlyName=Image</x:v>
      </x:c>
      <x:c r="R132" s="11" t="e">
        <x:f>HYPERLINK("https://github.com/kapiltrip/hdlBits/blob/main/study/solutions/Day%2004/106-lfsr32.sv","Code")</x:f>
        <x:v>HYPERLINK is not implemented. linkLocation=https://github.com/kapiltrip/hdlBits/blob/main/study/solutions/Day%2004/106-lfsr32.sv, friendlyName=Code</x:v>
      </x:c>
      <x:c r="S132" s="11" t="e">
        <x:f>HYPERLINK("https://hdlbits.01xz.net/wiki/lfsr32","HDLBits")</x:f>
        <x:v>HYPERLINK is not implemented. linkLocation=https://hdlbits.01xz.net/wiki/lfsr32, friendlyName=HDLBits</x:v>
      </x:c>
      <x:c r="T132" s="8" t="s">
        <x:v>507</x:v>
      </x:c>
      <x:c r="U132" s="8"/>
    </x:row>
    <x:row r="133" ht="34.04999923706055" customHeight="1">
      <x:c r="A133" s="3">
        <x:v>113</x:v>
      </x:c>
      <x:c r="B133" s="3" t="n">
        <x:v>107</x:v>
      </x:c>
      <x:c r="C133" s="2" t="s">
        <x:v>27</x:v>
      </x:c>
      <x:c r="D133" s="2" t="s">
        <x:v>36</x:v>
      </x:c>
      <x:c r="E133" s="2" t="s">
        <x:v>508</x:v>
      </x:c>
      <x:c r="F133" s="2" t="s">
        <x:v>509</x:v>
      </x:c>
      <x:c r="G133" s="3" t="s">
        <x:v>1</x:v>
      </x:c>
      <x:c r="H133" s="3" t="str">
        <x:v>Day 04</x:v>
      </x:c>
      <x:c r="I133" s="56">
        <x:v>46199</x:v>
      </x:c>
      <x:c r="J133" s="3" t="s">
        <x:v>510</x:v>
      </x:c>
      <x:c r="K133" s="3">
        <x:v>8</x:v>
      </x:c>
      <x:c r="L133" s="3">
        <x:v>6</x:v>
      </x:c>
      <x:c r="M133" s="3">
        <x:v>1</x:v>
      </x:c>
      <x:c r="N133" s="3">
        <x:v>0</x:v>
      </x:c>
      <x:c r="O133" s="6">
        <x:v>0.13</x:v>
      </x:c>
      <x:c r="P133" s="4" t="e">
        <x:f>HYPERLINK("https://github.com/kapiltrip/hdlBits/blob/main/study/problems/Day%2004/107-exams__m2014_q4k.md","Note")</x:f>
        <x:v>HYPERLINK is not implemented. linkLocation=https://github.com/kapiltrip/hdlBits/blob/main/study/problems/Day%2004/107-exams__m2014_q4k.md, friendlyName=Note</x:v>
      </x:c>
      <x:c r="Q133" s="4" t="e">
        <x:f>HYPERLINK("https://github.com/kapiltrip/hdlBits/blob/main/study/images/Day%2004/107-exams__m2014_q4k.png","Image")</x:f>
        <x:v>HYPERLINK is not implemented. linkLocation=https://github.com/kapiltrip/hdlBits/blob/main/study/images/Day%2004/107-exams__m2014_q4k.png, friendlyName=Image</x:v>
      </x:c>
      <x:c r="R133" s="4" t="e">
        <x:f>HYPERLINK("https://github.com/kapiltrip/hdlBits/blob/main/study/solutions/Day%2004/107-exams__m2014_q4k.sv","Code")</x:f>
        <x:v>HYPERLINK is not implemented. linkLocation=https://github.com/kapiltrip/hdlBits/blob/main/study/solutions/Day%2004/107-exams__m2014_q4k.sv, friendlyName=Code</x:v>
      </x:c>
      <x:c r="S133" s="4" t="e">
        <x:f>HYPERLINK("https://hdlbits.01xz.net/wiki/exams/m2014_q4k","HDLBits")</x:f>
        <x:v>HYPERLINK is not implemented. linkLocation=https://hdlbits.01xz.net/wiki/exams/m2014_q4k, friendlyName=HDLBits</x:v>
      </x:c>
      <x:c r="T133" s="2" t="s">
        <x:v>511</x:v>
      </x:c>
      <x:c r="U133" s="2"/>
    </x:row>
    <x:row r="134" ht="34.04999923706055" customHeight="1">
      <x:c r="A134" s="7">
        <x:v>114</x:v>
      </x:c>
      <x:c r="B134" s="7" t="n">
        <x:v>108</x:v>
      </x:c>
      <x:c r="C134" s="8" t="s">
        <x:v>27</x:v>
      </x:c>
      <x:c r="D134" s="8" t="s">
        <x:v>36</x:v>
      </x:c>
      <x:c r="E134" s="8" t="s">
        <x:v>508</x:v>
      </x:c>
      <x:c r="F134" s="8" t="s">
        <x:v>512</x:v>
      </x:c>
      <x:c r="G134" s="7" t="s">
        <x:v>1</x:v>
      </x:c>
      <x:c r="H134" s="7" t="str">
        <x:v>Day 05</x:v>
      </x:c>
      <x:c r="I134" s="55">
        <x:v>46200</x:v>
      </x:c>
      <x:c r="J134" s="7" t="s">
        <x:v>513</x:v>
      </x:c>
      <x:c r="K134" s="7">
        <x:v>6</x:v>
      </x:c>
      <x:c r="L134" s="7">
        <x:v>0</x:v>
      </x:c>
      <x:c r="M134" s="7">
        <x:v>5</x:v>
      </x:c>
      <x:c r="N134" s="7">
        <x:v>0</x:v>
      </x:c>
      <x:c r="O134" s="10">
        <x:v>0.17</x:v>
      </x:c>
      <x:c r="P134" s="11" t="e">
        <x:f>HYPERLINK("https://github.com/kapiltrip/hdlBits/blob/main/study/problems/Day%2005/108-exams__2014_q4b.md","Note")</x:f>
        <x:v>HYPERLINK is not implemented. linkLocation=https://github.com/kapiltrip/hdlBits/blob/main/study/problems/Day%2005/108-exams__2014_q4b.md, friendlyName=Note</x:v>
      </x:c>
      <x:c r="Q134" s="11" t="e">
        <x:f>HYPERLINK("https://github.com/kapiltrip/hdlBits/blob/main/study/images/Day%2005/108-exams__2014_q4b.png","Image")</x:f>
        <x:v>HYPERLINK is not implemented. linkLocation=https://github.com/kapiltrip/hdlBits/blob/main/study/images/Day%2005/108-exams__2014_q4b.png, friendlyName=Image</x:v>
      </x:c>
      <x:c r="R134" s="11" t="e">
        <x:f>HYPERLINK("https://github.com/kapiltrip/hdlBits/blob/main/study/solutions/Day%2005/108-exams__2014_q4b.sv","Code")</x:f>
        <x:v>HYPERLINK is not implemented. linkLocation=https://github.com/kapiltrip/hdlBits/blob/main/study/solutions/Day%2005/108-exams__2014_q4b.sv, friendlyName=Code</x:v>
      </x:c>
      <x:c r="S134" s="11" t="e">
        <x:f>HYPERLINK("https://hdlbits.01xz.net/wiki/exams/2014_q4b","HDLBits")</x:f>
        <x:v>HYPERLINK is not implemented. linkLocation=https://hdlbits.01xz.net/wiki/exams/2014_q4b, friendlyName=HDLBits</x:v>
      </x:c>
      <x:c r="T134" s="8" t="s">
        <x:v>514</x:v>
      </x:c>
      <x:c r="U134" s="8"/>
    </x:row>
    <x:row r="135" ht="34.04999923706055" customHeight="1">
      <x:c r="A135" s="3">
        <x:v>115</x:v>
      </x:c>
      <x:c r="B135" s="3" t="n">
        <x:v>109</x:v>
      </x:c>
      <x:c r="C135" s="2" t="s">
        <x:v>27</x:v>
      </x:c>
      <x:c r="D135" s="2" t="s">
        <x:v>36</x:v>
      </x:c>
      <x:c r="E135" s="2" t="s">
        <x:v>515</x:v>
      </x:c>
      <x:c r="F135" s="2" t="s">
        <x:v>516</x:v>
      </x:c>
      <x:c r="G135" s="3" t="s">
        <x:v>1</x:v>
      </x:c>
      <x:c r="H135" s="3" t="str">
        <x:v>Day 05</x:v>
      </x:c>
      <x:c r="I135" s="56">
        <x:v>46200</x:v>
      </x:c>
      <x:c r="J135" s="3" t="s">
        <x:v>517</x:v>
      </x:c>
      <x:c r="K135" s="3">
        <x:v>2</x:v>
      </x:c>
      <x:c r="L135" s="3">
        <x:v>0</x:v>
      </x:c>
      <x:c r="M135" s="3">
        <x:v>1</x:v>
      </x:c>
      <x:c r="N135" s="3">
        <x:v>0</x:v>
      </x:c>
      <x:c r="O135" s="6">
        <x:v>0.5</x:v>
      </x:c>
      <x:c r="P135" s="4" t="e">
        <x:f>HYPERLINK("https://github.com/kapiltrip/hdlBits/blob/main/study/problems/Day%2005/109-exams__ece241_2013_q12.md","Note")</x:f>
        <x:v>HYPERLINK is not implemented. linkLocation=https://github.com/kapiltrip/hdlBits/blob/main/study/problems/Day%2005/109-exams__ece241_2013_q12.md, friendlyName=Note</x:v>
      </x:c>
      <x:c r="Q135" s="4" t="e">
        <x:f>HYPERLINK("https://github.com/kapiltrip/hdlBits/blob/main/study/images/Day%2005/109-exams__ece241_2013_q12.png","Image")</x:f>
        <x:v>HYPERLINK is not implemented. linkLocation=https://github.com/kapiltrip/hdlBits/blob/main/study/images/Day%2005/109-exams__ece241_2013_q12.png, friendlyName=Image</x:v>
      </x:c>
      <x:c r="R135" s="4" t="e">
        <x:f>HYPERLINK("https://github.com/kapiltrip/hdlBits/blob/main/study/solutions/Day%2005/109-exams__ece241_2013_q12.sv","Code")</x:f>
        <x:v>HYPERLINK is not implemented. linkLocation=https://github.com/kapiltrip/hdlBits/blob/main/study/solutions/Day%2005/109-exams__ece241_2013_q12.sv, friendlyName=Code</x:v>
      </x:c>
      <x:c r="S135" s="4" t="e">
        <x:f>HYPERLINK("https://hdlbits.01xz.net/wiki/exams/ece241_2013_q12","HDLBits")</x:f>
        <x:v>HYPERLINK is not implemented. linkLocation=https://hdlbits.01xz.net/wiki/exams/ece241_2013_q12, friendlyName=HDLBits</x:v>
      </x:c>
      <x:c r="T135" s="2" t="s">
        <x:v>518</x:v>
      </x:c>
      <x:c r="U135" s="2"/>
    </x:row>
    <x:row r="136" ht="22.049999237060547" customHeight="1">
      <x:c r="A136" s="44" t="s">
        <x:v>519</x:v>
      </x:c>
      <x:c r="B136" s="44"/>
      <x:c r="C136" s="44"/>
      <x:c r="D136" s="44"/>
      <x:c r="E136" s="44"/>
      <x:c r="F136" s="44"/>
      <x:c r="G136" s="44"/>
      <x:c r="H136" s="44"/>
      <x:c r="I136" s="60"/>
      <x:c r="J136" s="44"/>
      <x:c r="K136" s="44"/>
      <x:c r="L136" s="44"/>
      <x:c r="M136" s="44"/>
      <x:c r="N136" s="44"/>
      <x:c r="O136" s="46"/>
      <x:c r="P136" s="44"/>
      <x:c r="Q136" s="44"/>
      <x:c r="R136" s="44"/>
      <x:c r="S136" s="44"/>
      <x:c r="T136" s="44"/>
      <x:c r="U136" s="44"/>
    </x:row>
    <x:row r="137" ht="34.04999923706055" customHeight="1">
      <x:c r="A137" s="7" t="n">
        <x:v>116</x:v>
      </x:c>
      <x:c r="B137" s="7" t="n">
        <x:v>175</x:v>
      </x:c>
      <x:c r="C137" s="8" t="str">
        <x:v>Circuits</x:v>
      </x:c>
      <x:c r="D137" s="8" t="str">
        <x:v>Sequential Logic → More Circuits</x:v>
      </x:c>
      <x:c r="E137" s="8" t="str">
        <x:v>Rule 90</x:v>
      </x:c>
      <x:c r="F137" s="8" t="str">
        <x:v>rule90</x:v>
      </x:c>
      <x:c r="G137" s="7" t="str">
        <x:v>Completed</x:v>
      </x:c>
      <x:c r="H137" s="57" t="str">
        <x:v>Day 14</x:v>
      </x:c>
      <x:c r="I137" s="55" t="n">
        <x:v>46210</x:v>
      </x:c>
      <x:c r="J137" s="7" t="str">
        <x:v>12:59:38 AM</x:v>
      </x:c>
      <x:c r="K137" s="7" t="n">
        <x:v>4</x:v>
      </x:c>
      <x:c r="L137" s="7" t="n">
        <x:v>1</x:v>
      </x:c>
      <x:c r="M137" s="7" t="n">
        <x:v>2</x:v>
      </x:c>
      <x:c r="N137" s="7" t="n">
        <x:v>0</x:v>
      </x:c>
      <x:c r="O137" s="10" t="n">
        <x:v>0.25</x:v>
      </x:c>
      <x:c r="P137" s="11" t="e">
        <x:f>HYPERLINK("https://github.com/kapiltrip/hdlBits/blob/main/study/problems/Day%2014/175-rule90.md","Note")</x:f>
        <x:v>HYPERLINK is not implemented. linkLocation=https://github.com/kapiltrip/hdlBits/blob/main/study/problems/Day%2014/175-rule90.md, friendlyName=Note</x:v>
      </x:c>
      <x:c r="Q137" s="11" t="e">
        <x:f>HYPERLINK("https://github.com/kapiltrip/hdlBits/blob/main/study/images/Day%2014/175-rule90-question-and-successful-submission.png","Image")</x:f>
        <x:v>HYPERLINK is not implemented. linkLocation=https://github.com/kapiltrip/hdlBits/blob/main/study/images/Day%2014/175-rule90-question-and-successful-submission.png, friendlyName=Image</x:v>
      </x:c>
      <x:c r="R137" s="11" t="e">
        <x:f>HYPERLINK("https://github.com/kapiltrip/hdlBits/blob/main/study/solutions/Day%2014/175-rule90.sv","Code")</x:f>
        <x:v>HYPERLINK is not implemented. linkLocation=https://github.com/kapiltrip/hdlBits/blob/main/study/solutions/Day%2014/175-rule90.sv, friendlyName=Code</x:v>
      </x:c>
      <x:c r="S137" s="11" t="e">
        <x:f>HYPERLINK("https://hdlbits.01xz.net/wiki/rule90","HDLBits")</x:f>
        <x:v>HYPERLINK is not implemented. linkLocation=https://hdlbits.01xz.net/wiki/rule90, friendlyName=HDLBits</x:v>
      </x:c>
      <x:c r="T137" s="8" t="str">
        <x:v>Rule 90 asks for a 512-cell one-dimensional cellular automaton. Each next cell is the XOR of the old left and right neighbors, with zero padding at both boundaries and synchronous load priority.</x:v>
      </x:c>
      <x:c r="U137" s="8" t="str">
        <x:v>Use nonblocking assignments so every cell reads the same pre-edge generation. Boundary cells need explicit zero neighbors; load must override evolution for the entire 512-bit row.</x:v>
      </x:c>
    </x:row>
    <x:row r="138" ht="34.04999923706055" customHeight="1">
      <x:c r="A138" s="3" t="n">
        <x:v>117</x:v>
      </x:c>
      <x:c r="B138" s="3" t="n">
        <x:v>176</x:v>
      </x:c>
      <x:c r="C138" s="2" t="str">
        <x:v>Circuits</x:v>
      </x:c>
      <x:c r="D138" s="2" t="str">
        <x:v>Sequential Logic → More Circuits</x:v>
      </x:c>
      <x:c r="E138" s="2" t="str">
        <x:v>Rule 110</x:v>
      </x:c>
      <x:c r="F138" s="2" t="str">
        <x:v>rule110</x:v>
      </x:c>
      <x:c r="G138" s="3" t="str">
        <x:v>Completed</x:v>
      </x:c>
      <x:c r="H138" s="57" t="str">
        <x:v>Day 14</x:v>
      </x:c>
      <x:c r="I138" s="56" t="n">
        <x:v>46210</x:v>
      </x:c>
      <x:c r="J138" s="3" t="str">
        <x:v>1:30:23 AM</x:v>
      </x:c>
      <x:c r="K138" s="3" t="n">
        <x:v>2</x:v>
      </x:c>
      <x:c r="L138" s="3" t="n">
        <x:v>0</x:v>
      </x:c>
      <x:c r="M138" s="3" t="n">
        <x:v>0</x:v>
      </x:c>
      <x:c r="N138" s="3" t="n">
        <x:v>0</x:v>
      </x:c>
      <x:c r="O138" s="6" t="n">
        <x:v>1</x:v>
      </x:c>
      <x:c r="P138" s="4" t="e">
        <x:f>HYPERLINK("https://github.com/kapiltrip/hdlBits/blob/main/study/problems/Day%2014/176-rule110.md","Note")</x:f>
        <x:v>HYPERLINK is not implemented. linkLocation=https://github.com/kapiltrip/hdlBits/blob/main/study/problems/Day%2014/176-rule110.md, friendlyName=Note</x:v>
      </x:c>
      <x:c r="Q138" s="4" t="e">
        <x:f>HYPERLINK("https://github.com/kapiltrip/hdlBits/blob/main/study/images/Day%2014/176-rule110-question-and-successful-submission.png","Image")</x:f>
        <x:v>HYPERLINK is not implemented. linkLocation=https://github.com/kapiltrip/hdlBits/blob/main/study/images/Day%2014/176-rule110-question-and-successful-submission.png, friendlyName=Image</x:v>
      </x:c>
      <x:c r="R138" s="4" t="e">
        <x:f>HYPERLINK("https://github.com/kapiltrip/hdlBits/blob/main/study/solutions/Day%2014/176-rule110.sv","Code")</x:f>
        <x:v>HYPERLINK is not implemented. linkLocation=https://github.com/kapiltrip/hdlBits/blob/main/study/solutions/Day%2014/176-rule110.sv, friendlyName=Code</x:v>
      </x:c>
      <x:c r="S138" s="4" t="e">
        <x:f>HYPERLINK("https://hdlbits.01xz.net/wiki/rule110","HDLBits")</x:f>
        <x:v>HYPERLINK is not implemented. linkLocation=https://hdlbits.01xz.net/wiki/rule110, friendlyName=HDLBits</x:v>
      </x:c>
      <x:c r="T138" s="2" t="str">
        <x:v>Rule 110 asks for a 512-cell automaton where each next bit comes from the old left, center, and right neighborhood according to the Rule 110 truth table, with zero-padded edges.</x:v>
      </x:c>
      <x:c r="U138" s="2" t="str">
        <x:v>Translate the eight neighborhood cases directly and verify neighbor order. One clock edge advances one generation because all right-hand sides read old q before updates land.</x:v>
      </x:c>
    </x:row>
    <x:row r="139" ht="34.04999923706055" customHeight="1">
      <x:c r="A139" s="7" t="n">
        <x:v>118</x:v>
      </x:c>
      <x:c r="B139" s="7" t="n">
        <x:v>179</x:v>
      </x:c>
      <x:c r="C139" s="8" t="str">
        <x:v>Circuits</x:v>
      </x:c>
      <x:c r="D139" s="8" t="str">
        <x:v>Sequential Logic → More Circuits</x:v>
      </x:c>
      <x:c r="E139" s="8" t="str">
        <x:v>Conway's Game of Life 16x16</x:v>
      </x:c>
      <x:c r="F139" s="8" t="str">
        <x:v>conwaylife</x:v>
      </x:c>
      <x:c r="G139" s="7" t="str">
        <x:v>Completed</x:v>
      </x:c>
      <x:c r="H139" s="57" t="str">
        <x:v>Day 14</x:v>
      </x:c>
      <x:c r="I139" s="55" t="n">
        <x:v>46210</x:v>
      </x:c>
      <x:c r="J139" s="7" t="str">
        <x:v>1:36:17 PM</x:v>
      </x:c>
      <x:c r="K139" s="7" t="n">
        <x:v>6</x:v>
      </x:c>
      <x:c r="L139" s="7" t="n">
        <x:v>1</x:v>
      </x:c>
      <x:c r="M139" s="7" t="n">
        <x:v>3</x:v>
      </x:c>
      <x:c r="N139" s="7" t="n">
        <x:v>0</x:v>
      </x:c>
      <x:c r="O139" s="90" t="n">
        <x:v>0.3333333333333333</x:v>
      </x:c>
      <x:c r="P139" s="11" t="e">
        <x:f>HYPERLINK("https://github.com/kapiltrip/hdlBits/blob/main/study/problems/Day%2014/179-conwaylife.md","Problem note")</x:f>
        <x:v>HYPERLINK is not implemented. linkLocation=https://github.com/kapiltrip/hdlBits/blob/main/study/problems/Day%2014/179-conwaylife.md, friendlyName=Problem note</x:v>
      </x:c>
      <x:c r="Q139" s="11" t="e">
        <x:f>HYPERLINK("https://github.com/kapiltrip/hdlBits/blob/main/study/images/Day%2014/179-conwaylife-question-and-successful-submission.png","Screenshot")</x:f>
        <x:v>HYPERLINK is not implemented. linkLocation=https://github.com/kapiltrip/hdlBits/blob/main/study/images/Day%2014/179-conwaylife-question-and-successful-submission.png, friendlyName=Screenshot</x:v>
      </x:c>
      <x:c r="R139" s="11" t="e">
        <x:f>HYPERLINK("https://github.com/kapiltrip/hdlBits/blob/main/study/solutions/Day%2014/179-conwaylife.sv","Solution")</x:f>
        <x:v>HYPERLINK is not implemented. linkLocation=https://github.com/kapiltrip/hdlBits/blob/main/study/solutions/Day%2014/179-conwaylife.sv, friendlyName=Solution</x:v>
      </x:c>
      <x:c r="S139" s="11" t="e">
        <x:f>HYPERLINK("https://hdlbits.01xz.net/wiki/conwaylife","HDLBits")</x:f>
        <x:v>HYPERLINK is not implemented. linkLocation=https://hdlbits.01xz.net/wiki/conwaylife, friendlyName=HDLBits</x:v>
      </x:c>
      <x:c r="T139" s="8" t="str">
        <x:v>The Game of Life state is a 16 by 16 toroidal grid packed into `q[255:0]`, with each row occupying a 16-bit slice. A cell's next value depends on the count of its eight neighbours, while the load input synchronously replaces the whole grid with `data` for initialization. The toroidal boundary condition is the important part: row 0's upper neighbour is row 15, row 15's lower neighbour is row 0, column 0's left neighbour is column 15, and column 15's right neighbour is column 0. The implementation computes those wrapped row and column indices for every cell, accumulates the eight one-bit neighbour values into an integer count, and writes the corresponding bit of `next_q`. The update rule follows the problem statement exactly. A cell becomes alive when it has exactly three neighbours. With exactly two neighbours it keeps its previous state, so the expression is `neighbours == 3 || (q[index] &amp;&amp; neighbours == 2)`. All `next_q` bits are computed combinationally from the old registered `q`, then one clock edge commits the whole generation with a nonblocking assignment. This avoids accidentally updating one cell early and letting that new value affect another cell in the same generation.</x:v>
      </x:c>
      <x:c r="U139" s="8" t="str">
        <x:v>Toroidal wraparound is the key: compute wrapped row/column neighbours from the old q value, fill next_q combinationally, then commit the whole generation on the clock edge.</x:v>
      </x:c>
    </x:row>
    <x:row r="140" ht="22.049999237060547" customHeight="1">
      <x:c r="A140" s="44" t="s">
        <x:v>520</x:v>
      </x:c>
      <x:c r="B140" s="44"/>
      <x:c r="C140" s="44"/>
      <x:c r="D140" s="44"/>
      <x:c r="E140" s="44"/>
      <x:c r="F140" s="44"/>
      <x:c r="G140" s="44"/>
      <x:c r="H140" s="44"/>
      <x:c r="I140" s="60"/>
      <x:c r="J140" s="44"/>
      <x:c r="K140" s="44"/>
      <x:c r="L140" s="44"/>
      <x:c r="M140" s="44"/>
      <x:c r="N140" s="44"/>
      <x:c r="O140" s="46"/>
      <x:c r="P140" s="44"/>
      <x:c r="Q140" s="44"/>
      <x:c r="R140" s="44"/>
      <x:c r="S140" s="44"/>
      <x:c r="T140" s="44"/>
      <x:c r="U140" s="44"/>
    </x:row>
    <x:row r="141" ht="34.04999923706055" customHeight="1">
      <x:c r="A141" s="3">
        <x:v>119</x:v>
      </x:c>
      <x:c r="B141" s="3" t="n">
        <x:v>110</x:v>
      </x:c>
      <x:c r="C141" s="2" t="s">
        <x:v>27</x:v>
      </x:c>
      <x:c r="D141" s="2" t="s">
        <x:v>38</x:v>
      </x:c>
      <x:c r="E141" s="2" t="s">
        <x:v>521</x:v>
      </x:c>
      <x:c r="F141" s="2" t="s">
        <x:v>522</x:v>
      </x:c>
      <x:c r="G141" s="3" t="s">
        <x:v>1</x:v>
      </x:c>
      <x:c r="H141" s="3" t="str">
        <x:v>Day 05</x:v>
      </x:c>
      <x:c r="I141" s="56">
        <x:v>46200</x:v>
      </x:c>
      <x:c r="J141" s="3" t="s">
        <x:v>523</x:v>
      </x:c>
      <x:c r="K141" s="3">
        <x:v>9</x:v>
      </x:c>
      <x:c r="L141" s="3">
        <x:v>2</x:v>
      </x:c>
      <x:c r="M141" s="3">
        <x:v>5</x:v>
      </x:c>
      <x:c r="N141" s="3">
        <x:v>1</x:v>
      </x:c>
      <x:c r="O141" s="6">
        <x:v>0.11</x:v>
      </x:c>
      <x:c r="P141" s="4" t="e">
        <x:f>HYPERLINK("https://github.com/kapiltrip/hdlBits/blob/main/study/problems/Day%2005/110-fsm1.md","Note")</x:f>
        <x:v>HYPERLINK is not implemented. linkLocation=https://github.com/kapiltrip/hdlBits/blob/main/study/problems/Day%2005/110-fsm1.md, friendlyName=Note</x:v>
      </x:c>
      <x:c r="Q141" s="4" t="e">
        <x:f>HYPERLINK("https://github.com/kapiltrip/hdlBits/blob/main/study/images/Day%2005/110-fsm1.png","Image")</x:f>
        <x:v>HYPERLINK is not implemented. linkLocation=https://github.com/kapiltrip/hdlBits/blob/main/study/images/Day%2005/110-fsm1.png, friendlyName=Image</x:v>
      </x:c>
      <x:c r="R141" s="4" t="e">
        <x:f>HYPERLINK("https://github.com/kapiltrip/hdlBits/blob/main/study/solutions/Day%2005/110-fsm1.sv","Code")</x:f>
        <x:v>HYPERLINK is not implemented. linkLocation=https://github.com/kapiltrip/hdlBits/blob/main/study/solutions/Day%2005/110-fsm1.sv, friendlyName=Code</x:v>
      </x:c>
      <x:c r="S141" s="4" t="e">
        <x:f>HYPERLINK("https://hdlbits.01xz.net/wiki/fsm1","HDLBits")</x:f>
        <x:v>HYPERLINK is not implemented. linkLocation=https://hdlbits.01xz.net/wiki/fsm1, friendlyName=HDLBits</x:v>
      </x:c>
      <x:c r="T141" s="2" t="s">
        <x:v>524</x:v>
      </x:c>
      <x:c r="U141" s="2"/>
    </x:row>
    <x:row r="142" ht="34.04999923706055" customHeight="1">
      <x:c r="A142" s="7">
        <x:v>120</x:v>
      </x:c>
      <x:c r="B142" s="7" t="n">
        <x:v>111</x:v>
      </x:c>
      <x:c r="C142" s="8" t="s">
        <x:v>27</x:v>
      </x:c>
      <x:c r="D142" s="8" t="s">
        <x:v>38</x:v>
      </x:c>
      <x:c r="E142" s="8" t="s">
        <x:v>525</x:v>
      </x:c>
      <x:c r="F142" s="8" t="s">
        <x:v>526</x:v>
      </x:c>
      <x:c r="G142" s="7" t="s">
        <x:v>1</x:v>
      </x:c>
      <x:c r="H142" s="7" t="str">
        <x:v>Day 05</x:v>
      </x:c>
      <x:c r="I142" s="55">
        <x:v>46200</x:v>
      </x:c>
      <x:c r="J142" s="7" t="s">
        <x:v>527</x:v>
      </x:c>
      <x:c r="K142" s="7">
        <x:v>3</x:v>
      </x:c>
      <x:c r="L142" s="7">
        <x:v>1</x:v>
      </x:c>
      <x:c r="M142" s="7">
        <x:v>1</x:v>
      </x:c>
      <x:c r="N142" s="7">
        <x:v>0</x:v>
      </x:c>
      <x:c r="O142" s="10">
        <x:v>0.33</x:v>
      </x:c>
      <x:c r="P142" s="11" t="e">
        <x:f>HYPERLINK("https://github.com/kapiltrip/hdlBits/blob/main/study/problems/Day%2005/111-fsm1s.md","Note")</x:f>
        <x:v>HYPERLINK is not implemented. linkLocation=https://github.com/kapiltrip/hdlBits/blob/main/study/problems/Day%2005/111-fsm1s.md, friendlyName=Note</x:v>
      </x:c>
      <x:c r="Q142" s="11" t="e">
        <x:f>HYPERLINK("https://github.com/kapiltrip/hdlBits/blob/main/study/images/Day%2005/111-fsm1s.png","Image")</x:f>
        <x:v>HYPERLINK is not implemented. linkLocation=https://github.com/kapiltrip/hdlBits/blob/main/study/images/Day%2005/111-fsm1s.png, friendlyName=Image</x:v>
      </x:c>
      <x:c r="R142" s="11" t="e">
        <x:f>HYPERLINK("https://github.com/kapiltrip/hdlBits/blob/main/study/solutions/Day%2005/111-fsm1s.sv","Code")</x:f>
        <x:v>HYPERLINK is not implemented. linkLocation=https://github.com/kapiltrip/hdlBits/blob/main/study/solutions/Day%2005/111-fsm1s.sv, friendlyName=Code</x:v>
      </x:c>
      <x:c r="S142" s="11" t="e">
        <x:f>HYPERLINK("https://hdlbits.01xz.net/wiki/fsm1s","HDLBits")</x:f>
        <x:v>HYPERLINK is not implemented. linkLocation=https://hdlbits.01xz.net/wiki/fsm1s, friendlyName=HDLBits</x:v>
      </x:c>
      <x:c r="T142" s="8" t="s">
        <x:v>528</x:v>
      </x:c>
      <x:c r="U142" s="8"/>
    </x:row>
    <x:row r="143" ht="34.04999923706055" customHeight="1">
      <x:c r="A143" s="3">
        <x:v>121</x:v>
      </x:c>
      <x:c r="B143" s="3" t="n">
        <x:v>112</x:v>
      </x:c>
      <x:c r="C143" s="2" t="s">
        <x:v>27</x:v>
      </x:c>
      <x:c r="D143" s="2" t="s">
        <x:v>38</x:v>
      </x:c>
      <x:c r="E143" s="2" t="s">
        <x:v>529</x:v>
      </x:c>
      <x:c r="F143" s="2" t="s">
        <x:v>530</x:v>
      </x:c>
      <x:c r="G143" s="3" t="s">
        <x:v>1</x:v>
      </x:c>
      <x:c r="H143" s="3" t="str">
        <x:v>Day 05</x:v>
      </x:c>
      <x:c r="I143" s="56">
        <x:v>46200</x:v>
      </x:c>
      <x:c r="J143" s="3" t="s">
        <x:v>531</x:v>
      </x:c>
      <x:c r="K143" s="3">
        <x:v>6</x:v>
      </x:c>
      <x:c r="L143" s="3">
        <x:v>5</x:v>
      </x:c>
      <x:c r="M143" s="3">
        <x:v>0</x:v>
      </x:c>
      <x:c r="N143" s="3">
        <x:v>0</x:v>
      </x:c>
      <x:c r="O143" s="6">
        <x:v>0.17</x:v>
      </x:c>
      <x:c r="P143" s="4" t="e">
        <x:f>HYPERLINK("https://github.com/kapiltrip/hdlBits/blob/main/study/problems/Day%2005/112-fsm2.md","Note")</x:f>
        <x:v>HYPERLINK is not implemented. linkLocation=https://github.com/kapiltrip/hdlBits/blob/main/study/problems/Day%2005/112-fsm2.md, friendlyName=Note</x:v>
      </x:c>
      <x:c r="Q143" s="4" t="e">
        <x:f>HYPERLINK("https://github.com/kapiltrip/hdlBits/blob/main/study/images/Day%2005/112-fsm2.png","Image")</x:f>
        <x:v>HYPERLINK is not implemented. linkLocation=https://github.com/kapiltrip/hdlBits/blob/main/study/images/Day%2005/112-fsm2.png, friendlyName=Image</x:v>
      </x:c>
      <x:c r="R143" s="4" t="e">
        <x:f>HYPERLINK("https://github.com/kapiltrip/hdlBits/blob/main/study/solutions/Day%2005/112-fsm2.sv","Code")</x:f>
        <x:v>HYPERLINK is not implemented. linkLocation=https://github.com/kapiltrip/hdlBits/blob/main/study/solutions/Day%2005/112-fsm2.sv, friendlyName=Code</x:v>
      </x:c>
      <x:c r="S143" s="4" t="e">
        <x:f>HYPERLINK("https://hdlbits.01xz.net/wiki/fsm2","HDLBits")</x:f>
        <x:v>HYPERLINK is not implemented. linkLocation=https://hdlbits.01xz.net/wiki/fsm2, friendlyName=HDLBits</x:v>
      </x:c>
      <x:c r="T143" s="2" t="s">
        <x:v>532</x:v>
      </x:c>
      <x:c r="U143" s="2"/>
    </x:row>
    <x:row r="144" ht="34.04999923706055" customHeight="1">
      <x:c r="A144" s="7">
        <x:v>122</x:v>
      </x:c>
      <x:c r="B144" s="7" t="n">
        <x:v>113</x:v>
      </x:c>
      <x:c r="C144" s="8" t="s">
        <x:v>27</x:v>
      </x:c>
      <x:c r="D144" s="8" t="s">
        <x:v>38</x:v>
      </x:c>
      <x:c r="E144" s="8" t="s">
        <x:v>533</x:v>
      </x:c>
      <x:c r="F144" s="8" t="s">
        <x:v>534</x:v>
      </x:c>
      <x:c r="G144" s="7" t="s">
        <x:v>1</x:v>
      </x:c>
      <x:c r="H144" s="7" t="str">
        <x:v>Day 05</x:v>
      </x:c>
      <x:c r="I144" s="55">
        <x:v>46200</x:v>
      </x:c>
      <x:c r="J144" s="7" t="s">
        <x:v>535</x:v>
      </x:c>
      <x:c r="K144" s="7">
        <x:v>2</x:v>
      </x:c>
      <x:c r="L144" s="7">
        <x:v>0</x:v>
      </x:c>
      <x:c r="M144" s="7">
        <x:v>1</x:v>
      </x:c>
      <x:c r="N144" s="7">
        <x:v>0</x:v>
      </x:c>
      <x:c r="O144" s="10">
        <x:v>0.5</x:v>
      </x:c>
      <x:c r="P144" s="11" t="e">
        <x:f>HYPERLINK("https://github.com/kapiltrip/hdlBits/blob/main/study/problems/Day%2005/113-fsm2s.md","Note")</x:f>
        <x:v>HYPERLINK is not implemented. linkLocation=https://github.com/kapiltrip/hdlBits/blob/main/study/problems/Day%2005/113-fsm2s.md, friendlyName=Note</x:v>
      </x:c>
      <x:c r="Q144" s="11" t="e">
        <x:f>HYPERLINK("https://github.com/kapiltrip/hdlBits/blob/main/study/images/Day%2005/113-fsm2s.png","Image")</x:f>
        <x:v>HYPERLINK is not implemented. linkLocation=https://github.com/kapiltrip/hdlBits/blob/main/study/images/Day%2005/113-fsm2s.png, friendlyName=Image</x:v>
      </x:c>
      <x:c r="R144" s="11" t="e">
        <x:f>HYPERLINK("https://github.com/kapiltrip/hdlBits/blob/main/study/solutions/Day%2005/113-fsm2s.sv","Code")</x:f>
        <x:v>HYPERLINK is not implemented. linkLocation=https://github.com/kapiltrip/hdlBits/blob/main/study/solutions/Day%2005/113-fsm2s.sv, friendlyName=Code</x:v>
      </x:c>
      <x:c r="S144" s="11" t="e">
        <x:f>HYPERLINK("https://hdlbits.01xz.net/wiki/fsm2s","HDLBits")</x:f>
        <x:v>HYPERLINK is not implemented. linkLocation=https://hdlbits.01xz.net/wiki/fsm2s, friendlyName=HDLBits</x:v>
      </x:c>
      <x:c r="T144" s="8" t="s">
        <x:v>536</x:v>
      </x:c>
      <x:c r="U144" s="8"/>
    </x:row>
    <x:row r="145" ht="34.04999923706055" customHeight="1">
      <x:c r="A145" s="3">
        <x:v>123</x:v>
      </x:c>
      <x:c r="B145" s="3" t="n">
        <x:v>114</x:v>
      </x:c>
      <x:c r="C145" s="2" t="s">
        <x:v>27</x:v>
      </x:c>
      <x:c r="D145" s="2" t="s">
        <x:v>38</x:v>
      </x:c>
      <x:c r="E145" s="2" t="s">
        <x:v>537</x:v>
      </x:c>
      <x:c r="F145" s="2" t="s">
        <x:v>538</x:v>
      </x:c>
      <x:c r="G145" s="3" t="s">
        <x:v>1</x:v>
      </x:c>
      <x:c r="H145" s="3" t="str">
        <x:v>Day 05</x:v>
      </x:c>
      <x:c r="I145" s="56">
        <x:v>46200</x:v>
      </x:c>
      <x:c r="J145" s="3" t="s">
        <x:v>539</x:v>
      </x:c>
      <x:c r="K145" s="3">
        <x:v>7</x:v>
      </x:c>
      <x:c r="L145" s="3">
        <x:v>1</x:v>
      </x:c>
      <x:c r="M145" s="3">
        <x:v>5</x:v>
      </x:c>
      <x:c r="N145" s="3">
        <x:v>0</x:v>
      </x:c>
      <x:c r="O145" s="6">
        <x:v>0.14000000000000001</x:v>
      </x:c>
      <x:c r="P145" s="4" t="e">
        <x:f>HYPERLINK("https://github.com/kapiltrip/hdlBits/blob/main/study/problems/Day%2005/114-fsm3comb.md","Note")</x:f>
        <x:v>HYPERLINK is not implemented. linkLocation=https://github.com/kapiltrip/hdlBits/blob/main/study/problems/Day%2005/114-fsm3comb.md, friendlyName=Note</x:v>
      </x:c>
      <x:c r="Q145" s="4" t="e">
        <x:f>HYPERLINK("https://github.com/kapiltrip/hdlBits/blob/main/study/images/Day%2005/114-fsm3comb.png","Image")</x:f>
        <x:v>HYPERLINK is not implemented. linkLocation=https://github.com/kapiltrip/hdlBits/blob/main/study/images/Day%2005/114-fsm3comb.png, friendlyName=Image</x:v>
      </x:c>
      <x:c r="R145" s="4" t="e">
        <x:f>HYPERLINK("https://github.com/kapiltrip/hdlBits/blob/main/study/solutions/Day%2005/114-fsm3comb.sv","Code")</x:f>
        <x:v>HYPERLINK is not implemented. linkLocation=https://github.com/kapiltrip/hdlBits/blob/main/study/solutions/Day%2005/114-fsm3comb.sv, friendlyName=Code</x:v>
      </x:c>
      <x:c r="S145" s="4" t="e">
        <x:f>HYPERLINK("https://hdlbits.01xz.net/wiki/fsm3comb","HDLBits")</x:f>
        <x:v>HYPERLINK is not implemented. linkLocation=https://hdlbits.01xz.net/wiki/fsm3comb, friendlyName=HDLBits</x:v>
      </x:c>
      <x:c r="T145" s="2" t="s">
        <x:v>540</x:v>
      </x:c>
      <x:c r="U145" s="2"/>
    </x:row>
    <x:row r="146" ht="34.04999923706055" customHeight="1">
      <x:c r="A146" s="7">
        <x:v>124</x:v>
      </x:c>
      <x:c r="B146" s="7" t="n">
        <x:v>115</x:v>
      </x:c>
      <x:c r="C146" s="8" t="s">
        <x:v>27</x:v>
      </x:c>
      <x:c r="D146" s="8" t="s">
        <x:v>38</x:v>
      </x:c>
      <x:c r="E146" s="8" t="s">
        <x:v>541</x:v>
      </x:c>
      <x:c r="F146" s="8" t="s">
        <x:v>542</x:v>
      </x:c>
      <x:c r="G146" s="7" t="s">
        <x:v>1</x:v>
      </x:c>
      <x:c r="H146" s="7" t="str">
        <x:v>Day 05</x:v>
      </x:c>
      <x:c r="I146" s="55">
        <x:v>46200</x:v>
      </x:c>
      <x:c r="J146" s="7" t="s">
        <x:v>543</x:v>
      </x:c>
      <x:c r="K146" s="7">
        <x:v>6</x:v>
      </x:c>
      <x:c r="L146" s="7">
        <x:v>4</x:v>
      </x:c>
      <x:c r="M146" s="7">
        <x:v>1</x:v>
      </x:c>
      <x:c r="N146" s="7">
        <x:v>0</x:v>
      </x:c>
      <x:c r="O146" s="10">
        <x:v>0.17</x:v>
      </x:c>
      <x:c r="P146" s="11" t="e">
        <x:f>HYPERLINK("https://github.com/kapiltrip/hdlBits/blob/main/study/problems/Day%2005/115-fsm3onehot.md","Note")</x:f>
        <x:v>HYPERLINK is not implemented. linkLocation=https://github.com/kapiltrip/hdlBits/blob/main/study/problems/Day%2005/115-fsm3onehot.md, friendlyName=Note</x:v>
      </x:c>
      <x:c r="Q146" s="11" t="e">
        <x:f>HYPERLINK("https://github.com/kapiltrip/hdlBits/blob/main/study/images/Day%2005/115-fsm3onehot.png","Image")</x:f>
        <x:v>HYPERLINK is not implemented. linkLocation=https://github.com/kapiltrip/hdlBits/blob/main/study/images/Day%2005/115-fsm3onehot.png, friendlyName=Image</x:v>
      </x:c>
      <x:c r="R146" s="11" t="e">
        <x:f>HYPERLINK("https://github.com/kapiltrip/hdlBits/blob/main/study/solutions/Day%2005/115-fsm3onehot.sv","Code")</x:f>
        <x:v>HYPERLINK is not implemented. linkLocation=https://github.com/kapiltrip/hdlBits/blob/main/study/solutions/Day%2005/115-fsm3onehot.sv, friendlyName=Code</x:v>
      </x:c>
      <x:c r="S146" s="11" t="e">
        <x:f>HYPERLINK("https://hdlbits.01xz.net/wiki/fsm3onehot","HDLBits")</x:f>
        <x:v>HYPERLINK is not implemented. linkLocation=https://hdlbits.01xz.net/wiki/fsm3onehot, friendlyName=HDLBits</x:v>
      </x:c>
      <x:c r="T146" s="8" t="s">
        <x:v>544</x:v>
      </x:c>
      <x:c r="U146" s="8"/>
    </x:row>
    <x:row r="147" ht="34.04999923706055" customHeight="1">
      <x:c r="A147" s="3">
        <x:v>125</x:v>
      </x:c>
      <x:c r="B147" s="3" t="n">
        <x:v>116</x:v>
      </x:c>
      <x:c r="C147" s="2" t="s">
        <x:v>27</x:v>
      </x:c>
      <x:c r="D147" s="2" t="s">
        <x:v>38</x:v>
      </x:c>
      <x:c r="E147" s="2" t="s">
        <x:v>545</x:v>
      </x:c>
      <x:c r="F147" s="2" t="s">
        <x:v>546</x:v>
      </x:c>
      <x:c r="G147" s="3" t="s">
        <x:v>1</x:v>
      </x:c>
      <x:c r="H147" s="3" t="str">
        <x:v>Day 05</x:v>
      </x:c>
      <x:c r="I147" s="56">
        <x:v>46200</x:v>
      </x:c>
      <x:c r="J147" s="3" t="s">
        <x:v>547</x:v>
      </x:c>
      <x:c r="K147" s="3">
        <x:v>1</x:v>
      </x:c>
      <x:c r="L147" s="3">
        <x:v>0</x:v>
      </x:c>
      <x:c r="M147" s="3">
        <x:v>0</x:v>
      </x:c>
      <x:c r="N147" s="3">
        <x:v>0</x:v>
      </x:c>
      <x:c r="O147" s="6">
        <x:v>1</x:v>
      </x:c>
      <x:c r="P147" s="4" t="e">
        <x:f>HYPERLINK("https://github.com/kapiltrip/hdlBits/blob/main/study/problems/Day%2005/116-fsm3.md","Note")</x:f>
        <x:v>HYPERLINK is not implemented. linkLocation=https://github.com/kapiltrip/hdlBits/blob/main/study/problems/Day%2005/116-fsm3.md, friendlyName=Note</x:v>
      </x:c>
      <x:c r="Q147" s="4" t="e">
        <x:f>HYPERLINK("https://github.com/kapiltrip/hdlBits/blob/main/study/images/Day%2005/116-fsm3.png","Image")</x:f>
        <x:v>HYPERLINK is not implemented. linkLocation=https://github.com/kapiltrip/hdlBits/blob/main/study/images/Day%2005/116-fsm3.png, friendlyName=Image</x:v>
      </x:c>
      <x:c r="R147" s="4" t="e">
        <x:f>HYPERLINK("https://github.com/kapiltrip/hdlBits/blob/main/study/solutions/Day%2005/116-fsm3.sv","Code")</x:f>
        <x:v>HYPERLINK is not implemented. linkLocation=https://github.com/kapiltrip/hdlBits/blob/main/study/solutions/Day%2005/116-fsm3.sv, friendlyName=Code</x:v>
      </x:c>
      <x:c r="S147" s="4" t="e">
        <x:f>HYPERLINK("https://hdlbits.01xz.net/wiki/fsm3","HDLBits")</x:f>
        <x:v>HYPERLINK is not implemented. linkLocation=https://hdlbits.01xz.net/wiki/fsm3, friendlyName=HDLBits</x:v>
      </x:c>
      <x:c r="T147" s="2" t="s">
        <x:v>548</x:v>
      </x:c>
      <x:c r="U147" s="2"/>
    </x:row>
    <x:row r="148" ht="34.04999923706055" customHeight="1">
      <x:c r="A148" s="7">
        <x:v>126</x:v>
      </x:c>
      <x:c r="B148" s="7" t="n">
        <x:v>117</x:v>
      </x:c>
      <x:c r="C148" s="8" t="s">
        <x:v>27</x:v>
      </x:c>
      <x:c r="D148" s="8" t="s">
        <x:v>38</x:v>
      </x:c>
      <x:c r="E148" s="8" t="s">
        <x:v>549</x:v>
      </x:c>
      <x:c r="F148" s="8" t="s">
        <x:v>550</x:v>
      </x:c>
      <x:c r="G148" s="7" t="s">
        <x:v>1</x:v>
      </x:c>
      <x:c r="H148" s="7" t="str">
        <x:v>Day 05</x:v>
      </x:c>
      <x:c r="I148" s="55">
        <x:v>46200</x:v>
      </x:c>
      <x:c r="J148" s="7" t="s">
        <x:v>551</x:v>
      </x:c>
      <x:c r="K148" s="7">
        <x:v>2</x:v>
      </x:c>
      <x:c r="L148" s="7">
        <x:v>0</x:v>
      </x:c>
      <x:c r="M148" s="7">
        <x:v>1</x:v>
      </x:c>
      <x:c r="N148" s="7">
        <x:v>0</x:v>
      </x:c>
      <x:c r="O148" s="10">
        <x:v>0.5</x:v>
      </x:c>
      <x:c r="P148" s="11" t="e">
        <x:f>HYPERLINK("https://github.com/kapiltrip/hdlBits/blob/main/study/problems/Day%2005/117-fsm3s.md","Note")</x:f>
        <x:v>HYPERLINK is not implemented. linkLocation=https://github.com/kapiltrip/hdlBits/blob/main/study/problems/Day%2005/117-fsm3s.md, friendlyName=Note</x:v>
      </x:c>
      <x:c r="Q148" s="11" t="e">
        <x:f>HYPERLINK("https://github.com/kapiltrip/hdlBits/blob/main/study/images/Day%2005/117-fsm3s.png","Image")</x:f>
        <x:v>HYPERLINK is not implemented. linkLocation=https://github.com/kapiltrip/hdlBits/blob/main/study/images/Day%2005/117-fsm3s.png, friendlyName=Image</x:v>
      </x:c>
      <x:c r="R148" s="11" t="e">
        <x:f>HYPERLINK("https://github.com/kapiltrip/hdlBits/blob/main/study/solutions/Day%2005/117-fsm3s.sv","Code")</x:f>
        <x:v>HYPERLINK is not implemented. linkLocation=https://github.com/kapiltrip/hdlBits/blob/main/study/solutions/Day%2005/117-fsm3s.sv, friendlyName=Code</x:v>
      </x:c>
      <x:c r="S148" s="11" t="e">
        <x:f>HYPERLINK("https://hdlbits.01xz.net/wiki/fsm3s","HDLBits")</x:f>
        <x:v>HYPERLINK is not implemented. linkLocation=https://hdlbits.01xz.net/wiki/fsm3s, friendlyName=HDLBits</x:v>
      </x:c>
      <x:c r="T148" s="8" t="s">
        <x:v>552</x:v>
      </x:c>
      <x:c r="U148" s="8"/>
    </x:row>
    <x:row r="149" ht="34.04999923706055" customHeight="1">
      <x:c r="A149" s="3">
        <x:v>127</x:v>
      </x:c>
      <x:c r="B149" s="3" t="n">
        <x:v>118</x:v>
      </x:c>
      <x:c r="C149" s="2" t="s">
        <x:v>27</x:v>
      </x:c>
      <x:c r="D149" s="2" t="s">
        <x:v>38</x:v>
      </x:c>
      <x:c r="E149" s="2" t="s">
        <x:v>553</x:v>
      </x:c>
      <x:c r="F149" s="2" t="s">
        <x:v>554</x:v>
      </x:c>
      <x:c r="G149" s="3" t="s">
        <x:v>1</x:v>
      </x:c>
      <x:c r="H149" s="3" t="str">
        <x:v>Day 05</x:v>
      </x:c>
      <x:c r="I149" s="56">
        <x:v>46200</x:v>
      </x:c>
      <x:c r="J149" s="3" t="s">
        <x:v>555</x:v>
      </x:c>
      <x:c r="K149" s="3">
        <x:v>4</x:v>
      </x:c>
      <x:c r="L149" s="3">
        <x:v>1</x:v>
      </x:c>
      <x:c r="M149" s="3">
        <x:v>2</x:v>
      </x:c>
      <x:c r="N149" s="3">
        <x:v>0</x:v>
      </x:c>
      <x:c r="O149" s="6">
        <x:v>0.25</x:v>
      </x:c>
      <x:c r="P149" s="4" t="e">
        <x:f>HYPERLINK("https://github.com/kapiltrip/hdlBits/blob/main/study/problems/Day%2005/118-exams__ece241_2013_q4.md","Note")</x:f>
        <x:v>HYPERLINK is not implemented. linkLocation=https://github.com/kapiltrip/hdlBits/blob/main/study/problems/Day%2005/118-exams__ece241_2013_q4.md, friendlyName=Note</x:v>
      </x:c>
      <x:c r="Q149" s="4" t="e">
        <x:f>HYPERLINK("https://github.com/kapiltrip/hdlBits/blob/main/study/images/Day%2005/118-exams__ece241_2013_q4.png","Image")</x:f>
        <x:v>HYPERLINK is not implemented. linkLocation=https://github.com/kapiltrip/hdlBits/blob/main/study/images/Day%2005/118-exams__ece241_2013_q4.png, friendlyName=Image</x:v>
      </x:c>
      <x:c r="R149" s="4" t="e">
        <x:f>HYPERLINK("https://github.com/kapiltrip/hdlBits/blob/main/study/solutions/Day%2005/118-exams__ece241_2013_q4.sv","Code")</x:f>
        <x:v>HYPERLINK is not implemented. linkLocation=https://github.com/kapiltrip/hdlBits/blob/main/study/solutions/Day%2005/118-exams__ece241_2013_q4.sv, friendlyName=Code</x:v>
      </x:c>
      <x:c r="S149" s="4" t="e">
        <x:f>HYPERLINK("https://hdlbits.01xz.net/wiki/exams/ece241_2013_q4","HDLBits")</x:f>
        <x:v>HYPERLINK is not implemented. linkLocation=https://hdlbits.01xz.net/wiki/exams/ece241_2013_q4, friendlyName=HDLBits</x:v>
      </x:c>
      <x:c r="T149" s="2" t="s">
        <x:v>556</x:v>
      </x:c>
      <x:c r="U149" s="2"/>
    </x:row>
    <x:row r="150" ht="34.04999923706055" customHeight="1">
      <x:c r="A150" s="7">
        <x:v>128</x:v>
      </x:c>
      <x:c r="B150" s="7" t="n">
        <x:v>119</x:v>
      </x:c>
      <x:c r="C150" s="8" t="s">
        <x:v>27</x:v>
      </x:c>
      <x:c r="D150" s="8" t="s">
        <x:v>38</x:v>
      </x:c>
      <x:c r="E150" s="8" t="s">
        <x:v>557</x:v>
      </x:c>
      <x:c r="F150" s="8" t="s">
        <x:v>558</x:v>
      </x:c>
      <x:c r="G150" s="7" t="s">
        <x:v>1</x:v>
      </x:c>
      <x:c r="H150" s="7" t="str">
        <x:v>Day 05</x:v>
      </x:c>
      <x:c r="I150" s="55">
        <x:v>46200</x:v>
      </x:c>
      <x:c r="J150" s="7" t="s">
        <x:v>559</x:v>
      </x:c>
      <x:c r="K150" s="7">
        <x:v>2</x:v>
      </x:c>
      <x:c r="L150" s="7">
        <x:v>0</x:v>
      </x:c>
      <x:c r="M150" s="7">
        <x:v>1</x:v>
      </x:c>
      <x:c r="N150" s="7">
        <x:v>0</x:v>
      </x:c>
      <x:c r="O150" s="10">
        <x:v>0.5</x:v>
      </x:c>
      <x:c r="P150" s="11" t="e">
        <x:f>HYPERLINK("https://github.com/kapiltrip/hdlBits/blob/main/study/problems/Day%2005/119-lemmings1.md","Note")</x:f>
        <x:v>HYPERLINK is not implemented. linkLocation=https://github.com/kapiltrip/hdlBits/blob/main/study/problems/Day%2005/119-lemmings1.md, friendlyName=Note</x:v>
      </x:c>
      <x:c r="Q150" s="11" t="e">
        <x:f>HYPERLINK("https://github.com/kapiltrip/hdlBits/blob/main/study/images/Day%2005/119-lemmings1.png","Image")</x:f>
        <x:v>HYPERLINK is not implemented. linkLocation=https://github.com/kapiltrip/hdlBits/blob/main/study/images/Day%2005/119-lemmings1.png, friendlyName=Image</x:v>
      </x:c>
      <x:c r="R150" s="11" t="e">
        <x:f>HYPERLINK("https://github.com/kapiltrip/hdlBits/blob/main/study/solutions/Day%2005/119-lemmings1.sv","Code")</x:f>
        <x:v>HYPERLINK is not implemented. linkLocation=https://github.com/kapiltrip/hdlBits/blob/main/study/solutions/Day%2005/119-lemmings1.sv, friendlyName=Code</x:v>
      </x:c>
      <x:c r="S150" s="11" t="e">
        <x:f>HYPERLINK("https://hdlbits.01xz.net/wiki/lemmings1","HDLBits")</x:f>
        <x:v>HYPERLINK is not implemented. linkLocation=https://hdlbits.01xz.net/wiki/lemmings1, friendlyName=HDLBits</x:v>
      </x:c>
      <x:c r="T150" s="8" t="s">
        <x:v>560</x:v>
      </x:c>
      <x:c r="U150" s="8"/>
    </x:row>
    <x:row r="151" ht="34.04999923706055" customHeight="1">
      <x:c r="A151" s="3">
        <x:v>129</x:v>
      </x:c>
      <x:c r="B151" s="3" t="n">
        <x:v>159</x:v>
      </x:c>
      <x:c r="C151" s="2" t="s">
        <x:v>27</x:v>
      </x:c>
      <x:c r="D151" s="2" t="s">
        <x:v>38</x:v>
      </x:c>
      <x:c r="E151" s="2" t="s">
        <x:v>561</x:v>
      </x:c>
      <x:c r="F151" s="2" t="s">
        <x:v>562</x:v>
      </x:c>
      <x:c r="G151" s="3" t="str">
        <x:v>Completed</x:v>
      </x:c>
      <x:c r="H151" s="91" t="str">
        <x:v>Day 11</x:v>
      </x:c>
      <x:c r="I151" s="56" t="n">
        <x:v>46207</x:v>
      </x:c>
      <x:c r="J151" s="3" t="str">
        <x:v>5:14:31 PM</x:v>
      </x:c>
      <x:c r="K151" s="3" t="n">
        <x:v>21</x:v>
      </x:c>
      <x:c r="L151" s="3" t="n">
        <x:v>13</x:v>
      </x:c>
      <x:c r="M151" s="3" t="n">
        <x:v>7</x:v>
      </x:c>
      <x:c r="N151" s="3" t="n">
        <x:v>0</x:v>
      </x:c>
      <x:c r="O151" s="88" t="n">
        <x:v>0.047619047619047616</x:v>
      </x:c>
      <x:c r="P151" s="4" t="e">
        <x:f>HYPERLINK("https://github.com/kapiltrip/hdlBits/blob/main/study/problems/Day%2011/159-lemmings2.md","Note")</x:f>
        <x:v>HYPERLINK is not implemented. linkLocation=https://github.com/kapiltrip/hdlBits/blob/main/study/problems/Day%2011/159-lemmings2.md, friendlyName=Note</x:v>
      </x:c>
      <x:c r="Q151" s="4" t="e">
        <x:f>HYPERLINK("https://github.com/kapiltrip/hdlBits/blob/main/study/images/Day%2011/159-lemmings2-question-and-successful-submission.png","Image")</x:f>
        <x:v>HYPERLINK is not implemented. linkLocation=https://github.com/kapiltrip/hdlBits/blob/main/study/images/Day%2011/159-lemmings2-question-and-successful-submission.png, friendlyName=Image</x:v>
      </x:c>
      <x:c r="R151" s="4" t="e">
        <x:f>HYPERLINK("https://github.com/kapiltrip/hdlBits/blob/main/study/solutions/Day%2011/159-lemmings2.sv","Code")</x:f>
        <x:v>HYPERLINK is not implemented. linkLocation=https://github.com/kapiltrip/hdlBits/blob/main/study/solutions/Day%2011/159-lemmings2.sv, friendlyName=Code</x:v>
      </x:c>
      <x:c r="S151" s="4" t="e">
        <x:f>HYPERLINK("https://hdlbits.01xz.net/wiki/lemmings2","HDLBits")</x:f>
        <x:v>HYPERLINK is not implemented. linkLocation=https://hdlbits.01xz.net/wiki/lemmings2, friendlyName=HDLBits</x:v>
      </x:c>
      <x:c r="T151" s="2" t="str">
        <x:v>Extend the walking-direction FSM with direction-preserving falling states that ignore bumps and resume the remembered direction on landing.</x:v>
      </x:c>
      <x:c r="U151" s="2" t="str">
        <x:v>Use four Moore states for walking/falling × left/right. Ground loss has priority, each register has one owner, and outputs decode registered state.</x:v>
      </x:c>
    </x:row>
    <x:row r="152" ht="34.04999923706055" customHeight="1">
      <x:c r="A152" s="7">
        <x:v>130</x:v>
      </x:c>
      <x:c r="B152" s="7" t="n">
        <x:v>160</x:v>
      </x:c>
      <x:c r="C152" s="8" t="s">
        <x:v>27</x:v>
      </x:c>
      <x:c r="D152" s="8" t="s">
        <x:v>38</x:v>
      </x:c>
      <x:c r="E152" s="8" t="s">
        <x:v>563</x:v>
      </x:c>
      <x:c r="F152" s="8" t="s">
        <x:v>564</x:v>
      </x:c>
      <x:c r="G152" s="7" t="str">
        <x:v>Completed</x:v>
      </x:c>
      <x:c r="H152" s="91" t="str">
        <x:v>Day 11</x:v>
      </x:c>
      <x:c r="I152" s="55" t="n">
        <x:v>46207</x:v>
      </x:c>
      <x:c r="J152" s="7" t="str">
        <x:v>5:57:22 PM</x:v>
      </x:c>
      <x:c r="K152" s="7" t="n">
        <x:v>3</x:v>
      </x:c>
      <x:c r="L152" s="7" t="n">
        <x:v>1</x:v>
      </x:c>
      <x:c r="M152" s="7" t="n">
        <x:v>1</x:v>
      </x:c>
      <x:c r="N152" s="7" t="n">
        <x:v>0</x:v>
      </x:c>
      <x:c r="O152" s="90" t="n">
        <x:v>0.3333333333333333</x:v>
      </x:c>
      <x:c r="P152" s="11" t="e">
        <x:f>HYPERLINK("https://github.com/kapiltrip/hdlBits/blob/main/study/problems/Day%2011/160-lemmings3.md","Note")</x:f>
        <x:v>HYPERLINK is not implemented. linkLocation=https://github.com/kapiltrip/hdlBits/blob/main/study/problems/Day%2011/160-lemmings3.md, friendlyName=Note</x:v>
      </x:c>
      <x:c r="Q152" s="11" t="e">
        <x:f>HYPERLINK("https://github.com/kapiltrip/hdlBits/blob/main/study/images/Day%2011/160-lemmings3-question-and-successful-submission.png","Image")</x:f>
        <x:v>HYPERLINK is not implemented. linkLocation=https://github.com/kapiltrip/hdlBits/blob/main/study/images/Day%2011/160-lemmings3-question-and-successful-submission.png, friendlyName=Image</x:v>
      </x:c>
      <x:c r="R152" s="11" t="e">
        <x:f>HYPERLINK("https://github.com/kapiltrip/hdlBits/blob/main/study/solutions/Day%2011/160-lemmings3.sv","Code")</x:f>
        <x:v>HYPERLINK is not implemented. linkLocation=https://github.com/kapiltrip/hdlBits/blob/main/study/solutions/Day%2011/160-lemmings3.sv, friendlyName=Code</x:v>
      </x:c>
      <x:c r="S152" s="11" t="e">
        <x:f>HYPERLINK("https://hdlbits.01xz.net/wiki/lemmings3","HDLBits")</x:f>
        <x:v>HYPERLINK is not implemented. linkLocation=https://hdlbits.01xz.net/wiki/lemmings3, friendlyName=HDLBits</x:v>
      </x:c>
      <x:c r="T152" s="8" t="str">
        <x:v>Add persistent digging behavior while preserving direction across the fall that begins when digging removes the ground.</x:v>
      </x:c>
      <x:c r="U152" s="8" t="str">
        <x:v>Dig is a transition command, not a sustained enable. Direction-specific digging and falling states preserve history while ignoring irrelevant bumps.</x:v>
      </x:c>
    </x:row>
    <x:row r="153" ht="34.04999923706055" customHeight="1">
      <x:c r="A153" s="3">
        <x:v>131</x:v>
      </x:c>
      <x:c r="B153" s="3" t="n">
        <x:v>161</x:v>
      </x:c>
      <x:c r="C153" s="2" t="s">
        <x:v>27</x:v>
      </x:c>
      <x:c r="D153" s="2" t="s">
        <x:v>38</x:v>
      </x:c>
      <x:c r="E153" s="2" t="s">
        <x:v>565</x:v>
      </x:c>
      <x:c r="F153" s="2" t="s">
        <x:v>566</x:v>
      </x:c>
      <x:c r="G153" s="3" t="str">
        <x:v>Completed</x:v>
      </x:c>
      <x:c r="H153" s="91" t="str">
        <x:v>Day 12</x:v>
      </x:c>
      <x:c r="I153" s="56" t="n">
        <x:v>46208</x:v>
      </x:c>
      <x:c r="J153" s="3" t="str">
        <x:v>1:10:55 PM</x:v>
      </x:c>
      <x:c r="K153" s="3" t="n">
        <x:v>5</x:v>
      </x:c>
      <x:c r="L153" s="3" t="n">
        <x:v>1</x:v>
      </x:c>
      <x:c r="M153" s="3" t="n">
        <x:v>2</x:v>
      </x:c>
      <x:c r="N153" s="3" t="n">
        <x:v>0</x:v>
      </x:c>
      <x:c r="O153" s="88" t="n">
        <x:v>0.4</x:v>
      </x:c>
      <x:c r="P153" s="4" t="e">
        <x:f>HYPERLINK("https://github.com/kapiltrip/hdlBits/blob/main/study/problems/Day%2012/161-lemmings4.md","Note")</x:f>
        <x:v>HYPERLINK is not implemented. linkLocation=https://github.com/kapiltrip/hdlBits/blob/main/study/problems/Day%2012/161-lemmings4.md, friendlyName=Note</x:v>
      </x:c>
      <x:c r="Q153" s="4" t="e">
        <x:f>HYPERLINK("https://github.com/kapiltrip/hdlBits/blob/main/study/images/Day%2012/161-lemmings4-question-and-successful-submission.png","Image")</x:f>
        <x:v>HYPERLINK is not implemented. linkLocation=https://github.com/kapiltrip/hdlBits/blob/main/study/images/Day%2012/161-lemmings4-question-and-successful-submission.png, friendlyName=Image</x:v>
      </x:c>
      <x:c r="R153" s="4" t="e">
        <x:f>HYPERLINK("https://github.com/kapiltrip/hdlBits/blob/main/study/solutions/Day%2012/161-lemmings4.sv","Code")</x:f>
        <x:v>HYPERLINK is not implemented. linkLocation=https://github.com/kapiltrip/hdlBits/blob/main/study/solutions/Day%2012/161-lemmings4.sv, friendlyName=Code</x:v>
      </x:c>
      <x:c r="S153" s="4" t="e">
        <x:f>HYPERLINK("https://hdlbits.01xz.net/wiki/lemmings4","HDLBits")</x:f>
        <x:v>HYPERLINK is not implemented. linkLocation=https://hdlbits.01xz.net/wiki/lemmings4, friendlyName=HDLBits</x:v>
      </x:c>
      <x:c r="T153" s="2" t="str">
        <x:v>Add a fall-duration limit so a Lemming that falls for more than 20 cycles enters a permanent splatter state.</x:v>
      </x:c>
      <x:c r="U153" s="2" t="str">
        <x:v>Keep phase in FSM state and duration in a saturating counter. Test the counter when landing and make splatter an absorbing state.</x:v>
      </x:c>
    </x:row>
    <x:row r="154" ht="34.04999923706055" customHeight="1">
      <x:c r="A154" s="7">
        <x:v>132</x:v>
      </x:c>
      <x:c r="B154" s="7" t="n">
        <x:v>162</x:v>
      </x:c>
      <x:c r="C154" s="8" t="s">
        <x:v>27</x:v>
      </x:c>
      <x:c r="D154" s="8" t="s">
        <x:v>38</x:v>
      </x:c>
      <x:c r="E154" s="8" t="s">
        <x:v>567</x:v>
      </x:c>
      <x:c r="F154" s="8" t="s">
        <x:v>568</x:v>
      </x:c>
      <x:c r="G154" s="7" t="str">
        <x:v>Completed</x:v>
      </x:c>
      <x:c r="H154" s="91" t="str">
        <x:v>Day 12</x:v>
      </x:c>
      <x:c r="I154" s="55" t="n">
        <x:v>46208</x:v>
      </x:c>
      <x:c r="J154" s="7" t="str">
        <x:v>5:09:39 PM</x:v>
      </x:c>
      <x:c r="K154" s="7" t="n">
        <x:v>8</x:v>
      </x:c>
      <x:c r="L154" s="7" t="n">
        <x:v>3</x:v>
      </x:c>
      <x:c r="M154" s="7" t="n">
        <x:v>3</x:v>
      </x:c>
      <x:c r="N154" s="7" t="n">
        <x:v>0</x:v>
      </x:c>
      <x:c r="O154" s="90" t="n">
        <x:v>0.25</x:v>
      </x:c>
      <x:c r="P154" s="11" t="e">
        <x:f>HYPERLINK("https://github.com/kapiltrip/hdlBits/blob/main/study/problems/Day%2012/162-fsm_onehot.md","Note")</x:f>
        <x:v>HYPERLINK is not implemented. linkLocation=https://github.com/kapiltrip/hdlBits/blob/main/study/problems/Day%2012/162-fsm_onehot.md, friendlyName=Note</x:v>
      </x:c>
      <x:c r="Q154" s="11" t="e">
        <x:f>HYPERLINK("https://github.com/kapiltrip/hdlBits/blob/main/study/images/Day%2012/162-fsm_onehot-question-and-successful-submission.png","Image")</x:f>
        <x:v>HYPERLINK is not implemented. linkLocation=https://github.com/kapiltrip/hdlBits/blob/main/study/images/Day%2012/162-fsm_onehot-question-and-successful-submission.png, friendlyName=Image</x:v>
      </x:c>
      <x:c r="R154" s="11" t="e">
        <x:f>HYPERLINK("https://github.com/kapiltrip/hdlBits/blob/main/study/solutions/Day%2012/162-fsm_onehot.sv","Code")</x:f>
        <x:v>HYPERLINK is not implemented. linkLocation=https://github.com/kapiltrip/hdlBits/blob/main/study/solutions/Day%2012/162-fsm_onehot.sv, friendlyName=Code</x:v>
      </x:c>
      <x:c r="S154" s="11" t="e">
        <x:f>HYPERLINK("https://hdlbits.01xz.net/wiki/fsm_onehot","HDLBits")</x:f>
        <x:v>HYPERLINK is not implemented. linkLocation=https://hdlbits.01xz.net/wiki/fsm_onehot, friendlyName=HDLBits</x:v>
      </x:c>
      <x:c r="T154" s="8" t="str">
        <x:v>Derive ten one-hot next-state equations and two output equations directly from the supplied state diagram without adding state storage.</x:v>
      </x:c>
      <x:c r="U154" s="8" t="str">
        <x:v>Preserve the supplied state[9:0] interface. Each destination bit is the OR of its incoming enabled arcs; parameters cannot alias run-time state bits.</x:v>
      </x:c>
    </x:row>
    <x:row r="155" ht="34.04999923706055" customHeight="1">
      <x:c r="A155" s="3">
        <x:v>133</x:v>
      </x:c>
      <x:c r="B155" s="3" t="n">
        <x:v>166</x:v>
      </x:c>
      <x:c r="C155" s="2" t="s">
        <x:v>27</x:v>
      </x:c>
      <x:c r="D155" s="2" t="s">
        <x:v>38</x:v>
      </x:c>
      <x:c r="E155" s="2" t="s">
        <x:v>569</x:v>
      </x:c>
      <x:c r="F155" s="2" t="s">
        <x:v>570</x:v>
      </x:c>
      <x:c r="G155" s="3" t="str">
        <x:v>Completed</x:v>
      </x:c>
      <x:c r="H155" s="91" t="str">
        <x:v>Day 13</x:v>
      </x:c>
      <x:c r="I155" s="56" t="n">
        <x:v>46209</x:v>
      </x:c>
      <x:c r="J155" s="3" t="str">
        <x:v>2:56:49 PM</x:v>
      </x:c>
      <x:c r="K155" s="3" t="n">
        <x:v>11</x:v>
      </x:c>
      <x:c r="L155" s="3" t="n">
        <x:v>6</x:v>
      </x:c>
      <x:c r="M155" s="3" t="n">
        <x:v>2</x:v>
      </x:c>
      <x:c r="N155" s="3" t="n">
        <x:v>0</x:v>
      </x:c>
      <x:c r="O155" s="88" t="n">
        <x:v>0.2727272727272727</x:v>
      </x:c>
      <x:c r="P155" s="4" t="e">
        <x:f>HYPERLINK("https://github.com/kapiltrip/hdlBits/blob/main/study/problems/Day%2013/166-fsm_ps2.md","Note")</x:f>
        <x:v>HYPERLINK is not implemented. linkLocation=https://github.com/kapiltrip/hdlBits/blob/main/study/problems/Day%2013/166-fsm_ps2.md, friendlyName=Note</x:v>
      </x:c>
      <x:c r="Q155" s="4" t="e">
        <x:f>HYPERLINK("https://github.com/kapiltrip/hdlBits/blob/main/study/images/Day%2013/166-fsm_ps2-question-and-successful-submission.png","Image")</x:f>
        <x:v>HYPERLINK is not implemented. linkLocation=https://github.com/kapiltrip/hdlBits/blob/main/study/images/Day%2013/166-fsm_ps2-question-and-successful-submission.png, friendlyName=Image</x:v>
      </x:c>
      <x:c r="R155" s="4" t="e">
        <x:f>HYPERLINK("https://github.com/kapiltrip/hdlBits/blob/main/study/solutions/Day%2013/166-fsm_ps2.sv","Code")</x:f>
        <x:v>HYPERLINK is not implemented. linkLocation=https://github.com/kapiltrip/hdlBits/blob/main/study/solutions/Day%2013/166-fsm_ps2.sv, friendlyName=Code</x:v>
      </x:c>
      <x:c r="S155" s="4" t="e">
        <x:f>HYPERLINK("https://hdlbits.01xz.net/wiki/fsm_ps2","HDLBits")</x:f>
        <x:v>HYPERLINK is not implemented. linkLocation=https://hdlbits.01xz.net/wiki/fsm_ps2, friendlyName=HDLBits</x:v>
      </x:c>
      <x:c r="T155" s="2" t="str">
        <x:v>Detect the first byte of a three-byte PS/2 packet using in[3], consume the next two bytes, and pulse done.</x:v>
      </x:c>
      <x:c r="U155" s="2" t="str">
        <x:v>The input is one byte per clock. Only byte 1 is detected by content; bytes 2 and 3 are positional, and the done-cycle input may begin the next packet.</x:v>
      </x:c>
    </x:row>
    <x:row r="156" ht="34.04999923706055" customHeight="1">
      <x:c r="A156" s="7">
        <x:v>134</x:v>
      </x:c>
      <x:c r="B156" s="7" t="n">
        <x:v>167</x:v>
      </x:c>
      <x:c r="C156" s="8" t="s">
        <x:v>27</x:v>
      </x:c>
      <x:c r="D156" s="8" t="s">
        <x:v>38</x:v>
      </x:c>
      <x:c r="E156" s="8" t="s">
        <x:v>571</x:v>
      </x:c>
      <x:c r="F156" s="8" t="s">
        <x:v>572</x:v>
      </x:c>
      <x:c r="G156" s="7" t="str">
        <x:v>Completed</x:v>
      </x:c>
      <x:c r="H156" s="91" t="str">
        <x:v>Day 13</x:v>
      </x:c>
      <x:c r="I156" s="55" t="n">
        <x:v>46209</x:v>
      </x:c>
      <x:c r="J156" s="7" t="str">
        <x:v>3:28:06 PM</x:v>
      </x:c>
      <x:c r="K156" s="7" t="n">
        <x:v>8</x:v>
      </x:c>
      <x:c r="L156" s="7" t="n">
        <x:v>7</x:v>
      </x:c>
      <x:c r="M156" s="7" t="n">
        <x:v>0</x:v>
      </x:c>
      <x:c r="N156" s="7" t="n">
        <x:v>0</x:v>
      </x:c>
      <x:c r="O156" s="90" t="n">
        <x:v>0.125</x:v>
      </x:c>
      <x:c r="P156" s="11" t="e">
        <x:f>HYPERLINK("https://github.com/kapiltrip/hdlBits/blob/main/study/problems/Day%2013/167-fsm_ps2data.md","Note")</x:f>
        <x:v>HYPERLINK is not implemented. linkLocation=https://github.com/kapiltrip/hdlBits/blob/main/study/problems/Day%2013/167-fsm_ps2data.md, friendlyName=Note</x:v>
      </x:c>
      <x:c r="Q156" s="11" t="e">
        <x:f>HYPERLINK("https://github.com/kapiltrip/hdlBits/blob/main/study/images/Day%2013/167-fsm_ps2data-question-and-successful-submission.png","Image")</x:f>
        <x:v>HYPERLINK is not implemented. linkLocation=https://github.com/kapiltrip/hdlBits/blob/main/study/images/Day%2013/167-fsm_ps2data-question-and-successful-submission.png, friendlyName=Image</x:v>
      </x:c>
      <x:c r="R156" s="11" t="e">
        <x:f>HYPERLINK("https://github.com/kapiltrip/hdlBits/blob/main/study/solutions/Day%2013/167-fsm_ps2data.sv","Code")</x:f>
        <x:v>HYPERLINK is not implemented. linkLocation=https://github.com/kapiltrip/hdlBits/blob/main/study/solutions/Day%2013/167-fsm_ps2data.sv, friendlyName=Code</x:v>
      </x:c>
      <x:c r="S156" s="11" t="e">
        <x:f>HYPERLINK("https://hdlbits.01xz.net/wiki/fsm_ps2data","HDLBits")</x:f>
        <x:v>HYPERLINK is not implemented. linkLocation=https://hdlbits.01xz.net/wiki/fsm_ps2data, friendlyName=HDLBits</x:v>
      </x:c>
      <x:c r="T156" s="8" t="str">
        <x:v>Store the three PS/2 bytes in out_bytes[23:16], [15:8], and [7:0] while supporting back-to-back packets.</x:v>
      </x:c>
      <x:c r="U156" s="8" t="str">
        <x:v>A scalar index selects one bit; whole bytes need fixed part-selects. Capture byte 1 in start/done on the same edge that recognizes it.</x:v>
      </x:c>
    </x:row>
    <x:row r="157" ht="34.04999923706055" customHeight="1">
      <x:c r="A157" s="3">
        <x:v>135</x:v>
      </x:c>
      <x:c r="B157" s="3" t="n">
        <x:v>163</x:v>
      </x:c>
      <x:c r="C157" s="2" t="s">
        <x:v>27</x:v>
      </x:c>
      <x:c r="D157" s="2" t="s">
        <x:v>38</x:v>
      </x:c>
      <x:c r="E157" s="2" t="s">
        <x:v>573</x:v>
      </x:c>
      <x:c r="F157" s="2" t="s">
        <x:v>574</x:v>
      </x:c>
      <x:c r="G157" s="3" t="str">
        <x:v>Completed</x:v>
      </x:c>
      <x:c r="H157" s="91" t="str">
        <x:v>Day 12</x:v>
      </x:c>
      <x:c r="I157" s="56" t="n">
        <x:v>46208</x:v>
      </x:c>
      <x:c r="J157" s="3" t="str">
        <x:v>11:29:35 PM</x:v>
      </x:c>
      <x:c r="K157" s="3" t="n">
        <x:v>16</x:v>
      </x:c>
      <x:c r="L157" s="3" t="n">
        <x:v>12</x:v>
      </x:c>
      <x:c r="M157" s="3" t="n">
        <x:v>2</x:v>
      </x:c>
      <x:c r="N157" s="3" t="n">
        <x:v>0</x:v>
      </x:c>
      <x:c r="O157" s="88" t="n">
        <x:v>0.125</x:v>
      </x:c>
      <x:c r="P157" s="4" t="e">
        <x:f>HYPERLINK("https://github.com/kapiltrip/hdlBits/blob/main/study/problems/Day%2012/163-fsm_serial.md","Note")</x:f>
        <x:v>HYPERLINK is not implemented. linkLocation=https://github.com/kapiltrip/hdlBits/blob/main/study/problems/Day%2012/163-fsm_serial.md, friendlyName=Note</x:v>
      </x:c>
      <x:c r="Q157" s="4" t="e">
        <x:f>HYPERLINK("https://github.com/kapiltrip/hdlBits/blob/main/study/images/Day%2012/163-fsm_serial-question-and-successful-submission.png","Image")</x:f>
        <x:v>HYPERLINK is not implemented. linkLocation=https://github.com/kapiltrip/hdlBits/blob/main/study/images/Day%2012/163-fsm_serial-question-and-successful-submission.png, friendlyName=Image</x:v>
      </x:c>
      <x:c r="R157" s="4" t="e">
        <x:f>HYPERLINK("https://github.com/kapiltrip/hdlBits/blob/main/study/solutions/Day%2012/163-fsm_serial.sv","Code")</x:f>
        <x:v>HYPERLINK is not implemented. linkLocation=https://github.com/kapiltrip/hdlBits/blob/main/study/solutions/Day%2012/163-fsm_serial.sv, friendlyName=Code</x:v>
      </x:c>
      <x:c r="S157" s="4" t="e">
        <x:f>HYPERLINK("https://hdlbits.01xz.net/wiki/fsm_serial","HDLBits")</x:f>
        <x:v>HYPERLINK is not implemented. linkLocation=https://hdlbits.01xz.net/wiki/fsm_serial, friendlyName=HDLBits</x:v>
      </x:c>
      <x:c r="T157" s="2" t="str">
        <x:v>Recognize a low start bit, eight data bits, and a high stop bit; pulse done and recover correctly after a malformed stop bit.</x:v>
      </x:c>
      <x:c r="U157" s="2" t="str">
        <x:v>Count only data cycles, decode done from a completed state, and wait for idle high in an error state before accepting a new frame.</x:v>
      </x:c>
    </x:row>
    <x:row r="158" ht="34.04999923706055" customHeight="1">
      <x:c r="A158" s="7">
        <x:v>136</x:v>
      </x:c>
      <x:c r="B158" s="7" t="n">
        <x:v>164</x:v>
      </x:c>
      <x:c r="C158" s="8" t="s">
        <x:v>27</x:v>
      </x:c>
      <x:c r="D158" s="8" t="s">
        <x:v>38</x:v>
      </x:c>
      <x:c r="E158" s="8" t="s">
        <x:v>575</x:v>
      </x:c>
      <x:c r="F158" s="8" t="s">
        <x:v>576</x:v>
      </x:c>
      <x:c r="G158" s="7" t="str">
        <x:v>Completed</x:v>
      </x:c>
      <x:c r="H158" s="91" t="str">
        <x:v>Day 12</x:v>
      </x:c>
      <x:c r="I158" s="55" t="n">
        <x:v>46208</x:v>
      </x:c>
      <x:c r="J158" s="7" t="str">
        <x:v>11:48:46 PM</x:v>
      </x:c>
      <x:c r="K158" s="7" t="n">
        <x:v>11</x:v>
      </x:c>
      <x:c r="L158" s="7" t="n">
        <x:v>8</x:v>
      </x:c>
      <x:c r="M158" s="7" t="n">
        <x:v>2</x:v>
      </x:c>
      <x:c r="N158" s="7" t="n">
        <x:v>0</x:v>
      </x:c>
      <x:c r="O158" s="90" t="n">
        <x:v>0.09090909090909091</x:v>
      </x:c>
      <x:c r="P158" s="11" t="e">
        <x:f>HYPERLINK("https://github.com/kapiltrip/hdlBits/blob/main/study/problems/Day%2012/164-fsm_serialdata.md","Note")</x:f>
        <x:v>HYPERLINK is not implemented. linkLocation=https://github.com/kapiltrip/hdlBits/blob/main/study/problems/Day%2012/164-fsm_serialdata.md, friendlyName=Note</x:v>
      </x:c>
      <x:c r="Q158" s="11" t="e">
        <x:f>HYPERLINK("https://github.com/kapiltrip/hdlBits/blob/main/study/images/Day%2012/164-fsm_serialdata-question-and-successful-submission.png","Image")</x:f>
        <x:v>HYPERLINK is not implemented. linkLocation=https://github.com/kapiltrip/hdlBits/blob/main/study/images/Day%2012/164-fsm_serialdata-question-and-successful-submission.png, friendlyName=Image</x:v>
      </x:c>
      <x:c r="R158" s="11" t="e">
        <x:f>HYPERLINK("https://github.com/kapiltrip/hdlBits/blob/main/study/solutions/Day%2012/164-fsm_serialdata.sv","Code")</x:f>
        <x:v>HYPERLINK is not implemented. linkLocation=https://github.com/kapiltrip/hdlBits/blob/main/study/solutions/Day%2012/164-fsm_serialdata.sv, friendlyName=Code</x:v>
      </x:c>
      <x:c r="S158" s="11" t="e">
        <x:f>HYPERLINK("https://hdlbits.01xz.net/wiki/fsm_serialdata","HDLBits")</x:f>
        <x:v>HYPERLINK is not implemented. linkLocation=https://hdlbits.01xz.net/wiki/fsm_serialdata, friendlyName=HDLBits</x:v>
      </x:c>
      <x:c r="T158" s="8" t="str">
        <x:v>Add an LSB-first byte datapath to the serial-frame FSM and present the reconstructed byte when done is asserted.</x:v>
      </x:c>
      <x:c r="U158" s="8" t="str">
        <x:v>Control decides when bits are data; latch[count] stores LSB-first bits directly. The first mismatch localized the bug to stop/done cycle alignment.</x:v>
      </x:c>
    </x:row>
    <x:row r="159" ht="34.04999923706055" customHeight="1">
      <x:c r="A159" s="3">
        <x:v>137</x:v>
      </x:c>
      <x:c r="B159" s="3" t="n">
        <x:v>165</x:v>
      </x:c>
      <x:c r="C159" s="2" t="s">
        <x:v>27</x:v>
      </x:c>
      <x:c r="D159" s="2" t="s">
        <x:v>38</x:v>
      </x:c>
      <x:c r="E159" s="2" t="s">
        <x:v>577</x:v>
      </x:c>
      <x:c r="F159" s="2" t="s">
        <x:v>578</x:v>
      </x:c>
      <x:c r="G159" s="3" t="str">
        <x:v>Completed</x:v>
      </x:c>
      <x:c r="H159" s="91" t="str">
        <x:v>Day 13</x:v>
      </x:c>
      <x:c r="I159" s="56" t="n">
        <x:v>46209</x:v>
      </x:c>
      <x:c r="J159" s="3" t="str">
        <x:v>1:59:50 PM</x:v>
      </x:c>
      <x:c r="K159" s="3" t="n">
        <x:v>7</x:v>
      </x:c>
      <x:c r="L159" s="3" t="n">
        <x:v>4</x:v>
      </x:c>
      <x:c r="M159" s="3" t="n">
        <x:v>1</x:v>
      </x:c>
      <x:c r="N159" s="3" t="n">
        <x:v>0</x:v>
      </x:c>
      <x:c r="O159" s="88" t="n">
        <x:v>0.2857142857142857</x:v>
      </x:c>
      <x:c r="P159" s="4" t="e">
        <x:f>HYPERLINK("https://github.com/kapiltrip/hdlBits/blob/main/study/problems/Day%2013/165-fsm_serialdp.md","Note")</x:f>
        <x:v>HYPERLINK is not implemented. linkLocation=https://github.com/kapiltrip/hdlBits/blob/main/study/problems/Day%2013/165-fsm_serialdp.md, friendlyName=Note</x:v>
      </x:c>
      <x:c r="Q159" s="4" t="e">
        <x:f>HYPERLINK("https://github.com/kapiltrip/hdlBits/blob/main/study/images/Day%2013/165-fsm_serialdp-question-and-successful-submission.png","Image")</x:f>
        <x:v>HYPERLINK is not implemented. linkLocation=https://github.com/kapiltrip/hdlBits/blob/main/study/images/Day%2013/165-fsm_serialdp-question-and-successful-submission.png, friendlyName=Image</x:v>
      </x:c>
      <x:c r="R159" s="4" t="e">
        <x:f>HYPERLINK("https://github.com/kapiltrip/hdlBits/blob/main/study/solutions/Day%2013/165-fsm_serialdp.sv","Code")</x:f>
        <x:v>HYPERLINK is not implemented. linkLocation=https://github.com/kapiltrip/hdlBits/blob/main/study/solutions/Day%2013/165-fsm_serialdp.sv, friendlyName=Code</x:v>
      </x:c>
      <x:c r="S159" s="4" t="e">
        <x:f>HYPERLINK("https://hdlbits.01xz.net/wiki/fsm_serialdp","HDLBits")</x:f>
        <x:v>HYPERLINK is not implemented. linkLocation=https://hdlbits.01xz.net/wiki/fsm_serialdp, friendlyName=HDLBits</x:v>
      </x:c>
      <x:c r="T159" s="2" t="str">
        <x:v>Extend the serial receiver with odd-parity checking over eight data bits plus the parity bit, accepting only a valid stop bit and parity.</x:v>
      </x:c>
      <x:c r="U159" s="2" t="str">
        <x:v>Reset parity per frame, accumulate data plus parity, and use a separate parity state so parity and stop bits cannot be confused.</x:v>
      </x:c>
    </x:row>
    <x:row r="160" ht="34.04999923706055" customHeight="1">
      <x:c r="A160" s="7">
        <x:v>138</x:v>
      </x:c>
      <x:c r="B160" s="7" t="n">
        <x:v>168</x:v>
      </x:c>
      <x:c r="C160" s="8" t="s">
        <x:v>27</x:v>
      </x:c>
      <x:c r="D160" s="8" t="s">
        <x:v>38</x:v>
      </x:c>
      <x:c r="E160" s="8" t="s">
        <x:v>579</x:v>
      </x:c>
      <x:c r="F160" s="8" t="s">
        <x:v>580</x:v>
      </x:c>
      <x:c r="G160" s="7" t="str">
        <x:v>Completed</x:v>
      </x:c>
      <x:c r="H160" s="91" t="str">
        <x:v>Day 13</x:v>
      </x:c>
      <x:c r="I160" s="55" t="n">
        <x:v>46209</x:v>
      </x:c>
      <x:c r="J160" s="7" t="str">
        <x:v>4:21:20 PM</x:v>
      </x:c>
      <x:c r="K160" s="7" t="n">
        <x:v>6</x:v>
      </x:c>
      <x:c r="L160" s="7" t="n">
        <x:v>5</x:v>
      </x:c>
      <x:c r="M160" s="7" t="n">
        <x:v>0</x:v>
      </x:c>
      <x:c r="N160" s="7" t="n">
        <x:v>0</x:v>
      </x:c>
      <x:c r="O160" s="90" t="n">
        <x:v>0.16666666666666666</x:v>
      </x:c>
      <x:c r="P160" s="11" t="e">
        <x:f>HYPERLINK("https://github.com/kapiltrip/hdlBits/blob/main/study/problems/Day%2013/168-fsm_hdlc.md","Note")</x:f>
        <x:v>HYPERLINK is not implemented. linkLocation=https://github.com/kapiltrip/hdlBits/blob/main/study/problems/Day%2013/168-fsm_hdlc.md, friendlyName=Note</x:v>
      </x:c>
      <x:c r="Q160" s="11" t="e">
        <x:f>HYPERLINK("https://github.com/kapiltrip/hdlBits/blob/main/study/images/Day%2013/168-fsm_hdlc-question-and-successful-submission.png","Image")</x:f>
        <x:v>HYPERLINK is not implemented. linkLocation=https://github.com/kapiltrip/hdlBits/blob/main/study/images/Day%2013/168-fsm_hdlc-question-and-successful-submission.png, friendlyName=Image</x:v>
      </x:c>
      <x:c r="R160" s="11" t="e">
        <x:f>HYPERLINK("https://github.com/kapiltrip/hdlBits/blob/main/study/solutions/Day%2013/168-fsm_hdlc.sv","Code")</x:f>
        <x:v>HYPERLINK is not implemented. linkLocation=https://github.com/kapiltrip/hdlBits/blob/main/study/solutions/Day%2013/168-fsm_hdlc.sv, friendlyName=Code</x:v>
      </x:c>
      <x:c r="S160" s="11" t="e">
        <x:f>HYPERLINK("https://hdlbits.01xz.net/wiki/fsm_hdlc","HDLBits")</x:f>
        <x:v>HYPERLINK is not implemented. linkLocation=https://hdlbits.01xz.net/wiki/fsm_hdlc, friendlyName=HDLBits</x:v>
      </x:c>
      <x:c r="T160" s="8" t="str">
        <x:v>Recognize HDLC discard, flag, and error patterns from consecutive-one runs and produce correctly timed output pulses.</x:v>
      </x:c>
      <x:c r="U160" s="8" t="str">
        <x:v>Label states by exact run length. Zero after five ones is discard, zero after six is flag, and a seventh one is error; this fixes the early pulse.</x:v>
      </x:c>
    </x:row>
    <x:row r="161" ht="34.04999923706055" customHeight="1">
      <x:c r="A161" s="3">
        <x:v>139</x:v>
      </x:c>
      <x:c r="B161" s="3" t="n">
        <x:v>142</x:v>
      </x:c>
      <x:c r="C161" s="2" t="s">
        <x:v>27</x:v>
      </x:c>
      <x:c r="D161" s="2" t="s">
        <x:v>38</x:v>
      </x:c>
      <x:c r="E161" s="2" t="s">
        <x:v>581</x:v>
      </x:c>
      <x:c r="F161" s="2" t="s">
        <x:v>582</x:v>
      </x:c>
      <x:c r="G161" s="3" t="s">
        <x:v>1</x:v>
      </x:c>
      <x:c r="H161" s="3" t="str">
        <x:v>Day 07</x:v>
      </x:c>
      <x:c r="I161" s="56">
        <x:v>46202</x:v>
      </x:c>
      <x:c r="J161" s="3" t="s">
        <x:v>583</x:v>
      </x:c>
      <x:c r="K161" s="3">
        <x:v>12</x:v>
      </x:c>
      <x:c r="L161" s="3">
        <x:v>6</x:v>
      </x:c>
      <x:c r="M161" s="3">
        <x:v>5</x:v>
      </x:c>
      <x:c r="N161" s="3">
        <x:v>0</x:v>
      </x:c>
      <x:c r="O161" s="6">
        <x:v>0.08</x:v>
      </x:c>
      <x:c r="P161" s="4" t="e">
        <x:f>HYPERLINK("https://github.com/kapiltrip/hdlBits/blob/main/study/problems/Day%2007/142-exams__ece241_2013_q8.md","Note")</x:f>
        <x:v>HYPERLINK is not implemented. linkLocation=https://github.com/kapiltrip/hdlBits/blob/main/study/problems/Day%2007/142-exams__ece241_2013_q8.md, friendlyName=Note</x:v>
      </x:c>
      <x:c r="Q161" s="4" t="e">
        <x:f>HYPERLINK("https://github.com/kapiltrip/hdlBits/blob/main/study/images/Day%2007/142-exams__ece241_2013_q8.png","Image")</x:f>
        <x:v>HYPERLINK is not implemented. linkLocation=https://github.com/kapiltrip/hdlBits/blob/main/study/images/Day%2007/142-exams__ece241_2013_q8.png, friendlyName=Image</x:v>
      </x:c>
      <x:c r="R161" s="4" t="e">
        <x:f>HYPERLINK("https://github.com/kapiltrip/hdlBits/blob/main/study/solutions/Day%2007/142-exams__ece241_2013_q8.sv","Code")</x:f>
        <x:v>HYPERLINK is not implemented. linkLocation=https://github.com/kapiltrip/hdlBits/blob/main/study/solutions/Day%2007/142-exams__ece241_2013_q8.sv, friendlyName=Code</x:v>
      </x:c>
      <x:c r="S161" s="4" t="e">
        <x:f>HYPERLINK("https://hdlbits.01xz.net/wiki/exams/ece241_2013_q8","HDLBits")</x:f>
        <x:v>HYPERLINK is not implemented. linkLocation=https://hdlbits.01xz.net/wiki/exams/ece241_2013_q8, friendlyName=HDLBits</x:v>
      </x:c>
      <x:c r="T161" s="2" t="s">
        <x:v>584</x:v>
      </x:c>
      <x:c r="U161" s="2"/>
    </x:row>
    <x:row r="162" ht="34.04999923706055" customHeight="1">
      <x:c r="A162" s="7" t="n">
        <x:v>140</x:v>
      </x:c>
      <x:c r="B162" s="7" t="n">
        <x:v>169</x:v>
      </x:c>
      <x:c r="C162" s="8" t="str">
        <x:v>Circuits</x:v>
      </x:c>
      <x:c r="D162" s="8" t="str">
        <x:v>Sequential Logic → Finite State Machines</x:v>
      </x:c>
      <x:c r="E162" s="8" t="str">
        <x:v>Q5a: Serial two's complementer (Moore FSM)</x:v>
      </x:c>
      <x:c r="F162" s="8" t="str">
        <x:v>exams/ece241_2014_q5a</x:v>
      </x:c>
      <x:c r="G162" s="7" t="str">
        <x:v>Completed</x:v>
      </x:c>
      <x:c r="H162" s="57" t="str">
        <x:v>Day 13</x:v>
      </x:c>
      <x:c r="I162" s="55" t="n">
        <x:v>46209</x:v>
      </x:c>
      <x:c r="J162" s="7" t="str">
        <x:v>6:24:56 PM</x:v>
      </x:c>
      <x:c r="K162" s="7" t="n">
        <x:v>1</x:v>
      </x:c>
      <x:c r="L162" s="7" t="n">
        <x:v>0</x:v>
      </x:c>
      <x:c r="M162" s="7" t="n">
        <x:v>0</x:v>
      </x:c>
      <x:c r="N162" s="7" t="n">
        <x:v>0</x:v>
      </x:c>
      <x:c r="O162" s="10" t="n">
        <x:v>1</x:v>
      </x:c>
      <x:c r="P162" s="11" t="e">
        <x:f>HYPERLINK("https://github.com/kapiltrip/hdlBits/blob/main/study/problems/Day%2013/169-exams__ece241_2014_q5a.md","Note")</x:f>
        <x:v>HYPERLINK is not implemented. linkLocation=https://github.com/kapiltrip/hdlBits/blob/main/study/problems/Day%2013/169-exams__ece241_2014_q5a.md, friendlyName=Note</x:v>
      </x:c>
      <x:c r="Q162" s="11" t="e">
        <x:f>HYPERLINK("https://github.com/kapiltrip/hdlBits/blob/main/study/images/Day%2013/169-exams__ece241_2014_q5a-question-and-successful-submission.png","Image")</x:f>
        <x:v>HYPERLINK is not implemented. linkLocation=https://github.com/kapiltrip/hdlBits/blob/main/study/images/Day%2013/169-exams__ece241_2014_q5a-question-and-successful-submission.png, friendlyName=Image</x:v>
      </x:c>
      <x:c r="R162" s="11" t="e">
        <x:f>HYPERLINK("https://github.com/kapiltrip/hdlBits/blob/main/study/solutions/Day%2013/169-exams__ece241_2014_q5a.sv","Code")</x:f>
        <x:v>HYPERLINK is not implemented. linkLocation=https://github.com/kapiltrip/hdlBits/blob/main/study/solutions/Day%2013/169-exams__ece241_2014_q5a.sv, friendlyName=Code</x:v>
      </x:c>
      <x:c r="S162" s="11" t="e">
        <x:f>HYPERLINK("https://hdlbits.01xz.net/wiki/exams/ece241_2014_q5a","HDLBits")</x:f>
        <x:v>HYPERLINK is not implemented. linkLocation=https://hdlbits.01xz.net/wiki/exams/ece241_2014_q5a, friendlyName=HDLBits</x:v>
      </x:c>
      <x:c r="T162" s="8" t="str">
        <x:v>Implement a Moore serial two's-complementer that copies bits through the first 1 and inverts every later bit while processing the word least-significant bit first.</x:v>
      </x:c>
      <x:c r="U162" s="8" t="str">
        <x:v>Moore output timing is state-only, so the state history must account for the first-1 boundary without letting the current input drive z combinationally.</x:v>
      </x:c>
    </x:row>
    <x:row r="163" ht="34.04999923706055" customHeight="1">
      <x:c r="A163" s="3" t="n">
        <x:v>141</x:v>
      </x:c>
      <x:c r="B163" s="3" t="n">
        <x:v>170</x:v>
      </x:c>
      <x:c r="C163" s="2" t="str">
        <x:v>Circuits</x:v>
      </x:c>
      <x:c r="D163" s="2" t="str">
        <x:v>Sequential Logic → Finite State Machines</x:v>
      </x:c>
      <x:c r="E163" s="2" t="str">
        <x:v>Q5b: Serial two's complementer (Mealy FSM)</x:v>
      </x:c>
      <x:c r="F163" s="2" t="str">
        <x:v>exams/ece241_2014_q5b</x:v>
      </x:c>
      <x:c r="G163" s="3" t="str">
        <x:v>Completed</x:v>
      </x:c>
      <x:c r="H163" s="57" t="str">
        <x:v>Day 13</x:v>
      </x:c>
      <x:c r="I163" s="56" t="n">
        <x:v>46209</x:v>
      </x:c>
      <x:c r="J163" s="3" t="str">
        <x:v>6:50:12 PM</x:v>
      </x:c>
      <x:c r="K163" s="3" t="n">
        <x:v>6</x:v>
      </x:c>
      <x:c r="L163" s="3" t="n">
        <x:v>4</x:v>
      </x:c>
      <x:c r="M163" s="3" t="n">
        <x:v>1</x:v>
      </x:c>
      <x:c r="N163" s="3" t="n">
        <x:v>0</x:v>
      </x:c>
      <x:c r="O163" s="6" t="n">
        <x:v>0.16666666666666666</x:v>
      </x:c>
      <x:c r="P163" s="4" t="e">
        <x:f>HYPERLINK("https://github.com/kapiltrip/hdlBits/blob/main/study/problems/Day%2013/170-exams__ece241_2014_q5b.md","Note")</x:f>
        <x:v>HYPERLINK is not implemented. linkLocation=https://github.com/kapiltrip/hdlBits/blob/main/study/problems/Day%2013/170-exams__ece241_2014_q5b.md, friendlyName=Note</x:v>
      </x:c>
      <x:c r="Q163" s="4" t="e">
        <x:f>HYPERLINK("https://github.com/kapiltrip/hdlBits/blob/main/study/images/Day%2013/170-exams__ece241_2014_q5b-question-and-successful-submission.png","Image")</x:f>
        <x:v>HYPERLINK is not implemented. linkLocation=https://github.com/kapiltrip/hdlBits/blob/main/study/images/Day%2013/170-exams__ece241_2014_q5b-question-and-successful-submission.png, friendlyName=Image</x:v>
      </x:c>
      <x:c r="R163" s="4" t="e">
        <x:f>HYPERLINK("https://github.com/kapiltrip/hdlBits/blob/main/study/solutions/Day%2013/170-exams__ece241_2014_q5b.sv","Code")</x:f>
        <x:v>HYPERLINK is not implemented. linkLocation=https://github.com/kapiltrip/hdlBits/blob/main/study/solutions/Day%2013/170-exams__ece241_2014_q5b.sv, friendlyName=Code</x:v>
      </x:c>
      <x:c r="S163" s="4" t="e">
        <x:f>HYPERLINK("https://hdlbits.01xz.net/wiki/exams/ece241_2014_q5b","HDLBits")</x:f>
        <x:v>HYPERLINK is not implemented. linkLocation=https://hdlbits.01xz.net/wiki/exams/ece241_2014_q5b, friendlyName=HDLBits</x:v>
      </x:c>
      <x:c r="T163" s="2" t="str">
        <x:v>Implement the Mealy version of the serial two's-complementer, where output depends on both the stored history and the current input bit.</x:v>
      </x:c>
      <x:c r="U163" s="2" t="str">
        <x:v>The Mealy form emits the first copied 1 in the same cycle that transitions into the invert-after-first-one state, reducing the state burden compared with the Moore version.</x:v>
      </x:c>
    </x:row>
    <x:row r="164" ht="34.04999923706055" customHeight="1">
      <x:c r="A164" s="7">
        <x:v>142</x:v>
      </x:c>
      <x:c r="B164" s="7" t="n">
        <x:v>155</x:v>
      </x:c>
      <x:c r="C164" s="8" t="s">
        <x:v>27</x:v>
      </x:c>
      <x:c r="D164" s="8" t="s">
        <x:v>38</x:v>
      </x:c>
      <x:c r="E164" s="8" t="s">
        <x:v>585</x:v>
      </x:c>
      <x:c r="F164" s="8" t="s">
        <x:v>586</x:v>
      </x:c>
      <x:c r="G164" s="7" t="str">
        <x:v>Completed</x:v>
      </x:c>
      <x:c r="H164" s="7" t="str">
        <x:v>Day 10</x:v>
      </x:c>
      <x:c r="I164" s="55" t="n">
        <x:v>46206</x:v>
      </x:c>
      <x:c r="J164" s="7" t="str">
        <x:v>Verified success</x:v>
      </x:c>
      <x:c r="K164" s="7" t="n">
        <x:v>1</x:v>
      </x:c>
      <x:c r="L164" s="7" t="n">
        <x:v>0</x:v>
      </x:c>
      <x:c r="M164" s="7" t="n">
        <x:v>0</x:v>
      </x:c>
      <x:c r="N164" s="7" t="n">
        <x:v>0</x:v>
      </x:c>
      <x:c r="O164" s="10" t="n">
        <x:v>1</x:v>
      </x:c>
      <x:c r="P164" s="11" t="e">
        <x:f>HYPERLINK("https://github.com/kapiltrip/hdlBits/blob/main/study/problems/Day%2010/155-exams__2014_q3fsm.md","Note")</x:f>
        <x:v>HYPERLINK is not implemented. linkLocation=https://github.com/kapiltrip/hdlBits/blob/main/study/problems/Day%2010/155-exams__2014_q3fsm.md, friendlyName=Note</x:v>
      </x:c>
      <x:c r="Q164" s="11" t="e">
        <x:f>HYPERLINK("https://github.com/kapiltrip/hdlBits/blob/main/study/images/Day%2010/155-exams__2014_q3fsm-question-and-answer.png","Image")</x:f>
        <x:v>HYPERLINK is not implemented. linkLocation=https://github.com/kapiltrip/hdlBits/blob/main/study/images/Day%2010/155-exams__2014_q3fsm-question-and-answer.png, friendlyName=Image</x:v>
      </x:c>
      <x:c r="R164" s="11" t="e">
        <x:f>HYPERLINK("https://github.com/kapiltrip/hdlBits/blob/main/study/solutions/Day%2010/155-exams__2014_q3fsm.sv","Code")</x:f>
        <x:v>HYPERLINK is not implemented. linkLocation=https://github.com/kapiltrip/hdlBits/blob/main/study/solutions/Day%2010/155-exams__2014_q3fsm.sv, friendlyName=Code</x:v>
      </x:c>
      <x:c r="S164" s="11" t="e">
        <x:f>HYPERLINK("https://hdlbits.01xz.net/wiki/exams/2014_q3fsm","HDLBits")</x:f>
        <x:v>HYPERLINK is not implemented. linkLocation=https://hdlbits.01xz.net/wiki/exams/2014_q3fsm, friendlyName=HDLBits</x:v>
      </x:c>
      <x:c r="T164" s="8" t="str">
        <x:v>Implement the two-state controller and its three-sample datapath so z reports whether exactly two of each three w samples are 1.</x:v>
      </x:c>
      <x:c r="U164" s="8" t="str">
        <x:v>Keep phase state separate from sample and ones counters; include the current w value in the third-sample decision because nonblocking assignments expose old register values.</x:v>
      </x:c>
    </x:row>
    <x:row r="165" ht="34.04999923706055" customHeight="1">
      <x:c r="A165" s="3">
        <x:v>143</x:v>
      </x:c>
      <x:c r="B165" s="3" t="n">
        <x:v>156</x:v>
      </x:c>
      <x:c r="C165" s="2" t="s">
        <x:v>27</x:v>
      </x:c>
      <x:c r="D165" s="2" t="s">
        <x:v>38</x:v>
      </x:c>
      <x:c r="E165" s="2" t="s">
        <x:v>587</x:v>
      </x:c>
      <x:c r="F165" s="2" t="s">
        <x:v>588</x:v>
      </x:c>
      <x:c r="G165" s="3" t="str">
        <x:v>Completed</x:v>
      </x:c>
      <x:c r="H165" s="3" t="str">
        <x:v>Day 10</x:v>
      </x:c>
      <x:c r="I165" s="56" t="n">
        <x:v>46206</x:v>
      </x:c>
      <x:c r="J165" s="3" t="str">
        <x:v>10:10:20 PM</x:v>
      </x:c>
      <x:c r="K165" s="3" t="n">
        <x:v>2</x:v>
      </x:c>
      <x:c r="L165" s="3" t="n">
        <x:v>0</x:v>
      </x:c>
      <x:c r="M165" s="3" t="n">
        <x:v>0</x:v>
      </x:c>
      <x:c r="N165" s="3" t="n">
        <x:v>0</x:v>
      </x:c>
      <x:c r="O165" s="6" t="n">
        <x:v>1</x:v>
      </x:c>
      <x:c r="P165" s="4" t="e">
        <x:f>HYPERLINK("https://github.com/kapiltrip/hdlBits/blob/main/study/problems/Day%2010/156-exams__2014_q3bfsm.md","Note")</x:f>
        <x:v>HYPERLINK is not implemented. linkLocation=https://github.com/kapiltrip/hdlBits/blob/main/study/problems/Day%2010/156-exams__2014_q3bfsm.md, friendlyName=Note</x:v>
      </x:c>
      <x:c r="Q165" s="4" t="e">
        <x:f>HYPERLINK("https://github.com/kapiltrip/hdlBits/blob/main/study/images/Day%2010/156-exams__2014_q3bfsm-question-and-answer.png","Image")</x:f>
        <x:v>HYPERLINK is not implemented. linkLocation=https://github.com/kapiltrip/hdlBits/blob/main/study/images/Day%2010/156-exams__2014_q3bfsm-question-and-answer.png, friendlyName=Image</x:v>
      </x:c>
      <x:c r="R165" s="4" t="e">
        <x:f>HYPERLINK("https://github.com/kapiltrip/hdlBits/blob/main/study/solutions/Day%2010/156-exams__2014_q3bfsm.sv","Code")</x:f>
        <x:v>HYPERLINK is not implemented. linkLocation=https://github.com/kapiltrip/hdlBits/blob/main/study/solutions/Day%2010/156-exams__2014_q3bfsm.sv, friendlyName=Code</x:v>
      </x:c>
      <x:c r="S165" s="4" t="e">
        <x:f>HYPERLINK("https://hdlbits.01xz.net/wiki/exams/2014_q3bfsm","HDLBits")</x:f>
        <x:v>HYPERLINK is not implemented. linkLocation=https://hdlbits.01xz.net/wiki/exams/2014_q3bfsm, friendlyName=HDLBits</x:v>
      </x:c>
      <x:c r="T165" s="2" t="str">
        <x:v>Implement the complete five-state Moore FSM directly from the supplied state-assigned transition table.</x:v>
      </x:c>
      <x:c r="U165" s="2" t="str">
        <x:v>Separate the state register, complete next-state decoder, and Moore output decode; include a default recovery path for unused encodings.</x:v>
      </x:c>
    </x:row>
    <x:row r="166" ht="34.04999923706055" customHeight="1">
      <x:c r="A166" s="7">
        <x:v>144</x:v>
      </x:c>
      <x:c r="B166" s="7" t="n">
        <x:v>157</x:v>
      </x:c>
      <x:c r="C166" s="8" t="s">
        <x:v>27</x:v>
      </x:c>
      <x:c r="D166" s="8" t="s">
        <x:v>38</x:v>
      </x:c>
      <x:c r="E166" s="8" t="s">
        <x:v>589</x:v>
      </x:c>
      <x:c r="F166" s="8" t="s">
        <x:v>590</x:v>
      </x:c>
      <x:c r="G166" s="7" t="str">
        <x:v>Completed</x:v>
      </x:c>
      <x:c r="H166" s="7" t="str">
        <x:v>Day 10</x:v>
      </x:c>
      <x:c r="I166" s="55" t="n">
        <x:v>46206</x:v>
      </x:c>
      <x:c r="J166" s="7" t="str">
        <x:v>Verified success</x:v>
      </x:c>
      <x:c r="K166" s="7" t="n">
        <x:v>1</x:v>
      </x:c>
      <x:c r="L166" s="7" t="n">
        <x:v>0</x:v>
      </x:c>
      <x:c r="M166" s="7" t="n">
        <x:v>0</x:v>
      </x:c>
      <x:c r="N166" s="7" t="n">
        <x:v>0</x:v>
      </x:c>
      <x:c r="O166" s="10" t="n">
        <x:v>1</x:v>
      </x:c>
      <x:c r="P166" s="11" t="e">
        <x:f>HYPERLINK("https://github.com/kapiltrip/hdlBits/blob/main/study/problems/Day%2010/157-exams__2014_q3c.md","Note")</x:f>
        <x:v>HYPERLINK is not implemented. linkLocation=https://github.com/kapiltrip/hdlBits/blob/main/study/problems/Day%2010/157-exams__2014_q3c.md, friendlyName=Note</x:v>
      </x:c>
      <x:c r="Q166" s="11" t="e">
        <x:f>HYPERLINK("https://github.com/kapiltrip/hdlBits/blob/main/study/images/Day%2010/157-exams__2014_q3c-question-and-answer.png","Image")</x:f>
        <x:v>HYPERLINK is not implemented. linkLocation=https://github.com/kapiltrip/hdlBits/blob/main/study/images/Day%2010/157-exams__2014_q3c-question-and-answer.png, friendlyName=Image</x:v>
      </x:c>
      <x:c r="R166" s="11" t="e">
        <x:f>HYPERLINK("https://github.com/kapiltrip/hdlBits/blob/main/study/solutions/Day%2010/157-exams__2014_q3c.sv","Code")</x:f>
        <x:v>HYPERLINK is not implemented. linkLocation=https://github.com/kapiltrip/hdlBits/blob/main/study/solutions/Day%2010/157-exams__2014_q3c.sv, friendlyName=Code</x:v>
      </x:c>
      <x:c r="S166" s="11" t="e">
        <x:f>HYPERLINK("https://hdlbits.01xz.net/wiki/exams/2014_q3c","HDLBits")</x:f>
        <x:v>HYPERLINK is not implemented. linkLocation=https://hdlbits.01xz.net/wiki/exams/2014_q3c, friendlyName=HDLBits</x:v>
      </x:c>
      <x:c r="T166" s="8" t="str">
        <x:v>Derive only the next-state bit Y0 and Moore output z from the state table; no state register is required.</x:v>
      </x:c>
      <x:c r="U166" s="8" t="str">
        <x:v>Read the selected bit of every next-state entry, derive the x=0 and x=1 cases independently, then combine them with x as the selector.</x:v>
      </x:c>
    </x:row>
    <x:row r="167" ht="34.04999923706055" customHeight="1">
      <x:c r="A167" s="3" t="n">
        <x:v>145</x:v>
      </x:c>
      <x:c r="B167" s="3" t="n">
        <x:v>171</x:v>
      </x:c>
      <x:c r="C167" s="2" t="str">
        <x:v>Circuits</x:v>
      </x:c>
      <x:c r="D167" s="2" t="str">
        <x:v>Sequential Logic → Finite State Machines</x:v>
      </x:c>
      <x:c r="E167" s="2" t="str">
        <x:v>Q6b: FSM next-state logic</x:v>
      </x:c>
      <x:c r="F167" s="2" t="str">
        <x:v>exams/m2014_q6b</x:v>
      </x:c>
      <x:c r="G167" s="3" t="str">
        <x:v>Completed</x:v>
      </x:c>
      <x:c r="H167" s="57" t="str">
        <x:v>Day 13</x:v>
      </x:c>
      <x:c r="I167" s="56" t="n">
        <x:v>46209</x:v>
      </x:c>
      <x:c r="J167" s="3" t="str">
        <x:v>9:53:56 PM</x:v>
      </x:c>
      <x:c r="K167" s="3" t="n">
        <x:v>1</x:v>
      </x:c>
      <x:c r="L167" s="3" t="n">
        <x:v>0</x:v>
      </x:c>
      <x:c r="M167" s="3" t="n">
        <x:v>0</x:v>
      </x:c>
      <x:c r="N167" s="3" t="n">
        <x:v>0</x:v>
      </x:c>
      <x:c r="O167" s="6" t="n">
        <x:v>1</x:v>
      </x:c>
      <x:c r="P167" s="4" t="e">
        <x:f>HYPERLINK("https://github.com/kapiltrip/hdlBits/blob/main/study/problems/Day%2013/171-exams__m2014_q6b.md","Note")</x:f>
        <x:v>HYPERLINK is not implemented. linkLocation=https://github.com/kapiltrip/hdlBits/blob/main/study/problems/Day%2013/171-exams__m2014_q6b.md, friendlyName=Note</x:v>
      </x:c>
      <x:c r="Q167" s="4" t="e">
        <x:f>HYPERLINK("https://github.com/kapiltrip/hdlBits/blob/main/study/images/Day%2013/171-exams__m2014_q6b-question-and-successful-submission.png","Image")</x:f>
        <x:v>HYPERLINK is not implemented. linkLocation=https://github.com/kapiltrip/hdlBits/blob/main/study/images/Day%2013/171-exams__m2014_q6b-question-and-successful-submission.png, friendlyName=Image</x:v>
      </x:c>
      <x:c r="R167" s="4" t="e">
        <x:f>HYPERLINK("https://github.com/kapiltrip/hdlBits/blob/main/study/solutions/Day%2013/171-exams__m2014_q6b.sv","Code")</x:f>
        <x:v>HYPERLINK is not implemented. linkLocation=https://github.com/kapiltrip/hdlBits/blob/main/study/solutions/Day%2013/171-exams__m2014_q6b.sv, friendlyName=Code</x:v>
      </x:c>
      <x:c r="S167" s="4" t="e">
        <x:f>HYPERLINK("https://hdlbits.01xz.net/wiki/exams/m2014_q6b","HDLBits")</x:f>
        <x:v>HYPERLINK is not implemented. linkLocation=https://hdlbits.01xz.net/wiki/exams/m2014_q6b, friendlyName=HDLBits</x:v>
      </x:c>
      <x:c r="T167" s="2" t="str">
        <x:v>Derive one FSM next-state equation by collecting every incoming transition to the requested destination state and ORing the enabled product terms.</x:v>
      </x:c>
      <x:c r="U167" s="2" t="str">
        <x:v>Read arrows by destination, not by source. The reliable method is to list incoming arcs first, then simplify only after every self-loop and input polarity is accounted for.</x:v>
      </x:c>
    </x:row>
    <x:row r="168" ht="34.04999923706055" customHeight="1">
      <x:c r="A168" s="7">
        <x:v>146</x:v>
      </x:c>
      <x:c r="B168" s="7" t="n">
        <x:v>158</x:v>
      </x:c>
      <x:c r="C168" s="8" t="s">
        <x:v>27</x:v>
      </x:c>
      <x:c r="D168" s="8" t="s">
        <x:v>38</x:v>
      </x:c>
      <x:c r="E168" s="8" t="s">
        <x:v>591</x:v>
      </x:c>
      <x:c r="F168" s="8" t="s">
        <x:v>592</x:v>
      </x:c>
      <x:c r="G168" s="7" t="str">
        <x:v>Completed</x:v>
      </x:c>
      <x:c r="H168" s="7" t="str">
        <x:v>Day 10</x:v>
      </x:c>
      <x:c r="I168" s="55" t="n">
        <x:v>46206</x:v>
      </x:c>
      <x:c r="J168" s="7" t="str">
        <x:v>Verified success</x:v>
      </x:c>
      <x:c r="K168" s="7" t="n">
        <x:v>1</x:v>
      </x:c>
      <x:c r="L168" s="7" t="n">
        <x:v>0</x:v>
      </x:c>
      <x:c r="M168" s="7" t="n">
        <x:v>0</x:v>
      </x:c>
      <x:c r="N168" s="7" t="n">
        <x:v>0</x:v>
      </x:c>
      <x:c r="O168" s="10" t="n">
        <x:v>1</x:v>
      </x:c>
      <x:c r="P168" s="11" t="e">
        <x:f>HYPERLINK("https://github.com/kapiltrip/hdlBits/blob/main/study/problems/Day%2010/158-exams__m2014_q6c.md","Note")</x:f>
        <x:v>HYPERLINK is not implemented. linkLocation=https://github.com/kapiltrip/hdlBits/blob/main/study/problems/Day%2010/158-exams__m2014_q6c.md, friendlyName=Note</x:v>
      </x:c>
      <x:c r="Q168" s="11" t="e">
        <x:f>HYPERLINK("https://github.com/kapiltrip/hdlBits/blob/main/study/images/Day%2010/158-exams__m2014_q6c-question-and-answer.png","Image")</x:f>
        <x:v>HYPERLINK is not implemented. linkLocation=https://github.com/kapiltrip/hdlBits/blob/main/study/images/Day%2010/158-exams__m2014_q6c-question-and-answer.png, friendlyName=Image</x:v>
      </x:c>
      <x:c r="R168" s="11" t="e">
        <x:f>HYPERLINK("https://github.com/kapiltrip/hdlBits/blob/main/study/solutions/Day%2010/158-exams__m2014_q6c.sv","Code")</x:f>
        <x:v>HYPERLINK is not implemented. linkLocation=https://github.com/kapiltrip/hdlBits/blob/main/study/solutions/Day%2010/158-exams__m2014_q6c.sv, friendlyName=Code</x:v>
      </x:c>
      <x:c r="S168" s="11" t="e">
        <x:f>HYPERLINK("https://hdlbits.01xz.net/wiki/exams/m2014_q6c","HDLBits")</x:f>
        <x:v>HYPERLINK is not implemented. linkLocation=https://hdlbits.01xz.net/wiki/exams/m2014_q6c, friendlyName=HDLBits</x:v>
      </x:c>
      <x:c r="T168" s="8" t="str">
        <x:v>Write one-hot next-state equations for Y2 and Y4 from the state diagram.</x:v>
      </x:c>
      <x:c r="U168" s="8" t="str">
        <x:v>A one-hot next-state bit is the OR of all enabled transitions entering that destination state; direct sum-of-products also handles non-one-hot test vectors.</x:v>
      </x:c>
    </x:row>
    <x:row r="169" ht="34.04999923706055" customHeight="1">
      <x:c r="A169" s="3" t="n">
        <x:v>147</x:v>
      </x:c>
      <x:c r="B169" s="3" t="n">
        <x:v>172</x:v>
      </x:c>
      <x:c r="C169" s="2" t="str">
        <x:v>Circuits</x:v>
      </x:c>
      <x:c r="D169" s="2" t="str">
        <x:v>Sequential Logic → Finite State Machines</x:v>
      </x:c>
      <x:c r="E169" s="2" t="str">
        <x:v>Q6: FSM</x:v>
      </x:c>
      <x:c r="F169" s="2" t="str">
        <x:v>exams/m2014_q6</x:v>
      </x:c>
      <x:c r="G169" s="3" t="str">
        <x:v>Completed</x:v>
      </x:c>
      <x:c r="H169" s="57" t="str">
        <x:v>Day 13</x:v>
      </x:c>
      <x:c r="I169" s="56" t="n">
        <x:v>46209</x:v>
      </x:c>
      <x:c r="J169" s="3" t="str">
        <x:v>10:01:46 PM</x:v>
      </x:c>
      <x:c r="K169" s="3" t="n">
        <x:v>1</x:v>
      </x:c>
      <x:c r="L169" s="3" t="n">
        <x:v>0</x:v>
      </x:c>
      <x:c r="M169" s="3" t="n">
        <x:v>0</x:v>
      </x:c>
      <x:c r="N169" s="3" t="n">
        <x:v>0</x:v>
      </x:c>
      <x:c r="O169" s="6" t="n">
        <x:v>1</x:v>
      </x:c>
      <x:c r="P169" s="4" t="e">
        <x:f>HYPERLINK("https://github.com/kapiltrip/hdlBits/blob/main/study/problems/Day%2013/172-exams__m2014_q6.md","Note")</x:f>
        <x:v>HYPERLINK is not implemented. linkLocation=https://github.com/kapiltrip/hdlBits/blob/main/study/problems/Day%2013/172-exams__m2014_q6.md, friendlyName=Note</x:v>
      </x:c>
      <x:c r="Q169" s="4" t="e">
        <x:f>HYPERLINK("https://github.com/kapiltrip/hdlBits/blob/main/study/images/Day%2013/172-exams__m2014_q6-question-and-successful-submission.png","Image")</x:f>
        <x:v>HYPERLINK is not implemented. linkLocation=https://github.com/kapiltrip/hdlBits/blob/main/study/images/Day%2013/172-exams__m2014_q6-question-and-successful-submission.png, friendlyName=Image</x:v>
      </x:c>
      <x:c r="R169" s="4" t="e">
        <x:f>HYPERLINK("https://github.com/kapiltrip/hdlBits/blob/main/study/solutions/Day%2013/172-exams__m2014_q6.sv","Code")</x:f>
        <x:v>HYPERLINK is not implemented. linkLocation=https://github.com/kapiltrip/hdlBits/blob/main/study/solutions/Day%2013/172-exams__m2014_q6.sv, friendlyName=Code</x:v>
      </x:c>
      <x:c r="S169" s="4" t="e">
        <x:f>HYPERLINK("https://hdlbits.01xz.net/wiki/exams/m2014_q6","HDLBits")</x:f>
        <x:v>HYPERLINK is not implemented. linkLocation=https://hdlbits.01xz.net/wiki/exams/m2014_q6, friendlyName=HDLBits</x:v>
      </x:c>
      <x:c r="T169" s="2" t="str">
        <x:v>Build the complete FSM from the given transition diagram, including synchronous reset, registered state progression, combinational next-state logic, and Moore output decode.</x:v>
      </x:c>
      <x:c r="U169" s="2" t="str">
        <x:v>Separating state register, transition logic, and output decode makes reset timing and Moore output timing explicit and avoids accidental latch behavior.</x:v>
      </x:c>
    </x:row>
    <x:row r="170" ht="34.04999923706055" customHeight="1">
      <x:c r="A170" s="7" t="n">
        <x:v>148</x:v>
      </x:c>
      <x:c r="B170" s="7" t="n">
        <x:v>173</x:v>
      </x:c>
      <x:c r="C170" s="8" t="str">
        <x:v>Circuits</x:v>
      </x:c>
      <x:c r="D170" s="8" t="str">
        <x:v>Sequential Logic → Finite State Machines</x:v>
      </x:c>
      <x:c r="E170" s="8" t="str">
        <x:v>Q2a: FSM</x:v>
      </x:c>
      <x:c r="F170" s="8" t="str">
        <x:v>exams/2012_q2fsm</x:v>
      </x:c>
      <x:c r="G170" s="7" t="str">
        <x:v>Completed</x:v>
      </x:c>
      <x:c r="H170" s="57" t="str">
        <x:v>Day 13</x:v>
      </x:c>
      <x:c r="I170" s="55" t="n">
        <x:v>46209</x:v>
      </x:c>
      <x:c r="J170" s="7" t="str">
        <x:v>10:06:12 PM</x:v>
      </x:c>
      <x:c r="K170" s="7" t="n">
        <x:v>1</x:v>
      </x:c>
      <x:c r="L170" s="7" t="n">
        <x:v>0</x:v>
      </x:c>
      <x:c r="M170" s="7" t="n">
        <x:v>0</x:v>
      </x:c>
      <x:c r="N170" s="7" t="n">
        <x:v>0</x:v>
      </x:c>
      <x:c r="O170" s="10" t="n">
        <x:v>1</x:v>
      </x:c>
      <x:c r="P170" s="11" t="e">
        <x:f>HYPERLINK("https://github.com/kapiltrip/hdlBits/blob/main/study/problems/Day%2013/173-exams__2012_q2fsm.md","Note")</x:f>
        <x:v>HYPERLINK is not implemented. linkLocation=https://github.com/kapiltrip/hdlBits/blob/main/study/problems/Day%2013/173-exams__2012_q2fsm.md, friendlyName=Note</x:v>
      </x:c>
      <x:c r="Q170" s="11" t="e">
        <x:f>HYPERLINK("https://github.com/kapiltrip/hdlBits/blob/main/study/images/Day%2013/173-exams__2012_q2fsm-question-and-successful-submission.png","Image")</x:f>
        <x:v>HYPERLINK is not implemented. linkLocation=https://github.com/kapiltrip/hdlBits/blob/main/study/images/Day%2013/173-exams__2012_q2fsm-question-and-successful-submission.png, friendlyName=Image</x:v>
      </x:c>
      <x:c r="R170" s="11" t="e">
        <x:f>HYPERLINK("https://github.com/kapiltrip/hdlBits/blob/main/study/solutions/Day%2013/173-exams__2012_q2fsm.sv","Code")</x:f>
        <x:v>HYPERLINK is not implemented. linkLocation=https://github.com/kapiltrip/hdlBits/blob/main/study/solutions/Day%2013/173-exams__2012_q2fsm.sv, friendlyName=Code</x:v>
      </x:c>
      <x:c r="S170" s="11" t="e">
        <x:f>HYPERLINK("https://hdlbits.01xz.net/wiki/exams/2012_q2fsm","HDLBits")</x:f>
        <x:v>HYPERLINK is not implemented. linkLocation=https://hdlbits.01xz.net/wiki/exams/2012_q2fsm, friendlyName=HDLBits</x:v>
      </x:c>
      <x:c r="T170" s="8" t="str">
        <x:v>Implement the state diagram as a conventional Moore FSM with reset, registered state, complete transition cases, and output decoded from the present state.</x:v>
      </x:c>
      <x:c r="U170" s="8" t="str">
        <x:v>Trace the diagram one row at a time and then run a full sequence trace to catch one-cycle Moore output mistakes and reversed transition branches.</x:v>
      </x:c>
    </x:row>
    <x:row r="171" ht="34.04999923706055" customHeight="1">
      <x:c r="A171" s="3" t="n">
        <x:v>149</x:v>
      </x:c>
      <x:c r="B171" s="3" t="n">
        <x:v>174</x:v>
      </x:c>
      <x:c r="C171" s="2" t="str">
        <x:v>Circuits</x:v>
      </x:c>
      <x:c r="D171" s="2" t="str">
        <x:v>Sequential Logic → Finite State Machines</x:v>
      </x:c>
      <x:c r="E171" s="2" t="str">
        <x:v>Q2b: One-hot FSM equations</x:v>
      </x:c>
      <x:c r="F171" s="2" t="str">
        <x:v>exams/2012_q2b</x:v>
      </x:c>
      <x:c r="G171" s="3" t="str">
        <x:v>Completed</x:v>
      </x:c>
      <x:c r="H171" s="57" t="str">
        <x:v>Day 13</x:v>
      </x:c>
      <x:c r="I171" s="56" t="n">
        <x:v>46209</x:v>
      </x:c>
      <x:c r="J171" s="3" t="str">
        <x:v>10:38:05 PM</x:v>
      </x:c>
      <x:c r="K171" s="3" t="n">
        <x:v>1</x:v>
      </x:c>
      <x:c r="L171" s="3" t="n">
        <x:v>0</x:v>
      </x:c>
      <x:c r="M171" s="3" t="n">
        <x:v>0</x:v>
      </x:c>
      <x:c r="N171" s="3" t="n">
        <x:v>0</x:v>
      </x:c>
      <x:c r="O171" s="6" t="n">
        <x:v>1</x:v>
      </x:c>
      <x:c r="P171" s="4" t="e">
        <x:f>HYPERLINK("https://github.com/kapiltrip/hdlBits/blob/main/study/problems/Day%2013/174-exams__2012_q2b.md","Note")</x:f>
        <x:v>HYPERLINK is not implemented. linkLocation=https://github.com/kapiltrip/hdlBits/blob/main/study/problems/Day%2013/174-exams__2012_q2b.md, friendlyName=Note</x:v>
      </x:c>
      <x:c r="Q171" s="4" t="e">
        <x:f>HYPERLINK("https://github.com/kapiltrip/hdlBits/blob/main/study/images/Day%2013/174-exams__2012_q2b-question-and-successful-submission.png","Image")</x:f>
        <x:v>HYPERLINK is not implemented. linkLocation=https://github.com/kapiltrip/hdlBits/blob/main/study/images/Day%2013/174-exams__2012_q2b-question-and-successful-submission.png, friendlyName=Image</x:v>
      </x:c>
      <x:c r="R171" s="4" t="e">
        <x:f>HYPERLINK("https://github.com/kapiltrip/hdlBits/blob/main/study/solutions/Day%2013/174-exams__2012_q2b.sv","Code")</x:f>
        <x:v>HYPERLINK is not implemented. linkLocation=https://github.com/kapiltrip/hdlBits/blob/main/study/solutions/Day%2013/174-exams__2012_q2b.sv, friendlyName=Code</x:v>
      </x:c>
      <x:c r="S171" s="4" t="e">
        <x:f>HYPERLINK("https://hdlbits.01xz.net/wiki/exams/2012_q2b","HDLBits")</x:f>
        <x:v>HYPERLINK is not implemented. linkLocation=https://hdlbits.01xz.net/wiki/exams/2012_q2b, friendlyName=HDLBits</x:v>
      </x:c>
      <x:c r="T171" s="2" t="str">
        <x:v>Write direct one-hot next-state and output equations from the same FSM, using the supplied present-state vector rather than building a state register.</x:v>
      </x:c>
      <x:c r="U171" s="2" t="str">
        <x:v>For one-hot equations, each destination bit is an OR of incoming transition terms. This avoids priority-case behavior and keeps every arrow represented exactly once.</x:v>
      </x:c>
    </x:row>
    <x:row r="172" ht="34.04999923706055" customHeight="1">
      <x:c r="A172" s="7" t="n">
        <x:v>150</x:v>
      </x:c>
      <x:c r="B172" s="7" t="n">
        <x:v>177</x:v>
      </x:c>
      <x:c r="C172" s="8" t="str">
        <x:v>Circuits</x:v>
      </x:c>
      <x:c r="D172" s="8" t="str">
        <x:v>Sequential Logic → Finite State Machines</x:v>
      </x:c>
      <x:c r="E172" s="8" t="str">
        <x:v>Q2a: FSM</x:v>
      </x:c>
      <x:c r="F172" s="8" t="str">
        <x:v>exams/2013_q2afsm</x:v>
      </x:c>
      <x:c r="G172" s="7" t="str">
        <x:v>Completed</x:v>
      </x:c>
      <x:c r="H172" s="57" t="str">
        <x:v>Day 14</x:v>
      </x:c>
      <x:c r="I172" s="55" t="n">
        <x:v>46210</x:v>
      </x:c>
      <x:c r="J172" s="7" t="str">
        <x:v>1:36:14 AM</x:v>
      </x:c>
      <x:c r="K172" s="7" t="n">
        <x:v>4</x:v>
      </x:c>
      <x:c r="L172" s="7" t="n">
        <x:v>1</x:v>
      </x:c>
      <x:c r="M172" s="7" t="n">
        <x:v>2</x:v>
      </x:c>
      <x:c r="N172" s="7" t="n">
        <x:v>0</x:v>
      </x:c>
      <x:c r="O172" s="10" t="n">
        <x:v>0.25</x:v>
      </x:c>
      <x:c r="P172" s="11" t="e">
        <x:f>HYPERLINK("https://github.com/kapiltrip/hdlBits/blob/main/study/problems/Day%2014/177-exams__2013_q2afsm.md","Note")</x:f>
        <x:v>HYPERLINK is not implemented. linkLocation=https://github.com/kapiltrip/hdlBits/blob/main/study/problems/Day%2014/177-exams__2013_q2afsm.md, friendlyName=Note</x:v>
      </x:c>
      <x:c r="Q172" s="11" t="e">
        <x:f>HYPERLINK("https://github.com/kapiltrip/hdlBits/blob/main/study/images/Day%2014/177-exams__2013_q2afsm-question-and-successful-submission.png","Image")</x:f>
        <x:v>HYPERLINK is not implemented. linkLocation=https://github.com/kapiltrip/hdlBits/blob/main/study/images/Day%2014/177-exams__2013_q2afsm-question-and-successful-submission.png, friendlyName=Image</x:v>
      </x:c>
      <x:c r="R172" s="11" t="e">
        <x:f>HYPERLINK("https://github.com/kapiltrip/hdlBits/blob/main/study/solutions/Day%2014/177-exams__2013_q2afsm.sv","Code")</x:f>
        <x:v>HYPERLINK is not implemented. linkLocation=https://github.com/kapiltrip/hdlBits/blob/main/study/solutions/Day%2014/177-exams__2013_q2afsm.sv, friendlyName=Code</x:v>
      </x:c>
      <x:c r="S172" s="11" t="e">
        <x:f>HYPERLINK("https://hdlbits.01xz.net/wiki/exams/2013_q2afsm","HDLBits")</x:f>
        <x:v>HYPERLINK is not implemented. linkLocation=https://hdlbits.01xz.net/wiki/exams/2013_q2afsm, friendlyName=HDLBits</x:v>
      </x:c>
      <x:c r="T172" s="8" t="str">
        <x:v>Implement an arbiter FSM whose registered state selects idle or one active requester, follows the request-priority transition diagram, and decodes mutually exclusive grants.</x:v>
      </x:c>
      <x:c r="U172" s="8" t="str">
        <x:v>The repaired solution covers every request combination, holds a grant while its request remains asserted, returns to idle on withdrawal, and keeps prior failed evidence as revision context.</x:v>
      </x:c>
    </x:row>
    <x:row r="173" ht="34.04999923706055" customHeight="1">
      <x:c r="A173" s="3">
        <x:v>151</x:v>
      </x:c>
      <x:c r="B173" s="3" t="n">
        <x:v>121</x:v>
      </x:c>
      <x:c r="C173" s="2" t="s">
        <x:v>27</x:v>
      </x:c>
      <x:c r="D173" s="2" t="s">
        <x:v>38</x:v>
      </x:c>
      <x:c r="E173" s="2" t="s">
        <x:v>593</x:v>
      </x:c>
      <x:c r="F173" s="2" t="s">
        <x:v>594</x:v>
      </x:c>
      <x:c r="G173" s="3" t="s">
        <x:v>1</x:v>
      </x:c>
      <x:c r="H173" s="3" t="str">
        <x:v>Day 06</x:v>
      </x:c>
      <x:c r="I173" s="56">
        <x:v>46201</x:v>
      </x:c>
      <x:c r="J173" s="3" t="s">
        <x:v>595</x:v>
      </x:c>
      <x:c r="K173" s="3">
        <x:v>2</x:v>
      </x:c>
      <x:c r="L173" s="3">
        <x:v>0</x:v>
      </x:c>
      <x:c r="M173" s="3">
        <x:v>0</x:v>
      </x:c>
      <x:c r="N173" s="3">
        <x:v>0</x:v>
      </x:c>
      <x:c r="O173" s="6">
        <x:v>1</x:v>
      </x:c>
      <x:c r="P173" s="4" t="e">
        <x:f>HYPERLINK("https://github.com/kapiltrip/hdlBits/blob/main/study/problems/Day%2006/121-exams__2013_q2bfsm.md","Note")</x:f>
        <x:v>HYPERLINK is not implemented. linkLocation=https://github.com/kapiltrip/hdlBits/blob/main/study/problems/Day%2006/121-exams__2013_q2bfsm.md, friendlyName=Note</x:v>
      </x:c>
      <x:c r="Q173" s="4" t="e">
        <x:f>HYPERLINK("https://github.com/kapiltrip/hdlBits/blob/main/study/images/Day%2006/121-exams__2013_q2bfsm.png","Image")</x:f>
        <x:v>HYPERLINK is not implemented. linkLocation=https://github.com/kapiltrip/hdlBits/blob/main/study/images/Day%2006/121-exams__2013_q2bfsm.png, friendlyName=Image</x:v>
      </x:c>
      <x:c r="R173" s="4" t="e">
        <x:f>HYPERLINK("https://github.com/kapiltrip/hdlBits/blob/main/study/solutions/Day%2006/121-exams__2013_q2bfsm.sv","Code")</x:f>
        <x:v>HYPERLINK is not implemented. linkLocation=https://github.com/kapiltrip/hdlBits/blob/main/study/solutions/Day%2006/121-exams__2013_q2bfsm.sv, friendlyName=Code</x:v>
      </x:c>
      <x:c r="S173" s="4" t="e">
        <x:f>HYPERLINK("https://hdlbits.01xz.net/wiki/exams/2013_q2bfsm","HDLBits")</x:f>
        <x:v>HYPERLINK is not implemented. linkLocation=https://hdlbits.01xz.net/wiki/exams/2013_q2bfsm, friendlyName=HDLBits</x:v>
      </x:c>
      <x:c r="T173" s="2" t="s">
        <x:v>596</x:v>
      </x:c>
      <x:c r="U173" s="2"/>
    </x:row>
    <x:row r="174" ht="22.049999237060547" customHeight="1">
      <x:c r="A174" s="44" t="s">
        <x:v>597</x:v>
      </x:c>
      <x:c r="B174" s="44"/>
      <x:c r="C174" s="44"/>
      <x:c r="D174" s="44"/>
      <x:c r="E174" s="44"/>
      <x:c r="F174" s="44"/>
      <x:c r="G174" s="44"/>
      <x:c r="H174" s="44"/>
      <x:c r="I174" s="60"/>
      <x:c r="J174" s="44"/>
      <x:c r="K174" s="44"/>
      <x:c r="L174" s="44"/>
      <x:c r="M174" s="44"/>
      <x:c r="N174" s="44"/>
      <x:c r="O174" s="46"/>
      <x:c r="P174" s="44"/>
      <x:c r="Q174" s="44"/>
      <x:c r="R174" s="44"/>
      <x:c r="S174" s="44"/>
      <x:c r="T174" s="44"/>
      <x:c r="U174" s="44"/>
    </x:row>
    <x:row r="175" ht="34.04999923706055" customHeight="1">
      <x:c r="A175" s="7">
        <x:v>152</x:v>
      </x:c>
      <x:c r="B175" s="7" t="n">
        <x:v>147</x:v>
      </x:c>
      <x:c r="C175" s="8" t="s">
        <x:v>27</x:v>
      </x:c>
      <x:c r="D175" s="8" t="s">
        <x:v>39</x:v>
      </x:c>
      <x:c r="E175" s="8" t="s">
        <x:v>598</x:v>
      </x:c>
      <x:c r="F175" s="8" t="s">
        <x:v>599</x:v>
      </x:c>
      <x:c r="G175" s="7" t="s">
        <x:v>1</x:v>
      </x:c>
      <x:c r="H175" s="7" t="str">
        <x:v>Day 09</x:v>
      </x:c>
      <x:c r="I175" s="55">
        <x:v>46205</x:v>
      </x:c>
      <x:c r="J175" s="51">
        <x:v>0.68840277777777781</x:v>
      </x:c>
      <x:c r="K175" s="7">
        <x:v>1</x:v>
      </x:c>
      <x:c r="L175" s="7">
        <x:v>0</x:v>
      </x:c>
      <x:c r="M175" s="7">
        <x:v>0</x:v>
      </x:c>
      <x:c r="N175" s="7">
        <x:v>0</x:v>
      </x:c>
      <x:c r="O175" s="10">
        <x:v>1</x:v>
      </x:c>
      <x:c r="P175" s="52" t="e">
        <x:f>HYPERLINK("https://github.com/kapiltrip/hdlBits/blob/main/study/problems/Day%2009/147-exams__review2015_count1k.md","Note")</x:f>
        <x:v>HYPERLINK is not implemented. linkLocation=https://github.com/kapiltrip/hdlBits/blob/main/study/problems/Day%2009/147-exams__review2015_count1k.md, friendlyName=Note</x:v>
      </x:c>
      <x:c r="Q175" s="52" t="e">
        <x:f>HYPERLINK("https://github.com/kapiltrip/hdlBits/blob/main/study/images/Day%2009/147-exams__review2015_count1k.png","Image")</x:f>
        <x:v>HYPERLINK is not implemented. linkLocation=https://github.com/kapiltrip/hdlBits/blob/main/study/images/Day%2009/147-exams__review2015_count1k.png, friendlyName=Image</x:v>
      </x:c>
      <x:c r="R175" s="52" t="e">
        <x:f>HYPERLINK("https://github.com/kapiltrip/hdlBits/blob/main/study/solutions/Day%2009/147-exams__review2015_count1k.sv","Code")</x:f>
        <x:v>HYPERLINK is not implemented. linkLocation=https://github.com/kapiltrip/hdlBits/blob/main/study/solutions/Day%2009/147-exams__review2015_count1k.sv, friendlyName=Code</x:v>
      </x:c>
      <x:c r="S175" s="52" t="e">
        <x:f>HYPERLINK("https://hdlbits.01xz.net/wiki/exams/review2015_count1k","HDLBits")</x:f>
        <x:v>HYPERLINK is not implemented. linkLocation=https://hdlbits.01xz.net/wiki/exams/review2015_count1k, friendlyName=HDLBits</x:v>
      </x:c>
      <x:c r="T175" s="8" t="s">
        <x:v>600</x:v>
      </x:c>
      <x:c r="U175" s="8"/>
    </x:row>
    <x:row r="176" ht="34.04999923706055" customHeight="1">
      <x:c r="A176" s="3">
        <x:v>153</x:v>
      </x:c>
      <x:c r="B176" s="3" t="n">
        <x:v>148</x:v>
      </x:c>
      <x:c r="C176" s="2" t="s">
        <x:v>27</x:v>
      </x:c>
      <x:c r="D176" s="2" t="s">
        <x:v>39</x:v>
      </x:c>
      <x:c r="E176" s="2" t="s">
        <x:v>601</x:v>
      </x:c>
      <x:c r="F176" s="2" t="s">
        <x:v>602</x:v>
      </x:c>
      <x:c r="G176" s="3" t="s">
        <x:v>1</x:v>
      </x:c>
      <x:c r="H176" s="3" t="str">
        <x:v>Day 09</x:v>
      </x:c>
      <x:c r="I176" s="56">
        <x:v>46205</x:v>
      </x:c>
      <x:c r="J176" s="48">
        <x:v>0.69986111111111116</x:v>
      </x:c>
      <x:c r="K176" s="3">
        <x:v>12</x:v>
      </x:c>
      <x:c r="L176" s="3">
        <x:v>7</x:v>
      </x:c>
      <x:c r="M176" s="3">
        <x:v>4</x:v>
      </x:c>
      <x:c r="N176" s="3">
        <x:v>0</x:v>
      </x:c>
      <x:c r="O176" s="6">
        <x:v>8.3333333333333329E-2</x:v>
      </x:c>
      <x:c r="P176" s="49" t="e">
        <x:f>HYPERLINK("https://github.com/kapiltrip/hdlBits/blob/main/study/problems/Day%2009/148-exams__review2015_shiftcount.md","Note")</x:f>
        <x:v>HYPERLINK is not implemented. linkLocation=https://github.com/kapiltrip/hdlBits/blob/main/study/problems/Day%2009/148-exams__review2015_shiftcount.md, friendlyName=Note</x:v>
      </x:c>
      <x:c r="Q176" s="49" t="e">
        <x:f>HYPERLINK("https://github.com/kapiltrip/hdlBits/blob/main/study/images/Day%2009/148-exams__review2015_shiftcount.png","Image")</x:f>
        <x:v>HYPERLINK is not implemented. linkLocation=https://github.com/kapiltrip/hdlBits/blob/main/study/images/Day%2009/148-exams__review2015_shiftcount.png, friendlyName=Image</x:v>
      </x:c>
      <x:c r="R176" s="49" t="e">
        <x:f>HYPERLINK("https://github.com/kapiltrip/hdlBits/blob/main/study/solutions/Day%2009/148-exams__review2015_shiftcount.sv","Code")</x:f>
        <x:v>HYPERLINK is not implemented. linkLocation=https://github.com/kapiltrip/hdlBits/blob/main/study/solutions/Day%2009/148-exams__review2015_shiftcount.sv, friendlyName=Code</x:v>
      </x:c>
      <x:c r="S176" s="49" t="e">
        <x:f>HYPERLINK("https://hdlbits.01xz.net/wiki/exams/review2015_shiftcount","HDLBits")</x:f>
        <x:v>HYPERLINK is not implemented. linkLocation=https://hdlbits.01xz.net/wiki/exams/review2015_shiftcount, friendlyName=HDLBits</x:v>
      </x:c>
      <x:c r="T176" s="2" t="s">
        <x:v>603</x:v>
      </x:c>
      <x:c r="U176" s="2"/>
    </x:row>
    <x:row r="177" ht="34.04999923706055" customHeight="1">
      <x:c r="A177" s="7">
        <x:v>154</x:v>
      </x:c>
      <x:c r="B177" s="7" t="n">
        <x:v>149</x:v>
      </x:c>
      <x:c r="C177" s="8" t="s">
        <x:v>27</x:v>
      </x:c>
      <x:c r="D177" s="8" t="s">
        <x:v>39</x:v>
      </x:c>
      <x:c r="E177" s="8" t="s">
        <x:v>604</x:v>
      </x:c>
      <x:c r="F177" s="8" t="s">
        <x:v>605</x:v>
      </x:c>
      <x:c r="G177" s="7" t="s">
        <x:v>1</x:v>
      </x:c>
      <x:c r="H177" s="7" t="str">
        <x:v>Day 09</x:v>
      </x:c>
      <x:c r="I177" s="55">
        <x:v>46205</x:v>
      </x:c>
      <x:c r="J177" s="51">
        <x:v>0.72978009259259258</x:v>
      </x:c>
      <x:c r="K177" s="7">
        <x:v>12</x:v>
      </x:c>
      <x:c r="L177" s="7">
        <x:v>6</x:v>
      </x:c>
      <x:c r="M177" s="7">
        <x:v>5</x:v>
      </x:c>
      <x:c r="N177" s="7">
        <x:v>0</x:v>
      </x:c>
      <x:c r="O177" s="10">
        <x:v>8.3333333333333329E-2</x:v>
      </x:c>
      <x:c r="P177" s="52" t="e">
        <x:f>HYPERLINK("https://github.com/kapiltrip/hdlBits/blob/main/study/problems/Day%2009/149-exams__review2015_fsmseq.md","Note")</x:f>
        <x:v>HYPERLINK is not implemented. linkLocation=https://github.com/kapiltrip/hdlBits/blob/main/study/problems/Day%2009/149-exams__review2015_fsmseq.md, friendlyName=Note</x:v>
      </x:c>
      <x:c r="Q177" s="52" t="e">
        <x:f>HYPERLINK("https://github.com/kapiltrip/hdlBits/blob/main/study/images/Day%2009/149-exams__review2015_fsmseq.png","Image")</x:f>
        <x:v>HYPERLINK is not implemented. linkLocation=https://github.com/kapiltrip/hdlBits/blob/main/study/images/Day%2009/149-exams__review2015_fsmseq.png, friendlyName=Image</x:v>
      </x:c>
      <x:c r="R177" s="52" t="e">
        <x:f>HYPERLINK("https://github.com/kapiltrip/hdlBits/blob/main/study/solutions/Day%2009/149-exams__review2015_fsmseq.sv","Code")</x:f>
        <x:v>HYPERLINK is not implemented. linkLocation=https://github.com/kapiltrip/hdlBits/blob/main/study/solutions/Day%2009/149-exams__review2015_fsmseq.sv, friendlyName=Code</x:v>
      </x:c>
      <x:c r="S177" s="52" t="e">
        <x:f>HYPERLINK("https://hdlbits.01xz.net/wiki/exams/review2015_fsmseq","HDLBits")</x:f>
        <x:v>HYPERLINK is not implemented. linkLocation=https://hdlbits.01xz.net/wiki/exams/review2015_fsmseq, friendlyName=HDLBits</x:v>
      </x:c>
      <x:c r="T177" s="8" t="s">
        <x:v>606</x:v>
      </x:c>
      <x:c r="U177" s="8"/>
    </x:row>
    <x:row r="178" ht="34.04999923706055" customHeight="1">
      <x:c r="A178" s="3">
        <x:v>155</x:v>
      </x:c>
      <x:c r="B178" s="3" t="n">
        <x:v>150</x:v>
      </x:c>
      <x:c r="C178" s="2" t="s">
        <x:v>27</x:v>
      </x:c>
      <x:c r="D178" s="2" t="s">
        <x:v>39</x:v>
      </x:c>
      <x:c r="E178" s="2" t="s">
        <x:v>607</x:v>
      </x:c>
      <x:c r="F178" s="2" t="s">
        <x:v>608</x:v>
      </x:c>
      <x:c r="G178" s="3" t="s">
        <x:v>1</x:v>
      </x:c>
      <x:c r="H178" s="3" t="str">
        <x:v>Day 09</x:v>
      </x:c>
      <x:c r="I178" s="56">
        <x:v>46205</x:v>
      </x:c>
      <x:c r="J178" s="48">
        <x:v>0.75184027777777773</x:v>
      </x:c>
      <x:c r="K178" s="3">
        <x:v>9</x:v>
      </x:c>
      <x:c r="L178" s="3">
        <x:v>4</x:v>
      </x:c>
      <x:c r="M178" s="3">
        <x:v>4</x:v>
      </x:c>
      <x:c r="N178" s="3">
        <x:v>0</x:v>
      </x:c>
      <x:c r="O178" s="6">
        <x:v>0.1111111111111111</x:v>
      </x:c>
      <x:c r="P178" s="49" t="e">
        <x:f>HYPERLINK("https://github.com/kapiltrip/hdlBits/blob/main/study/problems/Day%2009/150-exams__review2015_fsmshift.md","Note")</x:f>
        <x:v>HYPERLINK is not implemented. linkLocation=https://github.com/kapiltrip/hdlBits/blob/main/study/problems/Day%2009/150-exams__review2015_fsmshift.md, friendlyName=Note</x:v>
      </x:c>
      <x:c r="Q178" s="49" t="e">
        <x:f>HYPERLINK("https://github.com/kapiltrip/hdlBits/blob/main/study/images/Day%2009/150-exams__review2015_fsmshift.png","Image")</x:f>
        <x:v>HYPERLINK is not implemented. linkLocation=https://github.com/kapiltrip/hdlBits/blob/main/study/images/Day%2009/150-exams__review2015_fsmshift.png, friendlyName=Image</x:v>
      </x:c>
      <x:c r="R178" s="49" t="e">
        <x:f>HYPERLINK("https://github.com/kapiltrip/hdlBits/blob/main/study/solutions/Day%2009/150-exams__review2015_fsmshift.sv","Code")</x:f>
        <x:v>HYPERLINK is not implemented. linkLocation=https://github.com/kapiltrip/hdlBits/blob/main/study/solutions/Day%2009/150-exams__review2015_fsmshift.sv, friendlyName=Code</x:v>
      </x:c>
      <x:c r="S178" s="49" t="e">
        <x:f>HYPERLINK("https://hdlbits.01xz.net/wiki/exams/review2015_fsmshift","HDLBits")</x:f>
        <x:v>HYPERLINK is not implemented. linkLocation=https://hdlbits.01xz.net/wiki/exams/review2015_fsmshift, friendlyName=HDLBits</x:v>
      </x:c>
      <x:c r="T178" s="2" t="s">
        <x:v>609</x:v>
      </x:c>
      <x:c r="U178" s="2"/>
    </x:row>
    <x:row r="179" ht="34.04999923706055" customHeight="1">
      <x:c r="A179" s="7">
        <x:v>156</x:v>
      </x:c>
      <x:c r="B179" s="7" t="n">
        <x:v>153</x:v>
      </x:c>
      <x:c r="C179" s="8" t="str">
        <x:v>Circuits</x:v>
      </x:c>
      <x:c r="D179" s="8" t="str">
        <x:v>Building Larger Circuits</x:v>
      </x:c>
      <x:c r="E179" s="8" t="str">
        <x:v>FSM: The complete FSM</x:v>
      </x:c>
      <x:c r="F179" s="8" t="str">
        <x:v>exams/review2015_fsm</x:v>
      </x:c>
      <x:c r="G179" s="7" t="str">
        <x:v>Completed</x:v>
      </x:c>
      <x:c r="H179" s="7" t="str">
        <x:v>Day 09</x:v>
      </x:c>
      <x:c r="I179" s="55" t="n">
        <x:v>46205</x:v>
      </x:c>
      <x:c r="J179" s="7" t="str">
        <x:v>10:20:45 PM</x:v>
      </x:c>
      <x:c r="K179" s="7" t="n">
        <x:v>8</x:v>
      </x:c>
      <x:c r="L179" s="7" t="n">
        <x:v>5</x:v>
      </x:c>
      <x:c r="M179" s="7" t="n">
        <x:v>1</x:v>
      </x:c>
      <x:c r="N179" s="7" t="n">
        <x:v>0</x:v>
      </x:c>
      <x:c r="O179" s="10" t="n">
        <x:v>0.25</x:v>
      </x:c>
      <x:c r="P179" s="11" t="e">
        <x:f>HYPERLINK("https://github.com/kapiltrip/hdlBits/blob/main/study/problems/Day%2009/153-exams__review2015_fsm.md","Note")</x:f>
        <x:v>HYPERLINK is not implemented. linkLocation=https://github.com/kapiltrip/hdlBits/blob/main/study/problems/Day%2009/153-exams__review2015_fsm.md, friendlyName=Note</x:v>
      </x:c>
      <x:c r="Q179" s="11" t="e">
        <x:f>HYPERLINK("https://github.com/kapiltrip/hdlBits/blob/main/study/images/Day%2009/153-exams__review2015_fsm-question-and-successful-submission.png","Image")</x:f>
        <x:v>HYPERLINK is not implemented. linkLocation=https://github.com/kapiltrip/hdlBits/blob/main/study/images/Day%2009/153-exams__review2015_fsm-question-and-successful-submission.png, friendlyName=Image</x:v>
      </x:c>
      <x:c r="R179" s="11" t="e">
        <x:f>HYPERLINK("https://github.com/kapiltrip/hdlBits/blob/main/study/solutions/Day%2009/153-exams__review2015_fsm.sv","Code")</x:f>
        <x:v>HYPERLINK is not implemented. linkLocation=https://github.com/kapiltrip/hdlBits/blob/main/study/solutions/Day%2009/153-exams__review2015_fsm.sv, friendlyName=Code</x:v>
      </x:c>
      <x:c r="S179" s="11" t="e">
        <x:f>HYPERLINK("https://hdlbits.01xz.net/wiki/exams/review2015_fsm","HDLBits")</x:f>
        <x:v>HYPERLINK is not implemented. linkLocation=https://hdlbits.01xz.net/wiki/exams/review2015_fsm, friendlyName=HDLBits</x:v>
      </x:c>
      <x:c r="T179" s="8" t="str">
        <x:v>Ten-state Moore controller: search for 1101, assert shift_ena across four capture states, wait in COUNT for done_counting, then hold done in WAIT until ack. Live HDLBits verification: 2 successes, 5 incorrect attempts, 1 compile error, 8 total attempts; last success 10:20:45 PM.</x:v>
      </x:c>
      <x:c r="U179" s="8"/>
    </x:row>
    <x:row r="180" ht="34.04999923706055" customHeight="1">
      <x:c r="A180" s="3">
        <x:v>157</x:v>
      </x:c>
      <x:c r="B180" s="3" t="n">
        <x:v>154</x:v>
      </x:c>
      <x:c r="C180" s="2" t="str">
        <x:v>Circuits</x:v>
      </x:c>
      <x:c r="D180" s="2" t="str">
        <x:v>Building Larger Circuits</x:v>
      </x:c>
      <x:c r="E180" s="2" t="str">
        <x:v>The complete timer</x:v>
      </x:c>
      <x:c r="F180" s="2" t="str">
        <x:v>exams/review2015_fancytimer</x:v>
      </x:c>
      <x:c r="G180" s="3" t="str">
        <x:v>Completed</x:v>
      </x:c>
      <x:c r="H180" s="3" t="str">
        <x:v>Day 09</x:v>
      </x:c>
      <x:c r="I180" s="56" t="n">
        <x:v>46205</x:v>
      </x:c>
      <x:c r="J180" s="3" t="str">
        <x:v>11:38:15 PM</x:v>
      </x:c>
      <x:c r="K180" s="3" t="n">
        <x:v>2</x:v>
      </x:c>
      <x:c r="L180" s="3" t="n">
        <x:v>0</x:v>
      </x:c>
      <x:c r="M180" s="3" t="n">
        <x:v>0</x:v>
      </x:c>
      <x:c r="N180" s="3" t="n">
        <x:v>0</x:v>
      </x:c>
      <x:c r="O180" s="6" t="n">
        <x:v>1</x:v>
      </x:c>
      <x:c r="P180" s="4" t="e">
        <x:f>HYPERLINK("https://github.com/kapiltrip/hdlBits/blob/main/study/problems/Day%2009/154-exams__review2015_fancytimer.md","Note")</x:f>
        <x:v>HYPERLINK is not implemented. linkLocation=https://github.com/kapiltrip/hdlBits/blob/main/study/problems/Day%2009/154-exams__review2015_fancytimer.md, friendlyName=Note</x:v>
      </x:c>
      <x:c r="Q180" s="4" t="e">
        <x:f>HYPERLINK("https://github.com/kapiltrip/hdlBits/blob/main/study/images/Day%2009/154-exams__review2015_fancytimer-question-and-successful-submission.png","Image")</x:f>
        <x:v>HYPERLINK is not implemented. linkLocation=https://github.com/kapiltrip/hdlBits/blob/main/study/images/Day%2009/154-exams__review2015_fancytimer-question-and-successful-submission.png, friendlyName=Image</x:v>
      </x:c>
      <x:c r="R180" s="4" t="e">
        <x:f>HYPERLINK("https://github.com/kapiltrip/hdlBits/blob/main/study/solutions/Day%2009/154-exams__review2015_fancytimer.sv","Code")</x:f>
        <x:v>HYPERLINK is not implemented. linkLocation=https://github.com/kapiltrip/hdlBits/blob/main/study/solutions/Day%2009/154-exams__review2015_fancytimer.sv, friendlyName=Code</x:v>
      </x:c>
      <x:c r="S180" s="4" t="e">
        <x:f>HYPERLINK("https://hdlbits.01xz.net/wiki/exams/review2015_fancytimer","HDLBits")</x:f>
        <x:v>HYPERLINK is not implemented. linkLocation=https://hdlbits.01xz.net/wiki/exams/review2015_fancytimer, friendlyName=HDLBits</x:v>
      </x:c>
      <x:c r="T180" s="2" t="str">
        <x:v>Complete timer with separate FSM and datapath. delay captures the four serial bits, count_remaining loads the completed value on the fourth shift edge, and a modulo-1000 counter controls each decrement. Live HDLBits verification: 2 successes from 2 attempts; last success 11:38:15 PM.</x:v>
      </x:c>
      <x:c r="U180" s="2"/>
    </x:row>
    <x:row r="181" ht="34.04999923706055" customHeight="1">
      <x:c r="A181" s="7" t="n">
        <x:v>158</x:v>
      </x:c>
      <x:c r="B181" s="7" t="n">
        <x:v>178</x:v>
      </x:c>
      <x:c r="C181" s="8" t="str">
        <x:v>Circuits</x:v>
      </x:c>
      <x:c r="D181" s="8" t="str">
        <x:v>Building Larger Circuits</x:v>
      </x:c>
      <x:c r="E181" s="8" t="str">
        <x:v>FSM: One-hot logic equations</x:v>
      </x:c>
      <x:c r="F181" s="8" t="str">
        <x:v>exams/review2015_fsmonehot</x:v>
      </x:c>
      <x:c r="G181" s="7" t="str">
        <x:v>Completed</x:v>
      </x:c>
      <x:c r="H181" s="57" t="str">
        <x:v>Day 14</x:v>
      </x:c>
      <x:c r="I181" s="55" t="n">
        <x:v>46210</x:v>
      </x:c>
      <x:c r="J181" s="7" t="str">
        <x:v>12:49:56 PM</x:v>
      </x:c>
      <x:c r="K181" s="7" t="n">
        <x:v>5</x:v>
      </x:c>
      <x:c r="L181" s="7" t="n">
        <x:v>1</x:v>
      </x:c>
      <x:c r="M181" s="7" t="n">
        <x:v>1</x:v>
      </x:c>
      <x:c r="N181" s="7" t="n">
        <x:v>0</x:v>
      </x:c>
      <x:c r="O181" s="90" t="n">
        <x:v>0.6</x:v>
      </x:c>
      <x:c r="P181" s="11" t="e">
        <x:f>HYPERLINK("https://github.com/kapiltrip/hdlBits/blob/main/study/problems/Day%2014/178-exams__review2015_fsmonehot.md","Problem note")</x:f>
        <x:v>HYPERLINK is not implemented. linkLocation=https://github.com/kapiltrip/hdlBits/blob/main/study/problems/Day%2014/178-exams__review2015_fsmonehot.md, friendlyName=Problem note</x:v>
      </x:c>
      <x:c r="Q181" s="11" t="e">
        <x:f>HYPERLINK("https://github.com/kapiltrip/hdlBits/blob/main/study/images/Day%2014/178-exams__review2015_fsmonehot-question-and-successful-submission.png","Screenshot")</x:f>
        <x:v>HYPERLINK is not implemented. linkLocation=https://github.com/kapiltrip/hdlBits/blob/main/study/images/Day%2014/178-exams__review2015_fsmonehot-question-and-successful-submission.png, friendlyName=Screenshot</x:v>
      </x:c>
      <x:c r="R181" s="11" t="e">
        <x:f>HYPERLINK("https://github.com/kapiltrip/hdlBits/blob/main/study/solutions/Day%2014/178-exams__review2015_fsmonehot.sv","Solution")</x:f>
        <x:v>HYPERLINK is not implemented. linkLocation=https://github.com/kapiltrip/hdlBits/blob/main/study/solutions/Day%2014/178-exams__review2015_fsmonehot.sv, friendlyName=Solution</x:v>
      </x:c>
      <x:c r="S181" s="11" t="e">
        <x:f>HYPERLINK("https://hdlbits.01xz.net/wiki/exams/review2015_fsmonehot","HDLBits")</x:f>
        <x:v>HYPERLINK is not implemented. linkLocation=https://hdlbits.01xz.net/wiki/exams/review2015_fsmonehot, friendlyName=HDLBits</x:v>
      </x:c>
      <x:c r="T181" s="8" t="str">
        <x:v>This exercise extracts only selected one-hot equations from the complete timer controller. The supplied `state[9:0]` vector already represents the present state, so the module must not create a state register or recode the FSM. Each requested `*_next` output is the OR of every transition entering that destination state. For example, `B3_next` is high only when the current state is `B2`, because the B0-B3 shift phase advances unconditionally one state per clock. `Count_next` is high when the current state is `B3` or when the controller is already in `Count` and `done_counting` is still low. `Wait_next` is high when counting has just completed or when the controller is already waiting and `ack` has not arrived. The output equations are direct Moore decodes from the current one-hot state: `done` is `state[Wait]`, `counting` is `state[Count]`, and `shift_ena` is the OR of B0 through B3. The key review habit is destination-first derivation: list incoming arrows for each requested destination bit and translate those arrows directly into sum-of-products logic.</x:v>
      </x:c>
      <x:c r="U181" s="8" t="str">
        <x:v>Use destination-first one-hot equations. HDLBits asks for selected next-state bits and outputs only, so an unused state-bit warning can be correct after a successful submission.</x:v>
      </x:c>
    </x:row>
    <x:row r="182" ht="25.049999237060547" customHeight="1">
      <x:c r="A182" s="41" t="s">
        <x:v>610</x:v>
      </x:c>
      <x:c r="B182" s="41"/>
      <x:c r="C182" s="41"/>
      <x:c r="D182" s="41"/>
      <x:c r="E182" s="41"/>
      <x:c r="F182" s="41"/>
      <x:c r="G182" s="41"/>
      <x:c r="H182" s="41"/>
      <x:c r="I182" s="59"/>
      <x:c r="J182" s="41"/>
      <x:c r="K182" s="41"/>
      <x:c r="L182" s="41"/>
      <x:c r="M182" s="41"/>
      <x:c r="N182" s="41"/>
      <x:c r="O182" s="43"/>
      <x:c r="P182" s="41"/>
      <x:c r="Q182" s="41"/>
      <x:c r="R182" s="41"/>
      <x:c r="S182" s="41"/>
      <x:c r="T182" s="41"/>
      <x:c r="U182" s="41"/>
    </x:row>
    <x:row r="183" ht="22.049999237060547" customHeight="1">
      <x:c r="A183" s="44" t="s">
        <x:v>611</x:v>
      </x:c>
      <x:c r="B183" s="44"/>
      <x:c r="C183" s="44"/>
      <x:c r="D183" s="44"/>
      <x:c r="E183" s="44"/>
      <x:c r="F183" s="44"/>
      <x:c r="G183" s="44"/>
      <x:c r="H183" s="44"/>
      <x:c r="I183" s="60"/>
      <x:c r="J183" s="44"/>
      <x:c r="K183" s="44"/>
      <x:c r="L183" s="44"/>
      <x:c r="M183" s="44"/>
      <x:c r="N183" s="44"/>
      <x:c r="O183" s="46"/>
      <x:c r="P183" s="44"/>
      <x:c r="Q183" s="44"/>
      <x:c r="R183" s="44"/>
      <x:c r="S183" s="44"/>
      <x:c r="T183" s="44"/>
      <x:c r="U183" s="44"/>
    </x:row>
    <x:row r="184" ht="34.04999923706055" customHeight="1">
      <x:c r="A184" s="3">
        <x:v>159</x:v>
      </x:c>
      <x:c r="B184" s="3" t="n">
        <x:v>122</x:v>
      </x:c>
      <x:c r="C184" s="2" t="s">
        <x:v>40</x:v>
      </x:c>
      <x:c r="D184" s="2" t="s">
        <x:v>41</x:v>
      </x:c>
      <x:c r="E184" s="2" t="s">
        <x:v>612</x:v>
      </x:c>
      <x:c r="F184" s="2" t="s">
        <x:v>613</x:v>
      </x:c>
      <x:c r="G184" s="3" t="s">
        <x:v>1</x:v>
      </x:c>
      <x:c r="H184" s="3" t="str">
        <x:v>Day 06</x:v>
      </x:c>
      <x:c r="I184" s="56">
        <x:v>46201</x:v>
      </x:c>
      <x:c r="J184" s="3" t="s">
        <x:v>614</x:v>
      </x:c>
      <x:c r="K184" s="3">
        <x:v>4</x:v>
      </x:c>
      <x:c r="L184" s="3">
        <x:v>2</x:v>
      </x:c>
      <x:c r="M184" s="3">
        <x:v>0</x:v>
      </x:c>
      <x:c r="N184" s="3">
        <x:v>1</x:v>
      </x:c>
      <x:c r="O184" s="6">
        <x:v>0.25</x:v>
      </x:c>
      <x:c r="P184" s="4" t="e">
        <x:f>HYPERLINK("https://github.com/kapiltrip/hdlBits/blob/main/study/problems/Day%2006/122-bugs_mux2.md","Note")</x:f>
        <x:v>HYPERLINK is not implemented. linkLocation=https://github.com/kapiltrip/hdlBits/blob/main/study/problems/Day%2006/122-bugs_mux2.md, friendlyName=Note</x:v>
      </x:c>
      <x:c r="Q184" s="4" t="e">
        <x:f>HYPERLINK("https://github.com/kapiltrip/hdlBits/blob/main/study/images/Day%2006/122-bugs_mux2.png","Image")</x:f>
        <x:v>HYPERLINK is not implemented. linkLocation=https://github.com/kapiltrip/hdlBits/blob/main/study/images/Day%2006/122-bugs_mux2.png, friendlyName=Image</x:v>
      </x:c>
      <x:c r="R184" s="4" t="e">
        <x:f>HYPERLINK("https://github.com/kapiltrip/hdlBits/blob/main/study/solutions/Day%2006/122-bugs_mux2.sv","Code")</x:f>
        <x:v>HYPERLINK is not implemented. linkLocation=https://github.com/kapiltrip/hdlBits/blob/main/study/solutions/Day%2006/122-bugs_mux2.sv, friendlyName=Code</x:v>
      </x:c>
      <x:c r="S184" s="4" t="e">
        <x:f>HYPERLINK("https://hdlbits.01xz.net/wiki/bugs_mux2","HDLBits")</x:f>
        <x:v>HYPERLINK is not implemented. linkLocation=https://hdlbits.01xz.net/wiki/bugs_mux2, friendlyName=HDLBits</x:v>
      </x:c>
      <x:c r="T184" s="2" t="s">
        <x:v>615</x:v>
      </x:c>
      <x:c r="U184" s="2"/>
    </x:row>
    <x:row r="185" ht="34.04999923706055" customHeight="1">
      <x:c r="A185" s="7">
        <x:v>160</x:v>
      </x:c>
      <x:c r="B185" s="7" t="n">
        <x:v>123</x:v>
      </x:c>
      <x:c r="C185" s="8" t="s">
        <x:v>40</x:v>
      </x:c>
      <x:c r="D185" s="8" t="s">
        <x:v>41</x:v>
      </x:c>
      <x:c r="E185" s="8" t="s">
        <x:v>616</x:v>
      </x:c>
      <x:c r="F185" s="8" t="s">
        <x:v>617</x:v>
      </x:c>
      <x:c r="G185" s="7" t="s">
        <x:v>1</x:v>
      </x:c>
      <x:c r="H185" s="7" t="str">
        <x:v>Day 06</x:v>
      </x:c>
      <x:c r="I185" s="55">
        <x:v>46201</x:v>
      </x:c>
      <x:c r="J185" s="7" t="s">
        <x:v>618</x:v>
      </x:c>
      <x:c r="K185" s="7">
        <x:v>2</x:v>
      </x:c>
      <x:c r="L185" s="7">
        <x:v>1</x:v>
      </x:c>
      <x:c r="M185" s="7">
        <x:v>0</x:v>
      </x:c>
      <x:c r="N185" s="7">
        <x:v>0</x:v>
      </x:c>
      <x:c r="O185" s="10">
        <x:v>0.5</x:v>
      </x:c>
      <x:c r="P185" s="11" t="e">
        <x:f>HYPERLINK("https://github.com/kapiltrip/hdlBits/blob/main/study/problems/Day%2006/123-bugs_nand3.md","Note")</x:f>
        <x:v>HYPERLINK is not implemented. linkLocation=https://github.com/kapiltrip/hdlBits/blob/main/study/problems/Day%2006/123-bugs_nand3.md, friendlyName=Note</x:v>
      </x:c>
      <x:c r="Q185" s="11" t="e">
        <x:f>HYPERLINK("https://github.com/kapiltrip/hdlBits/blob/main/study/images/Day%2006/123-bugs_nand3.png","Image")</x:f>
        <x:v>HYPERLINK is not implemented. linkLocation=https://github.com/kapiltrip/hdlBits/blob/main/study/images/Day%2006/123-bugs_nand3.png, friendlyName=Image</x:v>
      </x:c>
      <x:c r="R185" s="11" t="e">
        <x:f>HYPERLINK("https://github.com/kapiltrip/hdlBits/blob/main/study/solutions/Day%2006/123-bugs_nand3.sv","Code")</x:f>
        <x:v>HYPERLINK is not implemented. linkLocation=https://github.com/kapiltrip/hdlBits/blob/main/study/solutions/Day%2006/123-bugs_nand3.sv, friendlyName=Code</x:v>
      </x:c>
      <x:c r="S185" s="11" t="e">
        <x:f>HYPERLINK("https://hdlbits.01xz.net/wiki/bugs_nand3","HDLBits")</x:f>
        <x:v>HYPERLINK is not implemented. linkLocation=https://hdlbits.01xz.net/wiki/bugs_nand3, friendlyName=HDLBits</x:v>
      </x:c>
      <x:c r="T185" s="8" t="s">
        <x:v>619</x:v>
      </x:c>
      <x:c r="U185" s="8"/>
    </x:row>
    <x:row r="186" ht="34.04999923706055" customHeight="1">
      <x:c r="A186" s="3">
        <x:v>161</x:v>
      </x:c>
      <x:c r="B186" s="3" t="n">
        <x:v>124</x:v>
      </x:c>
      <x:c r="C186" s="2" t="s">
        <x:v>40</x:v>
      </x:c>
      <x:c r="D186" s="2" t="s">
        <x:v>41</x:v>
      </x:c>
      <x:c r="E186" s="2" t="s">
        <x:v>612</x:v>
      </x:c>
      <x:c r="F186" s="2" t="s">
        <x:v>620</x:v>
      </x:c>
      <x:c r="G186" s="3" t="s">
        <x:v>1</x:v>
      </x:c>
      <x:c r="H186" s="3" t="str">
        <x:v>Day 06</x:v>
      </x:c>
      <x:c r="I186" s="56">
        <x:v>46201</x:v>
      </x:c>
      <x:c r="J186" s="3" t="s">
        <x:v>621</x:v>
      </x:c>
      <x:c r="K186" s="3">
        <x:v>7</x:v>
      </x:c>
      <x:c r="L186" s="3">
        <x:v>6</x:v>
      </x:c>
      <x:c r="M186" s="3">
        <x:v>0</x:v>
      </x:c>
      <x:c r="N186" s="3">
        <x:v>0</x:v>
      </x:c>
      <x:c r="O186" s="6">
        <x:v>0.14000000000000001</x:v>
      </x:c>
      <x:c r="P186" s="4" t="e">
        <x:f>HYPERLINK("https://github.com/kapiltrip/hdlBits/blob/main/study/problems/Day%2006/124-bugs_mux4.md","Note")</x:f>
        <x:v>HYPERLINK is not implemented. linkLocation=https://github.com/kapiltrip/hdlBits/blob/main/study/problems/Day%2006/124-bugs_mux4.md, friendlyName=Note</x:v>
      </x:c>
      <x:c r="Q186" s="4" t="e">
        <x:f>HYPERLINK("https://github.com/kapiltrip/hdlBits/blob/main/study/images/Day%2006/124-bugs_mux4.png","Image")</x:f>
        <x:v>HYPERLINK is not implemented. linkLocation=https://github.com/kapiltrip/hdlBits/blob/main/study/images/Day%2006/124-bugs_mux4.png, friendlyName=Image</x:v>
      </x:c>
      <x:c r="R186" s="4" t="e">
        <x:f>HYPERLINK("https://github.com/kapiltrip/hdlBits/blob/main/study/solutions/Day%2006/124-bugs_mux4.sv","Code")</x:f>
        <x:v>HYPERLINK is not implemented. linkLocation=https://github.com/kapiltrip/hdlBits/blob/main/study/solutions/Day%2006/124-bugs_mux4.sv, friendlyName=Code</x:v>
      </x:c>
      <x:c r="S186" s="4" t="e">
        <x:f>HYPERLINK("https://hdlbits.01xz.net/wiki/bugs_mux4","HDLBits")</x:f>
        <x:v>HYPERLINK is not implemented. linkLocation=https://hdlbits.01xz.net/wiki/bugs_mux4, friendlyName=HDLBits</x:v>
      </x:c>
      <x:c r="T186" s="2" t="s">
        <x:v>622</x:v>
      </x:c>
      <x:c r="U186" s="2"/>
    </x:row>
    <x:row r="187" ht="34.04999923706055" customHeight="1">
      <x:c r="A187" s="7">
        <x:v>162</x:v>
      </x:c>
      <x:c r="B187" s="7" t="n">
        <x:v>125</x:v>
      </x:c>
      <x:c r="C187" s="8" t="s">
        <x:v>40</x:v>
      </x:c>
      <x:c r="D187" s="8" t="s">
        <x:v>41</x:v>
      </x:c>
      <x:c r="E187" s="8" t="s">
        <x:v>623</x:v>
      </x:c>
      <x:c r="F187" s="8" t="s">
        <x:v>624</x:v>
      </x:c>
      <x:c r="G187" s="7" t="s">
        <x:v>1</x:v>
      </x:c>
      <x:c r="H187" s="7" t="str">
        <x:v>Day 06</x:v>
      </x:c>
      <x:c r="I187" s="55">
        <x:v>46201</x:v>
      </x:c>
      <x:c r="J187" s="7" t="s">
        <x:v>625</x:v>
      </x:c>
      <x:c r="K187" s="7">
        <x:v>12</x:v>
      </x:c>
      <x:c r="L187" s="7">
        <x:v>6</x:v>
      </x:c>
      <x:c r="M187" s="7">
        <x:v>4</x:v>
      </x:c>
      <x:c r="N187" s="7">
        <x:v>0</x:v>
      </x:c>
      <x:c r="O187" s="10">
        <x:v>0.17</x:v>
      </x:c>
      <x:c r="P187" s="11" t="e">
        <x:f>HYPERLINK("https://github.com/kapiltrip/hdlBits/blob/main/study/problems/Day%2006/125-bugs_addsubz.md","Note")</x:f>
        <x:v>HYPERLINK is not implemented. linkLocation=https://github.com/kapiltrip/hdlBits/blob/main/study/problems/Day%2006/125-bugs_addsubz.md, friendlyName=Note</x:v>
      </x:c>
      <x:c r="Q187" s="11" t="e">
        <x:f>HYPERLINK("https://github.com/kapiltrip/hdlBits/blob/main/study/images/Day%2006/125-bugs_addsubz.png","Image")</x:f>
        <x:v>HYPERLINK is not implemented. linkLocation=https://github.com/kapiltrip/hdlBits/blob/main/study/images/Day%2006/125-bugs_addsubz.png, friendlyName=Image</x:v>
      </x:c>
      <x:c r="R187" s="11" t="e">
        <x:f>HYPERLINK("https://github.com/kapiltrip/hdlBits/blob/main/study/solutions/Day%2006/125-bugs_addsubz.sv","Code")</x:f>
        <x:v>HYPERLINK is not implemented. linkLocation=https://github.com/kapiltrip/hdlBits/blob/main/study/solutions/Day%2006/125-bugs_addsubz.sv, friendlyName=Code</x:v>
      </x:c>
      <x:c r="S187" s="11" t="e">
        <x:f>HYPERLINK("https://hdlbits.01xz.net/wiki/bugs_addsubz","HDLBits")</x:f>
        <x:v>HYPERLINK is not implemented. linkLocation=https://hdlbits.01xz.net/wiki/bugs_addsubz, friendlyName=HDLBits</x:v>
      </x:c>
      <x:c r="T187" s="8" t="s">
        <x:v>626</x:v>
      </x:c>
      <x:c r="U187" s="8"/>
    </x:row>
    <x:row r="188" ht="34.04999923706055" customHeight="1">
      <x:c r="A188" s="3">
        <x:v>163</x:v>
      </x:c>
      <x:c r="B188" s="3" t="n">
        <x:v>126</x:v>
      </x:c>
      <x:c r="C188" s="2" t="s">
        <x:v>40</x:v>
      </x:c>
      <x:c r="D188" s="2" t="s">
        <x:v>41</x:v>
      </x:c>
      <x:c r="E188" s="2" t="s">
        <x:v>188</x:v>
      </x:c>
      <x:c r="F188" s="2" t="s">
        <x:v>627</x:v>
      </x:c>
      <x:c r="G188" s="3" t="s">
        <x:v>1</x:v>
      </x:c>
      <x:c r="H188" s="3" t="str">
        <x:v>Day 06</x:v>
      </x:c>
      <x:c r="I188" s="56">
        <x:v>46201</x:v>
      </x:c>
      <x:c r="J188" s="3" t="s">
        <x:v>628</x:v>
      </x:c>
      <x:c r="K188" s="3">
        <x:v>5</x:v>
      </x:c>
      <x:c r="L188" s="3">
        <x:v>2</x:v>
      </x:c>
      <x:c r="M188" s="3">
        <x:v>2</x:v>
      </x:c>
      <x:c r="N188" s="3">
        <x:v>0</x:v>
      </x:c>
      <x:c r="O188" s="6">
        <x:v>0.2</x:v>
      </x:c>
      <x:c r="P188" s="4" t="e">
        <x:f>HYPERLINK("https://github.com/kapiltrip/hdlBits/blob/main/study/problems/Day%2006/126-bugs_case.md","Note")</x:f>
        <x:v>HYPERLINK is not implemented. linkLocation=https://github.com/kapiltrip/hdlBits/blob/main/study/problems/Day%2006/126-bugs_case.md, friendlyName=Note</x:v>
      </x:c>
      <x:c r="Q188" s="4" t="e">
        <x:f>HYPERLINK("https://github.com/kapiltrip/hdlBits/blob/main/study/images/Day%2006/126-bugs_case.png","Image")</x:f>
        <x:v>HYPERLINK is not implemented. linkLocation=https://github.com/kapiltrip/hdlBits/blob/main/study/images/Day%2006/126-bugs_case.png, friendlyName=Image</x:v>
      </x:c>
      <x:c r="R188" s="4" t="e">
        <x:f>HYPERLINK("https://github.com/kapiltrip/hdlBits/blob/main/study/solutions/Day%2006/126-bugs_case.sv","Code")</x:f>
        <x:v>HYPERLINK is not implemented. linkLocation=https://github.com/kapiltrip/hdlBits/blob/main/study/solutions/Day%2006/126-bugs_case.sv, friendlyName=Code</x:v>
      </x:c>
      <x:c r="S188" s="4" t="e">
        <x:f>HYPERLINK("https://hdlbits.01xz.net/wiki/bugs_case","HDLBits")</x:f>
        <x:v>HYPERLINK is not implemented. linkLocation=https://hdlbits.01xz.net/wiki/bugs_case, friendlyName=HDLBits</x:v>
      </x:c>
      <x:c r="T188" s="2" t="s">
        <x:v>629</x:v>
      </x:c>
      <x:c r="U188" s="2"/>
    </x:row>
    <x:row r="189" ht="22.049999237060547" customHeight="1">
      <x:c r="A189" s="44" t="s">
        <x:v>630</x:v>
      </x:c>
      <x:c r="B189" s="44"/>
      <x:c r="C189" s="44"/>
      <x:c r="D189" s="44"/>
      <x:c r="E189" s="44"/>
      <x:c r="F189" s="44"/>
      <x:c r="G189" s="44"/>
      <x:c r="H189" s="44"/>
      <x:c r="I189" s="60"/>
      <x:c r="J189" s="44"/>
      <x:c r="K189" s="44"/>
      <x:c r="L189" s="44"/>
      <x:c r="M189" s="44"/>
      <x:c r="N189" s="44"/>
      <x:c r="O189" s="46"/>
      <x:c r="P189" s="44"/>
      <x:c r="Q189" s="44"/>
      <x:c r="R189" s="44"/>
      <x:c r="S189" s="44"/>
      <x:c r="T189" s="44"/>
      <x:c r="U189" s="44"/>
    </x:row>
    <x:row r="190" ht="34.04999923706055" customHeight="1">
      <x:c r="A190" s="7">
        <x:v>164</x:v>
      </x:c>
      <x:c r="B190" s="7" t="n">
        <x:v>127</x:v>
      </x:c>
      <x:c r="C190" s="8" t="s">
        <x:v>40</x:v>
      </x:c>
      <x:c r="D190" s="8" t="s">
        <x:v>42</x:v>
      </x:c>
      <x:c r="E190" s="8" t="s">
        <x:v>631</x:v>
      </x:c>
      <x:c r="F190" s="8" t="s">
        <x:v>632</x:v>
      </x:c>
      <x:c r="G190" s="7" t="s">
        <x:v>1</x:v>
      </x:c>
      <x:c r="H190" s="7" t="str">
        <x:v>Day 06</x:v>
      </x:c>
      <x:c r="I190" s="55">
        <x:v>46201</x:v>
      </x:c>
      <x:c r="J190" s="7" t="s">
        <x:v>633</x:v>
      </x:c>
      <x:c r="K190" s="7">
        <x:v>2</x:v>
      </x:c>
      <x:c r="L190" s="7">
        <x:v>1</x:v>
      </x:c>
      <x:c r="M190" s="7">
        <x:v>0</x:v>
      </x:c>
      <x:c r="N190" s="7">
        <x:v>0</x:v>
      </x:c>
      <x:c r="O190" s="10">
        <x:v>0.5</x:v>
      </x:c>
      <x:c r="P190" s="11" t="e">
        <x:f>HYPERLINK("https://github.com/kapiltrip/hdlBits/blob/main/study/problems/Day%2006/127-sim__circuit1.md","Note")</x:f>
        <x:v>HYPERLINK is not implemented. linkLocation=https://github.com/kapiltrip/hdlBits/blob/main/study/problems/Day%2006/127-sim__circuit1.md, friendlyName=Note</x:v>
      </x:c>
      <x:c r="Q190" s="11" t="e">
        <x:f>HYPERLINK("https://github.com/kapiltrip/hdlBits/blob/main/study/images/Day%2006/127-sim__circuit1.png","Image")</x:f>
        <x:v>HYPERLINK is not implemented. linkLocation=https://github.com/kapiltrip/hdlBits/blob/main/study/images/Day%2006/127-sim__circuit1.png, friendlyName=Image</x:v>
      </x:c>
      <x:c r="R190" s="11" t="e">
        <x:f>HYPERLINK("https://github.com/kapiltrip/hdlBits/blob/main/study/solutions/Day%2006/127-sim__circuit1.sv","Code")</x:f>
        <x:v>HYPERLINK is not implemented. linkLocation=https://github.com/kapiltrip/hdlBits/blob/main/study/solutions/Day%2006/127-sim__circuit1.sv, friendlyName=Code</x:v>
      </x:c>
      <x:c r="S190" s="11" t="e">
        <x:f>HYPERLINK("https://hdlbits.01xz.net/wiki/sim/circuit1","HDLBits")</x:f>
        <x:v>HYPERLINK is not implemented. linkLocation=https://hdlbits.01xz.net/wiki/sim/circuit1, friendlyName=HDLBits</x:v>
      </x:c>
      <x:c r="T190" s="8" t="s">
        <x:v>634</x:v>
      </x:c>
      <x:c r="U190" s="8"/>
    </x:row>
    <x:row r="191" ht="34.04999923706055" customHeight="1">
      <x:c r="A191" s="3">
        <x:v>165</x:v>
      </x:c>
      <x:c r="B191" s="3" t="n">
        <x:v>128</x:v>
      </x:c>
      <x:c r="C191" s="2" t="s">
        <x:v>40</x:v>
      </x:c>
      <x:c r="D191" s="2" t="s">
        <x:v>42</x:v>
      </x:c>
      <x:c r="E191" s="2" t="s">
        <x:v>635</x:v>
      </x:c>
      <x:c r="F191" s="2" t="s">
        <x:v>636</x:v>
      </x:c>
      <x:c r="G191" s="3" t="s">
        <x:v>1</x:v>
      </x:c>
      <x:c r="H191" s="3" t="str">
        <x:v>Day 06</x:v>
      </x:c>
      <x:c r="I191" s="56">
        <x:v>46201</x:v>
      </x:c>
      <x:c r="J191" s="3" t="s">
        <x:v>637</x:v>
      </x:c>
      <x:c r="K191" s="3">
        <x:v>2</x:v>
      </x:c>
      <x:c r="L191" s="3">
        <x:v>1</x:v>
      </x:c>
      <x:c r="M191" s="3">
        <x:v>0</x:v>
      </x:c>
      <x:c r="N191" s="3">
        <x:v>0</x:v>
      </x:c>
      <x:c r="O191" s="6">
        <x:v>0.5</x:v>
      </x:c>
      <x:c r="P191" s="4" t="e">
        <x:f>HYPERLINK("https://github.com/kapiltrip/hdlBits/blob/main/study/problems/Day%2006/128-sim__circuit2.md","Note")</x:f>
        <x:v>HYPERLINK is not implemented. linkLocation=https://github.com/kapiltrip/hdlBits/blob/main/study/problems/Day%2006/128-sim__circuit2.md, friendlyName=Note</x:v>
      </x:c>
      <x:c r="Q191" s="4" t="e">
        <x:f>HYPERLINK("https://github.com/kapiltrip/hdlBits/blob/main/study/images/Day%2006/128-sim__circuit2.png","Image")</x:f>
        <x:v>HYPERLINK is not implemented. linkLocation=https://github.com/kapiltrip/hdlBits/blob/main/study/images/Day%2006/128-sim__circuit2.png, friendlyName=Image</x:v>
      </x:c>
      <x:c r="R191" s="4" t="e">
        <x:f>HYPERLINK("https://github.com/kapiltrip/hdlBits/blob/main/study/solutions/Day%2006/128-sim__circuit2.sv","Code")</x:f>
        <x:v>HYPERLINK is not implemented. linkLocation=https://github.com/kapiltrip/hdlBits/blob/main/study/solutions/Day%2006/128-sim__circuit2.sv, friendlyName=Code</x:v>
      </x:c>
      <x:c r="S191" s="4" t="e">
        <x:f>HYPERLINK("https://hdlbits.01xz.net/wiki/sim/circuit2","HDLBits")</x:f>
        <x:v>HYPERLINK is not implemented. linkLocation=https://hdlbits.01xz.net/wiki/sim/circuit2, friendlyName=HDLBits</x:v>
      </x:c>
      <x:c r="T191" s="2" t="s">
        <x:v>638</x:v>
      </x:c>
      <x:c r="U191" s="2"/>
    </x:row>
    <x:row r="192" ht="34.04999923706055" customHeight="1">
      <x:c r="A192" s="7">
        <x:v>166</x:v>
      </x:c>
      <x:c r="B192" s="7" t="n">
        <x:v>129</x:v>
      </x:c>
      <x:c r="C192" s="8" t="s">
        <x:v>40</x:v>
      </x:c>
      <x:c r="D192" s="8" t="s">
        <x:v>42</x:v>
      </x:c>
      <x:c r="E192" s="8" t="s">
        <x:v>639</x:v>
      </x:c>
      <x:c r="F192" s="8" t="s">
        <x:v>640</x:v>
      </x:c>
      <x:c r="G192" s="7" t="s">
        <x:v>1</x:v>
      </x:c>
      <x:c r="H192" s="7" t="str">
        <x:v>Day 06</x:v>
      </x:c>
      <x:c r="I192" s="55">
        <x:v>46201</x:v>
      </x:c>
      <x:c r="J192" s="7" t="s">
        <x:v>641</x:v>
      </x:c>
      <x:c r="K192" s="7">
        <x:v>1</x:v>
      </x:c>
      <x:c r="L192" s="7">
        <x:v>0</x:v>
      </x:c>
      <x:c r="M192" s="7">
        <x:v>0</x:v>
      </x:c>
      <x:c r="N192" s="7">
        <x:v>0</x:v>
      </x:c>
      <x:c r="O192" s="10">
        <x:v>1</x:v>
      </x:c>
      <x:c r="P192" s="11" t="e">
        <x:f>HYPERLINK("https://github.com/kapiltrip/hdlBits/blob/main/study/problems/Day%2006/129-sim__circuit3.md","Note")</x:f>
        <x:v>HYPERLINK is not implemented. linkLocation=https://github.com/kapiltrip/hdlBits/blob/main/study/problems/Day%2006/129-sim__circuit3.md, friendlyName=Note</x:v>
      </x:c>
      <x:c r="Q192" s="11" t="e">
        <x:f>HYPERLINK("https://github.com/kapiltrip/hdlBits/blob/main/study/images/Day%2006/129-sim__circuit3.png","Image")</x:f>
        <x:v>HYPERLINK is not implemented. linkLocation=https://github.com/kapiltrip/hdlBits/blob/main/study/images/Day%2006/129-sim__circuit3.png, friendlyName=Image</x:v>
      </x:c>
      <x:c r="R192" s="11" t="e">
        <x:f>HYPERLINK("https://github.com/kapiltrip/hdlBits/blob/main/study/solutions/Day%2006/129-sim__circuit3.sv","Code")</x:f>
        <x:v>HYPERLINK is not implemented. linkLocation=https://github.com/kapiltrip/hdlBits/blob/main/study/solutions/Day%2006/129-sim__circuit3.sv, friendlyName=Code</x:v>
      </x:c>
      <x:c r="S192" s="11" t="e">
        <x:f>HYPERLINK("https://hdlbits.01xz.net/wiki/sim/circuit3","HDLBits")</x:f>
        <x:v>HYPERLINK is not implemented. linkLocation=https://hdlbits.01xz.net/wiki/sim/circuit3, friendlyName=HDLBits</x:v>
      </x:c>
      <x:c r="T192" s="8" t="s">
        <x:v>642</x:v>
      </x:c>
      <x:c r="U192" s="8"/>
    </x:row>
    <x:row r="193" ht="34.04999923706055" customHeight="1">
      <x:c r="A193" s="3">
        <x:v>167</x:v>
      </x:c>
      <x:c r="B193" s="3" t="n">
        <x:v>130</x:v>
      </x:c>
      <x:c r="C193" s="2" t="s">
        <x:v>40</x:v>
      </x:c>
      <x:c r="D193" s="2" t="s">
        <x:v>42</x:v>
      </x:c>
      <x:c r="E193" s="2" t="s">
        <x:v>643</x:v>
      </x:c>
      <x:c r="F193" s="2" t="s">
        <x:v>644</x:v>
      </x:c>
      <x:c r="G193" s="3" t="s">
        <x:v>1</x:v>
      </x:c>
      <x:c r="H193" s="3" t="str">
        <x:v>Day 06</x:v>
      </x:c>
      <x:c r="I193" s="56">
        <x:v>46201</x:v>
      </x:c>
      <x:c r="J193" s="3" t="s">
        <x:v>645</x:v>
      </x:c>
      <x:c r="K193" s="3">
        <x:v>4</x:v>
      </x:c>
      <x:c r="L193" s="3">
        <x:v>2</x:v>
      </x:c>
      <x:c r="M193" s="3">
        <x:v>1</x:v>
      </x:c>
      <x:c r="N193" s="3">
        <x:v>0</x:v>
      </x:c>
      <x:c r="O193" s="6">
        <x:v>0.25</x:v>
      </x:c>
      <x:c r="P193" s="4" t="e">
        <x:f>HYPERLINK("https://github.com/kapiltrip/hdlBits/blob/main/study/problems/Day%2006/130-sim__circuit4.md","Note")</x:f>
        <x:v>HYPERLINK is not implemented. linkLocation=https://github.com/kapiltrip/hdlBits/blob/main/study/problems/Day%2006/130-sim__circuit4.md, friendlyName=Note</x:v>
      </x:c>
      <x:c r="Q193" s="4" t="e">
        <x:f>HYPERLINK("https://github.com/kapiltrip/hdlBits/blob/main/study/images/Day%2006/130-sim__circuit4.png","Image")</x:f>
        <x:v>HYPERLINK is not implemented. linkLocation=https://github.com/kapiltrip/hdlBits/blob/main/study/images/Day%2006/130-sim__circuit4.png, friendlyName=Image</x:v>
      </x:c>
      <x:c r="R193" s="4" t="e">
        <x:f>HYPERLINK("https://github.com/kapiltrip/hdlBits/blob/main/study/solutions/Day%2006/130-sim__circuit4.sv","Code")</x:f>
        <x:v>HYPERLINK is not implemented. linkLocation=https://github.com/kapiltrip/hdlBits/blob/main/study/solutions/Day%2006/130-sim__circuit4.sv, friendlyName=Code</x:v>
      </x:c>
      <x:c r="S193" s="4" t="e">
        <x:f>HYPERLINK("https://hdlbits.01xz.net/wiki/sim/circuit4","HDLBits")</x:f>
        <x:v>HYPERLINK is not implemented. linkLocation=https://hdlbits.01xz.net/wiki/sim/circuit4, friendlyName=HDLBits</x:v>
      </x:c>
      <x:c r="T193" s="2" t="s">
        <x:v>646</x:v>
      </x:c>
      <x:c r="U193" s="2"/>
    </x:row>
    <x:row r="194" ht="34.04999923706055" customHeight="1">
      <x:c r="A194" s="7">
        <x:v>168</x:v>
      </x:c>
      <x:c r="B194" s="7" t="n">
        <x:v>131</x:v>
      </x:c>
      <x:c r="C194" s="8" t="s">
        <x:v>40</x:v>
      </x:c>
      <x:c r="D194" s="8" t="s">
        <x:v>42</x:v>
      </x:c>
      <x:c r="E194" s="8" t="s">
        <x:v>647</x:v>
      </x:c>
      <x:c r="F194" s="8" t="s">
        <x:v>648</x:v>
      </x:c>
      <x:c r="G194" s="7" t="s">
        <x:v>1</x:v>
      </x:c>
      <x:c r="H194" s="7" t="str">
        <x:v>Day 06</x:v>
      </x:c>
      <x:c r="I194" s="55">
        <x:v>46201</x:v>
      </x:c>
      <x:c r="J194" s="7" t="s">
        <x:v>649</x:v>
      </x:c>
      <x:c r="K194" s="7">
        <x:v>4</x:v>
      </x:c>
      <x:c r="L194" s="7">
        <x:v>0</x:v>
      </x:c>
      <x:c r="M194" s="7">
        <x:v>2</x:v>
      </x:c>
      <x:c r="N194" s="7">
        <x:v>0</x:v>
      </x:c>
      <x:c r="O194" s="10">
        <x:v>0.5</x:v>
      </x:c>
      <x:c r="P194" s="11" t="e">
        <x:f>HYPERLINK("https://github.com/kapiltrip/hdlBits/blob/main/study/problems/Day%2006/131-sim__circuit5.md","Note")</x:f>
        <x:v>HYPERLINK is not implemented. linkLocation=https://github.com/kapiltrip/hdlBits/blob/main/study/problems/Day%2006/131-sim__circuit5.md, friendlyName=Note</x:v>
      </x:c>
      <x:c r="Q194" s="11" t="e">
        <x:f>HYPERLINK("https://github.com/kapiltrip/hdlBits/blob/main/study/images/Day%2006/131-sim__circuit5.png","Image")</x:f>
        <x:v>HYPERLINK is not implemented. linkLocation=https://github.com/kapiltrip/hdlBits/blob/main/study/images/Day%2006/131-sim__circuit5.png, friendlyName=Image</x:v>
      </x:c>
      <x:c r="R194" s="11" t="e">
        <x:f>HYPERLINK("https://github.com/kapiltrip/hdlBits/blob/main/study/solutions/Day%2006/131-sim__circuit5.sv","Code")</x:f>
        <x:v>HYPERLINK is not implemented. linkLocation=https://github.com/kapiltrip/hdlBits/blob/main/study/solutions/Day%2006/131-sim__circuit5.sv, friendlyName=Code</x:v>
      </x:c>
      <x:c r="S194" s="11" t="e">
        <x:f>HYPERLINK("https://hdlbits.01xz.net/wiki/sim/circuit5","HDLBits")</x:f>
        <x:v>HYPERLINK is not implemented. linkLocation=https://hdlbits.01xz.net/wiki/sim/circuit5, friendlyName=HDLBits</x:v>
      </x:c>
      <x:c r="T194" s="8" t="s">
        <x:v>650</x:v>
      </x:c>
      <x:c r="U194" s="8"/>
    </x:row>
    <x:row r="195" ht="34.04999923706055" customHeight="1">
      <x:c r="A195" s="3">
        <x:v>169</x:v>
      </x:c>
      <x:c r="B195" s="3" t="n">
        <x:v>132</x:v>
      </x:c>
      <x:c r="C195" s="2" t="s">
        <x:v>40</x:v>
      </x:c>
      <x:c r="D195" s="2" t="s">
        <x:v>42</x:v>
      </x:c>
      <x:c r="E195" s="2" t="s">
        <x:v>651</x:v>
      </x:c>
      <x:c r="F195" s="2" t="s">
        <x:v>652</x:v>
      </x:c>
      <x:c r="G195" s="3" t="s">
        <x:v>1</x:v>
      </x:c>
      <x:c r="H195" s="3" t="str">
        <x:v>Day 06</x:v>
      </x:c>
      <x:c r="I195" s="56">
        <x:v>46201</x:v>
      </x:c>
      <x:c r="J195" s="3" t="s">
        <x:v>653</x:v>
      </x:c>
      <x:c r="K195" s="3">
        <x:v>2</x:v>
      </x:c>
      <x:c r="L195" s="3">
        <x:v>1</x:v>
      </x:c>
      <x:c r="M195" s="3">
        <x:v>0</x:v>
      </x:c>
      <x:c r="N195" s="3">
        <x:v>0</x:v>
      </x:c>
      <x:c r="O195" s="6">
        <x:v>0.5</x:v>
      </x:c>
      <x:c r="P195" s="4" t="e">
        <x:f>HYPERLINK("https://github.com/kapiltrip/hdlBits/blob/main/study/problems/Day%2006/132-sim__circuit6.md","Note")</x:f>
        <x:v>HYPERLINK is not implemented. linkLocation=https://github.com/kapiltrip/hdlBits/blob/main/study/problems/Day%2006/132-sim__circuit6.md, friendlyName=Note</x:v>
      </x:c>
      <x:c r="Q195" s="4" t="e">
        <x:f>HYPERLINK("https://github.com/kapiltrip/hdlBits/blob/main/study/images/Day%2006/132-sim__circuit6.png","Image")</x:f>
        <x:v>HYPERLINK is not implemented. linkLocation=https://github.com/kapiltrip/hdlBits/blob/main/study/images/Day%2006/132-sim__circuit6.png, friendlyName=Image</x:v>
      </x:c>
      <x:c r="R195" s="4" t="e">
        <x:f>HYPERLINK("https://github.com/kapiltrip/hdlBits/blob/main/study/solutions/Day%2006/132-sim__circuit6.sv","Code")</x:f>
        <x:v>HYPERLINK is not implemented. linkLocation=https://github.com/kapiltrip/hdlBits/blob/main/study/solutions/Day%2006/132-sim__circuit6.sv, friendlyName=Code</x:v>
      </x:c>
      <x:c r="S195" s="4" t="e">
        <x:f>HYPERLINK("https://hdlbits.01xz.net/wiki/sim/circuit6","HDLBits")</x:f>
        <x:v>HYPERLINK is not implemented. linkLocation=https://hdlbits.01xz.net/wiki/sim/circuit6, friendlyName=HDLBits</x:v>
      </x:c>
      <x:c r="T195" s="2" t="s">
        <x:v>654</x:v>
      </x:c>
      <x:c r="U195" s="2"/>
    </x:row>
    <x:row r="196" ht="34.04999923706055" customHeight="1">
      <x:c r="A196" s="7">
        <x:v>170</x:v>
      </x:c>
      <x:c r="B196" s="7" t="n">
        <x:v>133</x:v>
      </x:c>
      <x:c r="C196" s="8" t="s">
        <x:v>40</x:v>
      </x:c>
      <x:c r="D196" s="8" t="s">
        <x:v>42</x:v>
      </x:c>
      <x:c r="E196" s="8" t="s">
        <x:v>655</x:v>
      </x:c>
      <x:c r="F196" s="8" t="s">
        <x:v>656</x:v>
      </x:c>
      <x:c r="G196" s="7" t="s">
        <x:v>1</x:v>
      </x:c>
      <x:c r="H196" s="7" t="str">
        <x:v>Day 06</x:v>
      </x:c>
      <x:c r="I196" s="55">
        <x:v>46201</x:v>
      </x:c>
      <x:c r="J196" s="7" t="s">
        <x:v>657</x:v>
      </x:c>
      <x:c r="K196" s="7">
        <x:v>5</x:v>
      </x:c>
      <x:c r="L196" s="7">
        <x:v>4</x:v>
      </x:c>
      <x:c r="M196" s="7">
        <x:v>0</x:v>
      </x:c>
      <x:c r="N196" s="7">
        <x:v>0</x:v>
      </x:c>
      <x:c r="O196" s="10">
        <x:v>0.2</x:v>
      </x:c>
      <x:c r="P196" s="11" t="e">
        <x:f>HYPERLINK("https://github.com/kapiltrip/hdlBits/blob/main/study/problems/Day%2006/133-sim__circuit7.md","Note")</x:f>
        <x:v>HYPERLINK is not implemented. linkLocation=https://github.com/kapiltrip/hdlBits/blob/main/study/problems/Day%2006/133-sim__circuit7.md, friendlyName=Note</x:v>
      </x:c>
      <x:c r="Q196" s="11" t="e">
        <x:f>HYPERLINK("https://github.com/kapiltrip/hdlBits/blob/main/study/images/Day%2006/133-sim__circuit7.png","Image")</x:f>
        <x:v>HYPERLINK is not implemented. linkLocation=https://github.com/kapiltrip/hdlBits/blob/main/study/images/Day%2006/133-sim__circuit7.png, friendlyName=Image</x:v>
      </x:c>
      <x:c r="R196" s="11" t="e">
        <x:f>HYPERLINK("https://github.com/kapiltrip/hdlBits/blob/main/study/solutions/Day%2006/133-sim__circuit7.sv","Code")</x:f>
        <x:v>HYPERLINK is not implemented. linkLocation=https://github.com/kapiltrip/hdlBits/blob/main/study/solutions/Day%2006/133-sim__circuit7.sv, friendlyName=Code</x:v>
      </x:c>
      <x:c r="S196" s="11" t="e">
        <x:f>HYPERLINK("https://hdlbits.01xz.net/wiki/sim/circuit7","HDLBits")</x:f>
        <x:v>HYPERLINK is not implemented. linkLocation=https://hdlbits.01xz.net/wiki/sim/circuit7, friendlyName=HDLBits</x:v>
      </x:c>
      <x:c r="T196" s="8" t="s">
        <x:v>658</x:v>
      </x:c>
      <x:c r="U196" s="8"/>
    </x:row>
    <x:row r="197" ht="34.04999923706055" customHeight="1">
      <x:c r="A197" s="3">
        <x:v>171</x:v>
      </x:c>
      <x:c r="B197" s="3" t="n">
        <x:v>134</x:v>
      </x:c>
      <x:c r="C197" s="2" t="s">
        <x:v>40</x:v>
      </x:c>
      <x:c r="D197" s="2" t="s">
        <x:v>42</x:v>
      </x:c>
      <x:c r="E197" s="2" t="s">
        <x:v>659</x:v>
      </x:c>
      <x:c r="F197" s="2" t="s">
        <x:v>660</x:v>
      </x:c>
      <x:c r="G197" s="3" t="s">
        <x:v>1</x:v>
      </x:c>
      <x:c r="H197" s="3" t="str">
        <x:v>Day 06</x:v>
      </x:c>
      <x:c r="I197" s="56">
        <x:v>46201</x:v>
      </x:c>
      <x:c r="J197" s="3" t="s">
        <x:v>322</x:v>
      </x:c>
      <x:c r="K197" s="3">
        <x:v>18</x:v>
      </x:c>
      <x:c r="L197" s="3">
        <x:v>14</x:v>
      </x:c>
      <x:c r="M197" s="3">
        <x:v>3</x:v>
      </x:c>
      <x:c r="N197" s="3">
        <x:v>0</x:v>
      </x:c>
      <x:c r="O197" s="6">
        <x:v>0.06</x:v>
      </x:c>
      <x:c r="P197" s="4" t="e">
        <x:f>HYPERLINK("https://github.com/kapiltrip/hdlBits/blob/main/study/problems/Day%2006/134-sim__circuit8.md","Note")</x:f>
        <x:v>HYPERLINK is not implemented. linkLocation=https://github.com/kapiltrip/hdlBits/blob/main/study/problems/Day%2006/134-sim__circuit8.md, friendlyName=Note</x:v>
      </x:c>
      <x:c r="Q197" s="4" t="e">
        <x:f>HYPERLINK("https://github.com/kapiltrip/hdlBits/blob/main/study/images/Day%2006/134-sim__circuit8.png","Image")</x:f>
        <x:v>HYPERLINK is not implemented. linkLocation=https://github.com/kapiltrip/hdlBits/blob/main/study/images/Day%2006/134-sim__circuit8.png, friendlyName=Image</x:v>
      </x:c>
      <x:c r="R197" s="4" t="e">
        <x:f>HYPERLINK("https://github.com/kapiltrip/hdlBits/blob/main/study/solutions/Day%2006/134-sim__circuit8.sv","Code")</x:f>
        <x:v>HYPERLINK is not implemented. linkLocation=https://github.com/kapiltrip/hdlBits/blob/main/study/solutions/Day%2006/134-sim__circuit8.sv, friendlyName=Code</x:v>
      </x:c>
      <x:c r="S197" s="4" t="e">
        <x:f>HYPERLINK("https://hdlbits.01xz.net/wiki/sim/circuit8","HDLBits")</x:f>
        <x:v>HYPERLINK is not implemented. linkLocation=https://hdlbits.01xz.net/wiki/sim/circuit8, friendlyName=HDLBits</x:v>
      </x:c>
      <x:c r="T197" s="2" t="s">
        <x:v>661</x:v>
      </x:c>
      <x:c r="U197" s="2"/>
    </x:row>
    <x:row r="198" ht="34.04999923706055" customHeight="1">
      <x:c r="A198" s="7">
        <x:v>172</x:v>
      </x:c>
      <x:c r="B198" s="7" t="n">
        <x:v>135</x:v>
      </x:c>
      <x:c r="C198" s="8" t="s">
        <x:v>40</x:v>
      </x:c>
      <x:c r="D198" s="8" t="s">
        <x:v>42</x:v>
      </x:c>
      <x:c r="E198" s="8" t="s">
        <x:v>662</x:v>
      </x:c>
      <x:c r="F198" s="8" t="s">
        <x:v>663</x:v>
      </x:c>
      <x:c r="G198" s="7" t="s">
        <x:v>1</x:v>
      </x:c>
      <x:c r="H198" s="7" t="str">
        <x:v>Day 06</x:v>
      </x:c>
      <x:c r="I198" s="55">
        <x:v>46201</x:v>
      </x:c>
      <x:c r="J198" s="7" t="s">
        <x:v>664</x:v>
      </x:c>
      <x:c r="K198" s="7">
        <x:v>3</x:v>
      </x:c>
      <x:c r="L198" s="7">
        <x:v>2</x:v>
      </x:c>
      <x:c r="M198" s="7">
        <x:v>0</x:v>
      </x:c>
      <x:c r="N198" s="7">
        <x:v>0</x:v>
      </x:c>
      <x:c r="O198" s="10">
        <x:v>0.33</x:v>
      </x:c>
      <x:c r="P198" s="11" t="e">
        <x:f>HYPERLINK("https://github.com/kapiltrip/hdlBits/blob/main/study/problems/Day%2006/135-sim__circuit9.md","Note")</x:f>
        <x:v>HYPERLINK is not implemented. linkLocation=https://github.com/kapiltrip/hdlBits/blob/main/study/problems/Day%2006/135-sim__circuit9.md, friendlyName=Note</x:v>
      </x:c>
      <x:c r="Q198" s="11" t="e">
        <x:f>HYPERLINK("https://github.com/kapiltrip/hdlBits/blob/main/study/images/Day%2006/135-sim__circuit9.png","Image")</x:f>
        <x:v>HYPERLINK is not implemented. linkLocation=https://github.com/kapiltrip/hdlBits/blob/main/study/images/Day%2006/135-sim__circuit9.png, friendlyName=Image</x:v>
      </x:c>
      <x:c r="R198" s="11" t="e">
        <x:f>HYPERLINK("https://github.com/kapiltrip/hdlBits/blob/main/study/solutions/Day%2006/135-sim__circuit9.sv","Code")</x:f>
        <x:v>HYPERLINK is not implemented. linkLocation=https://github.com/kapiltrip/hdlBits/blob/main/study/solutions/Day%2006/135-sim__circuit9.sv, friendlyName=Code</x:v>
      </x:c>
      <x:c r="S198" s="11" t="e">
        <x:f>HYPERLINK("https://hdlbits.01xz.net/wiki/sim/circuit9","HDLBits")</x:f>
        <x:v>HYPERLINK is not implemented. linkLocation=https://hdlbits.01xz.net/wiki/sim/circuit9, friendlyName=HDLBits</x:v>
      </x:c>
      <x:c r="T198" s="8" t="s">
        <x:v>665</x:v>
      </x:c>
      <x:c r="U198" s="8"/>
    </x:row>
    <x:row r="199" ht="34.04999923706055" customHeight="1">
      <x:c r="A199" s="3">
        <x:v>173</x:v>
      </x:c>
      <x:c r="B199" s="3" t="n">
        <x:v>136</x:v>
      </x:c>
      <x:c r="C199" s="2" t="s">
        <x:v>40</x:v>
      </x:c>
      <x:c r="D199" s="2" t="s">
        <x:v>42</x:v>
      </x:c>
      <x:c r="E199" s="2" t="s">
        <x:v>666</x:v>
      </x:c>
      <x:c r="F199" s="2" t="s">
        <x:v>667</x:v>
      </x:c>
      <x:c r="G199" s="3" t="s">
        <x:v>1</x:v>
      </x:c>
      <x:c r="H199" s="3" t="str">
        <x:v>Day 06</x:v>
      </x:c>
      <x:c r="I199" s="56">
        <x:v>46201</x:v>
      </x:c>
      <x:c r="J199" s="3" t="s">
        <x:v>668</x:v>
      </x:c>
      <x:c r="K199" s="3">
        <x:v>1</x:v>
      </x:c>
      <x:c r="L199" s="3">
        <x:v>0</x:v>
      </x:c>
      <x:c r="M199" s="3">
        <x:v>0</x:v>
      </x:c>
      <x:c r="N199" s="3">
        <x:v>0</x:v>
      </x:c>
      <x:c r="O199" s="6">
        <x:v>1</x:v>
      </x:c>
      <x:c r="P199" s="4" t="e">
        <x:f>HYPERLINK("https://github.com/kapiltrip/hdlBits/blob/main/study/problems/Day%2006/136-sim__circuit10.md","Note")</x:f>
        <x:v>HYPERLINK is not implemented. linkLocation=https://github.com/kapiltrip/hdlBits/blob/main/study/problems/Day%2006/136-sim__circuit10.md, friendlyName=Note</x:v>
      </x:c>
      <x:c r="Q199" s="4" t="e">
        <x:f>HYPERLINK("https://github.com/kapiltrip/hdlBits/blob/main/study/images/Day%2006/136-sim__circuit10.png","Image")</x:f>
        <x:v>HYPERLINK is not implemented. linkLocation=https://github.com/kapiltrip/hdlBits/blob/main/study/images/Day%2006/136-sim__circuit10.png, friendlyName=Image</x:v>
      </x:c>
      <x:c r="R199" s="4" t="e">
        <x:f>HYPERLINK("https://github.com/kapiltrip/hdlBits/blob/main/study/solutions/Day%2006/136-sim__circuit10.sv","Code")</x:f>
        <x:v>HYPERLINK is not implemented. linkLocation=https://github.com/kapiltrip/hdlBits/blob/main/study/solutions/Day%2006/136-sim__circuit10.sv, friendlyName=Code</x:v>
      </x:c>
      <x:c r="S199" s="4" t="e">
        <x:f>HYPERLINK("https://hdlbits.01xz.net/wiki/sim/circuit10","HDLBits")</x:f>
        <x:v>HYPERLINK is not implemented. linkLocation=https://hdlbits.01xz.net/wiki/sim/circuit10, friendlyName=HDLBits</x:v>
      </x:c>
      <x:c r="T199" s="2" t="s">
        <x:v>669</x:v>
      </x:c>
      <x:c r="U199" s="2"/>
    </x:row>
    <x:row r="200" ht="25.049999237060547" customHeight="1">
      <x:c r="A200" s="41" t="s">
        <x:v>670</x:v>
      </x:c>
      <x:c r="B200" s="41"/>
      <x:c r="C200" s="41"/>
      <x:c r="D200" s="41"/>
      <x:c r="E200" s="41"/>
      <x:c r="F200" s="41"/>
      <x:c r="G200" s="41"/>
      <x:c r="H200" s="41"/>
      <x:c r="I200" s="59"/>
      <x:c r="J200" s="41"/>
      <x:c r="K200" s="41"/>
      <x:c r="L200" s="41"/>
      <x:c r="M200" s="41"/>
      <x:c r="N200" s="41"/>
      <x:c r="O200" s="43"/>
      <x:c r="P200" s="41"/>
      <x:c r="Q200" s="41"/>
      <x:c r="R200" s="41"/>
      <x:c r="S200" s="41"/>
      <x:c r="T200" s="41"/>
      <x:c r="U200" s="41"/>
    </x:row>
    <x:row r="201" ht="34.04999923706055" customHeight="1">
      <x:c r="A201" s="7">
        <x:v>174</x:v>
      </x:c>
      <x:c r="B201" s="7" t="n">
        <x:v>137</x:v>
      </x:c>
      <x:c r="C201" s="8" t="s">
        <x:v>43</x:v>
      </x:c>
      <x:c r="D201" s="8"/>
      <x:c r="E201" s="8" t="s">
        <x:v>671</x:v>
      </x:c>
      <x:c r="F201" s="8" t="s">
        <x:v>672</x:v>
      </x:c>
      <x:c r="G201" s="7" t="s">
        <x:v>1</x:v>
      </x:c>
      <x:c r="H201" s="7" t="str">
        <x:v>Day 06</x:v>
      </x:c>
      <x:c r="I201" s="55">
        <x:v>46201</x:v>
      </x:c>
      <x:c r="J201" s="7" t="s">
        <x:v>673</x:v>
      </x:c>
      <x:c r="K201" s="7">
        <x:v>5</x:v>
      </x:c>
      <x:c r="L201" s="7">
        <x:v>0</x:v>
      </x:c>
      <x:c r="M201" s="7">
        <x:v>4</x:v>
      </x:c>
      <x:c r="N201" s="7">
        <x:v>0</x:v>
      </x:c>
      <x:c r="O201" s="10">
        <x:v>0.2</x:v>
      </x:c>
      <x:c r="P201" s="11" t="e">
        <x:f>HYPERLINK("https://github.com/kapiltrip/hdlBits/blob/main/study/problems/Day%2006/137-tb__clock.md","Note")</x:f>
        <x:v>HYPERLINK is not implemented. linkLocation=https://github.com/kapiltrip/hdlBits/blob/main/study/problems/Day%2006/137-tb__clock.md, friendlyName=Note</x:v>
      </x:c>
      <x:c r="Q201" s="11" t="e">
        <x:f>HYPERLINK("https://github.com/kapiltrip/hdlBits/blob/main/study/images/Day%2006/137-tb__clock.png","Image")</x:f>
        <x:v>HYPERLINK is not implemented. linkLocation=https://github.com/kapiltrip/hdlBits/blob/main/study/images/Day%2006/137-tb__clock.png, friendlyName=Image</x:v>
      </x:c>
      <x:c r="R201" s="11" t="e">
        <x:f>HYPERLINK("https://github.com/kapiltrip/hdlBits/blob/main/study/solutions/Day%2006/137-tb__clock.sv","Code")</x:f>
        <x:v>HYPERLINK is not implemented. linkLocation=https://github.com/kapiltrip/hdlBits/blob/main/study/solutions/Day%2006/137-tb__clock.sv, friendlyName=Code</x:v>
      </x:c>
      <x:c r="S201" s="11" t="e">
        <x:f>HYPERLINK("https://hdlbits.01xz.net/wiki/tb/clock","HDLBits")</x:f>
        <x:v>HYPERLINK is not implemented. linkLocation=https://hdlbits.01xz.net/wiki/tb/clock, friendlyName=HDLBits</x:v>
      </x:c>
      <x:c r="T201" s="8" t="s">
        <x:v>674</x:v>
      </x:c>
      <x:c r="U201" s="8"/>
    </x:row>
    <x:row r="202" ht="34.04999923706055" customHeight="1">
      <x:c r="A202" s="3">
        <x:v>175</x:v>
      </x:c>
      <x:c r="B202" s="3" t="n">
        <x:v>138</x:v>
      </x:c>
      <x:c r="C202" s="2" t="s">
        <x:v>43</x:v>
      </x:c>
      <x:c r="D202" s="2"/>
      <x:c r="E202" s="2" t="s">
        <x:v>675</x:v>
      </x:c>
      <x:c r="F202" s="2" t="s">
        <x:v>676</x:v>
      </x:c>
      <x:c r="G202" s="3" t="s">
        <x:v>1</x:v>
      </x:c>
      <x:c r="H202" s="3" t="str">
        <x:v>Day 06</x:v>
      </x:c>
      <x:c r="I202" s="56">
        <x:v>46201</x:v>
      </x:c>
      <x:c r="J202" s="3" t="s">
        <x:v>677</x:v>
      </x:c>
      <x:c r="K202" s="3">
        <x:v>4</x:v>
      </x:c>
      <x:c r="L202" s="3">
        <x:v>3</x:v>
      </x:c>
      <x:c r="M202" s="3">
        <x:v>0</x:v>
      </x:c>
      <x:c r="N202" s="3">
        <x:v>0</x:v>
      </x:c>
      <x:c r="O202" s="6">
        <x:v>0.25</x:v>
      </x:c>
      <x:c r="P202" s="4" t="e">
        <x:f>HYPERLINK("https://github.com/kapiltrip/hdlBits/blob/main/study/problems/Day%2006/138-tb__tb1.md","Note")</x:f>
        <x:v>HYPERLINK is not implemented. linkLocation=https://github.com/kapiltrip/hdlBits/blob/main/study/problems/Day%2006/138-tb__tb1.md, friendlyName=Note</x:v>
      </x:c>
      <x:c r="Q202" s="4" t="e">
        <x:f>HYPERLINK("https://github.com/kapiltrip/hdlBits/blob/main/study/images/Day%2006/138-tb__tb1.png","Image")</x:f>
        <x:v>HYPERLINK is not implemented. linkLocation=https://github.com/kapiltrip/hdlBits/blob/main/study/images/Day%2006/138-tb__tb1.png, friendlyName=Image</x:v>
      </x:c>
      <x:c r="R202" s="4" t="e">
        <x:f>HYPERLINK("https://github.com/kapiltrip/hdlBits/blob/main/study/solutions/Day%2006/138-tb__tb1.sv","Code")</x:f>
        <x:v>HYPERLINK is not implemented. linkLocation=https://github.com/kapiltrip/hdlBits/blob/main/study/solutions/Day%2006/138-tb__tb1.sv, friendlyName=Code</x:v>
      </x:c>
      <x:c r="S202" s="4" t="e">
        <x:f>HYPERLINK("https://hdlbits.01xz.net/wiki/tb/tb1","HDLBits")</x:f>
        <x:v>HYPERLINK is not implemented. linkLocation=https://hdlbits.01xz.net/wiki/tb/tb1, friendlyName=HDLBits</x:v>
      </x:c>
      <x:c r="T202" s="2" t="s">
        <x:v>678</x:v>
      </x:c>
      <x:c r="U202" s="2"/>
    </x:row>
    <x:row r="203" ht="34.04999923706055" customHeight="1">
      <x:c r="A203" s="7">
        <x:v>176</x:v>
      </x:c>
      <x:c r="B203" s="7" t="n">
        <x:v>139</x:v>
      </x:c>
      <x:c r="C203" s="8" t="s">
        <x:v>43</x:v>
      </x:c>
      <x:c r="D203" s="8"/>
      <x:c r="E203" s="8" t="s">
        <x:v>78</x:v>
      </x:c>
      <x:c r="F203" s="8" t="s">
        <x:v>679</x:v>
      </x:c>
      <x:c r="G203" s="7" t="s">
        <x:v>1</x:v>
      </x:c>
      <x:c r="H203" s="7" t="str">
        <x:v>Day 06</x:v>
      </x:c>
      <x:c r="I203" s="55">
        <x:v>46201</x:v>
      </x:c>
      <x:c r="J203" s="7" t="s">
        <x:v>680</x:v>
      </x:c>
      <x:c r="K203" s="7">
        <x:v>7</x:v>
      </x:c>
      <x:c r="L203" s="7">
        <x:v>2</x:v>
      </x:c>
      <x:c r="M203" s="7">
        <x:v>4</x:v>
      </x:c>
      <x:c r="N203" s="7">
        <x:v>0</x:v>
      </x:c>
      <x:c r="O203" s="10">
        <x:v>0.14000000000000001</x:v>
      </x:c>
      <x:c r="P203" s="11" t="e">
        <x:f>HYPERLINK("https://github.com/kapiltrip/hdlBits/blob/main/study/problems/Day%2006/139-tb__and.md","Note")</x:f>
        <x:v>HYPERLINK is not implemented. linkLocation=https://github.com/kapiltrip/hdlBits/blob/main/study/problems/Day%2006/139-tb__and.md, friendlyName=Note</x:v>
      </x:c>
      <x:c r="Q203" s="11" t="e">
        <x:f>HYPERLINK("https://github.com/kapiltrip/hdlBits/blob/main/study/images/Day%2006/139-tb__and.png","Image")</x:f>
        <x:v>HYPERLINK is not implemented. linkLocation=https://github.com/kapiltrip/hdlBits/blob/main/study/images/Day%2006/139-tb__and.png, friendlyName=Image</x:v>
      </x:c>
      <x:c r="R203" s="11" t="e">
        <x:f>HYPERLINK("https://github.com/kapiltrip/hdlBits/blob/main/study/solutions/Day%2006/139-tb__and.sv","Code")</x:f>
        <x:v>HYPERLINK is not implemented. linkLocation=https://github.com/kapiltrip/hdlBits/blob/main/study/solutions/Day%2006/139-tb__and.sv, friendlyName=Code</x:v>
      </x:c>
      <x:c r="S203" s="11" t="e">
        <x:f>HYPERLINK("https://hdlbits.01xz.net/wiki/tb/and","HDLBits")</x:f>
        <x:v>HYPERLINK is not implemented. linkLocation=https://hdlbits.01xz.net/wiki/tb/and, friendlyName=HDLBits</x:v>
      </x:c>
      <x:c r="T203" s="8" t="s">
        <x:v>681</x:v>
      </x:c>
      <x:c r="U203" s="8"/>
    </x:row>
    <x:row r="204" ht="34.04999923706055" customHeight="1">
      <x:c r="A204" s="3">
        <x:v>177</x:v>
      </x:c>
      <x:c r="B204" s="3" t="n">
        <x:v>140</x:v>
      </x:c>
      <x:c r="C204" s="2" t="s">
        <x:v>43</x:v>
      </x:c>
      <x:c r="D204" s="2"/>
      <x:c r="E204" s="2" t="s">
        <x:v>682</x:v>
      </x:c>
      <x:c r="F204" s="2" t="s">
        <x:v>683</x:v>
      </x:c>
      <x:c r="G204" s="3" t="s">
        <x:v>1</x:v>
      </x:c>
      <x:c r="H204" s="3" t="str">
        <x:v>Day 06</x:v>
      </x:c>
      <x:c r="I204" s="56">
        <x:v>46201</x:v>
      </x:c>
      <x:c r="J204" s="3" t="s">
        <x:v>684</x:v>
      </x:c>
      <x:c r="K204" s="3">
        <x:v>7</x:v>
      </x:c>
      <x:c r="L204" s="3">
        <x:v>5</x:v>
      </x:c>
      <x:c r="M204" s="3">
        <x:v>1</x:v>
      </x:c>
      <x:c r="N204" s="3">
        <x:v>0</x:v>
      </x:c>
      <x:c r="O204" s="6">
        <x:v>0.14000000000000001</x:v>
      </x:c>
      <x:c r="P204" s="4" t="e">
        <x:f>HYPERLINK("https://github.com/kapiltrip/hdlBits/blob/main/study/problems/Day%2006/140-tb__tb2.md","Note")</x:f>
        <x:v>HYPERLINK is not implemented. linkLocation=https://github.com/kapiltrip/hdlBits/blob/main/study/problems/Day%2006/140-tb__tb2.md, friendlyName=Note</x:v>
      </x:c>
      <x:c r="Q204" s="4" t="e">
        <x:f>HYPERLINK("https://github.com/kapiltrip/hdlBits/blob/main/study/images/Day%2006/140-tb__tb2.png","Image")</x:f>
        <x:v>HYPERLINK is not implemented. linkLocation=https://github.com/kapiltrip/hdlBits/blob/main/study/images/Day%2006/140-tb__tb2.png, friendlyName=Image</x:v>
      </x:c>
      <x:c r="R204" s="4" t="e">
        <x:f>HYPERLINK("https://github.com/kapiltrip/hdlBits/blob/main/study/solutions/Day%2006/140-tb__tb2.sv","Code")</x:f>
        <x:v>HYPERLINK is not implemented. linkLocation=https://github.com/kapiltrip/hdlBits/blob/main/study/solutions/Day%2006/140-tb__tb2.sv, friendlyName=Code</x:v>
      </x:c>
      <x:c r="S204" s="4" t="e">
        <x:f>HYPERLINK("https://hdlbits.01xz.net/wiki/tb/tb2","HDLBits")</x:f>
        <x:v>HYPERLINK is not implemented. linkLocation=https://hdlbits.01xz.net/wiki/tb/tb2, friendlyName=HDLBits</x:v>
      </x:c>
      <x:c r="T204" s="2" t="s">
        <x:v>685</x:v>
      </x:c>
      <x:c r="U204" s="2"/>
    </x:row>
    <x:row r="205" ht="34.04999923706055" customHeight="1">
      <x:c r="A205" s="12">
        <x:v>178</x:v>
      </x:c>
      <x:c r="B205" s="12" t="n">
        <x:v>141</x:v>
      </x:c>
      <x:c r="C205" s="13" t="s">
        <x:v>43</x:v>
      </x:c>
      <x:c r="D205" s="13"/>
      <x:c r="E205" s="13" t="s">
        <x:v>686</x:v>
      </x:c>
      <x:c r="F205" s="13" t="s">
        <x:v>687</x:v>
      </x:c>
      <x:c r="G205" s="12" t="s">
        <x:v>1</x:v>
      </x:c>
      <x:c r="H205" s="12" t="str">
        <x:v>Day 06</x:v>
      </x:c>
      <x:c r="I205" s="61">
        <x:v>46201</x:v>
      </x:c>
      <x:c r="J205" s="12" t="s">
        <x:v>688</x:v>
      </x:c>
      <x:c r="K205" s="12">
        <x:v>9</x:v>
      </x:c>
      <x:c r="L205" s="12">
        <x:v>2</x:v>
      </x:c>
      <x:c r="M205" s="12">
        <x:v>5</x:v>
      </x:c>
      <x:c r="N205" s="12">
        <x:v>0</x:v>
      </x:c>
      <x:c r="O205" s="15">
        <x:v>0.22</x:v>
      </x:c>
      <x:c r="P205" s="16" t="e">
        <x:f>HYPERLINK("https://github.com/kapiltrip/hdlBits/blob/main/study/problems/Day%2006/141-tb__tff.md","Note")</x:f>
        <x:v>HYPERLINK is not implemented. linkLocation=https://github.com/kapiltrip/hdlBits/blob/main/study/problems/Day%2006/141-tb__tff.md, friendlyName=Note</x:v>
      </x:c>
      <x:c r="Q205" s="16" t="e">
        <x:f>HYPERLINK("https://github.com/kapiltrip/hdlBits/blob/main/study/images/Day%2006/141-tb__tff.png","Image")</x:f>
        <x:v>HYPERLINK is not implemented. linkLocation=https://github.com/kapiltrip/hdlBits/blob/main/study/images/Day%2006/141-tb__tff.png, friendlyName=Image</x:v>
      </x:c>
      <x:c r="R205" s="16" t="e">
        <x:f>HYPERLINK("https://github.com/kapiltrip/hdlBits/blob/main/study/solutions/Day%2006/141-tb__tff.sv","Code")</x:f>
        <x:v>HYPERLINK is not implemented. linkLocation=https://github.com/kapiltrip/hdlBits/blob/main/study/solutions/Day%2006/141-tb__tff.sv, friendlyName=Code</x:v>
      </x:c>
      <x:c r="S205" s="16" t="e">
        <x:f>HYPERLINK("https://hdlbits.01xz.net/wiki/tb/tff","HDLBits")</x:f>
        <x:v>HYPERLINK is not implemented. linkLocation=https://hdlbits.01xz.net/wiki/tb/tff, friendlyName=HDLBits</x:v>
      </x:c>
      <x:c r="T205" s="13" t="s">
        <x:v>689</x:v>
      </x:c>
      <x:c r="U205" s="13"/>
    </x:row>
  </x:sheetData>
  <x:mergeCells>
    <x:mergeCell ref="A182:U182"/>
    <x:mergeCell ref="A183:U183"/>
    <x:mergeCell ref="A189:U189"/>
    <x:mergeCell ref="A200:U200"/>
    <x:mergeCell ref="A117:U117"/>
    <x:mergeCell ref="A126:U126"/>
    <x:mergeCell ref="A136:U136"/>
    <x:mergeCell ref="A140:U140"/>
    <x:mergeCell ref="A174:U174"/>
    <x:mergeCell ref="A57:U57"/>
    <x:mergeCell ref="A75:U75"/>
    <x:mergeCell ref="A81:U81"/>
    <x:mergeCell ref="A89:U89"/>
    <x:mergeCell ref="A98:U98"/>
    <x:mergeCell ref="A19:U19"/>
    <x:mergeCell ref="A29:U29"/>
    <x:mergeCell ref="A39:U39"/>
    <x:mergeCell ref="A48:U48"/>
    <x:mergeCell ref="A56:U56"/>
    <x:mergeCell ref="A1:U2"/>
    <x:mergeCell ref="A3:U3"/>
    <x:mergeCell ref="A6:U6"/>
    <x:mergeCell ref="A9:U9"/>
    <x:mergeCell ref="A10:U10"/>
  </x:mergeCells>
  <x:conditionalFormatting sqref="G6:G205">
    <x:cfRule type="containsText" dxfId="2" priority="1" operator="containsText" text="Completed"/>
    <x:cfRule type="containsText" dxfId="1" priority="2" operator="containsText" text="Review"/>
    <x:cfRule type="containsText" dxfId="0" priority="3" operator="containsText" text="To Do"/>
  </x:conditionalFormatting>
  <x:conditionalFormatting sqref="O6:O205">
    <x:cfRule type="colorScale" priority="4">
      <x:colorScale>
        <x:cfvo type="min"/>
        <x:cfvo type="percentile" val="50"/>
        <x:cfvo type="max"/>
        <x:color rgb="FFF8696B"/>
        <x:color rgb="FFFFEB84"/>
        <x:color rgb="FF63BE7B"/>
      </x:colorScale>
    </x:cfRule>
  </x:conditionalFormatting>
  <x:dataValidations count="1">
    <x:dataValidation type="list" sqref="G6:G205">
      <x:formula1>"Completed,Review,To Do"</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6.670000076293945" hidden="0" customWidth="1"/>
    <x:col min="2" max="2" width="10.220000267028809" hidden="0" customWidth="1"/>
    <x:col min="3" max="3" width="31.670000076293945" hidden="0" customWidth="1"/>
    <x:col min="4" max="4" width="30" hidden="0" customWidth="1"/>
    <x:col min="5" max="5" width="6.110000133514404" hidden="0" customWidth="1"/>
    <x:col min="6" max="6" width="10.220000267028809" hidden="0" customWidth="1"/>
    <x:col min="8" max="8" width="10.220000267028809" hidden="0" customWidth="1"/>
    <x:col min="10" max="10" width="10.220000267028809" hidden="0" customWidth="1"/>
    <x:col min="12" max="12" width="10.220000267028809" hidden="0" customWidth="1"/>
    <x:col min="7" max="7" width="9.5600004196167" hidden="0" customWidth="1"/>
    <x:col min="9" max="9" width="9.5600004196167" hidden="0" customWidth="1"/>
    <x:col min="11" max="11" width="9.5600004196167" hidden="0" customWidth="1"/>
    <x:col min="13" max="13" width="10.220000267028809" hidden="0" customWidth="1"/>
    <x:col min="14" max="14" width="25.559999465942383" hidden="0" customWidth="1"/>
  </x:cols>
  <x:sheetData>
    <x:row r="1" ht="22.5" customHeight="1">
      <x:c r="A1" s="137" t="str">
        <x:v>HDLBits Dated Revision Plan</x:v>
      </x:c>
      <x:c r="B1" s="137" t="str">
        <x:v>HDLBits Dated Revision Plan</x:v>
      </x:c>
      <x:c r="C1" s="137" t="str">
        <x:v>HDLBits Dated Revision Plan</x:v>
      </x:c>
      <x:c r="D1" s="137" t="str">
        <x:v>HDLBits Dated Revision Plan</x:v>
      </x:c>
      <x:c r="E1" s="137" t="str">
        <x:v>HDLBits Dated Revision Plan</x:v>
      </x:c>
      <x:c r="F1" s="137" t="str">
        <x:v>HDLBits Dated Revision Plan</x:v>
      </x:c>
      <x:c r="G1" s="137" t="str">
        <x:v>HDLBits Dated Revision Plan</x:v>
      </x:c>
      <x:c r="H1" s="137" t="str">
        <x:v>HDLBits Dated Revision Plan</x:v>
      </x:c>
      <x:c r="I1" s="137" t="str">
        <x:v>HDLBits Dated Revision Plan</x:v>
      </x:c>
      <x:c r="J1" s="137" t="str">
        <x:v>HDLBits Dated Revision Plan</x:v>
      </x:c>
      <x:c r="K1" s="137" t="str">
        <x:v>HDLBits Dated Revision Plan</x:v>
      </x:c>
      <x:c r="L1" s="137" t="str">
        <x:v>HDLBits Dated Revision Plan</x:v>
      </x:c>
      <x:c r="M1" s="137" t="str">
        <x:v>HDLBits Dated Revision Plan</x:v>
      </x:c>
      <x:c r="N1" s="137" t="str">
        <x:v>HDLBits Dated Revision Plan</x:v>
      </x:c>
    </x:row>
    <x:row r="2" ht="22.5" customHeight="1">
      <x:c r="A2" s="137" t="str">
        <x:v>HDLBits Dated Revision Plan</x:v>
      </x:c>
      <x:c r="B2" s="137" t="str">
        <x:v>HDLBits Dated Revision Plan</x:v>
      </x:c>
      <x:c r="C2" s="137" t="str">
        <x:v>HDLBits Dated Revision Plan</x:v>
      </x:c>
      <x:c r="D2" s="137" t="str">
        <x:v>HDLBits Dated Revision Plan</x:v>
      </x:c>
      <x:c r="E2" s="137" t="str">
        <x:v>HDLBits Dated Revision Plan</x:v>
      </x:c>
      <x:c r="F2" s="137" t="str">
        <x:v>HDLBits Dated Revision Plan</x:v>
      </x:c>
      <x:c r="G2" s="137" t="str">
        <x:v>HDLBits Dated Revision Plan</x:v>
      </x:c>
      <x:c r="H2" s="137" t="str">
        <x:v>HDLBits Dated Revision Plan</x:v>
      </x:c>
      <x:c r="I2" s="137" t="str">
        <x:v>HDLBits Dated Revision Plan</x:v>
      </x:c>
      <x:c r="J2" s="137" t="str">
        <x:v>HDLBits Dated Revision Plan</x:v>
      </x:c>
      <x:c r="K2" s="137" t="str">
        <x:v>HDLBits Dated Revision Plan</x:v>
      </x:c>
      <x:c r="L2" s="137" t="str">
        <x:v>HDLBits Dated Revision Plan</x:v>
      </x:c>
      <x:c r="M2" s="137" t="str">
        <x:v>HDLBits Dated Revision Plan</x:v>
      </x:c>
      <x:c r="N2" s="137" t="str">
        <x:v>HDLBits Dated Revision Plan</x:v>
      </x:c>
    </x:row>
    <x:row r="3" ht="21" customHeight="1">
      <x:c r="A3" s="138" t="str">
        <x:v>First pass: 2026-07-15 to 2026-07-31 · recalls at +2, +7, and +21 days · final scheduled recall: 2026-08-21</x:v>
      </x:c>
      <x:c r="B3" s="138" t="str">
        <x:v>First pass: 2026-07-15 to 2026-07-31 · recalls at +2, +7, and +21 days · final scheduled recall: 2026-08-21</x:v>
      </x:c>
      <x:c r="C3" s="138" t="str">
        <x:v>First pass: 2026-07-15 to 2026-07-31 · recalls at +2, +7, and +21 days · final scheduled recall: 2026-08-21</x:v>
      </x:c>
      <x:c r="D3" s="138" t="str">
        <x:v>First pass: 2026-07-15 to 2026-07-31 · recalls at +2, +7, and +21 days · final scheduled recall: 2026-08-21</x:v>
      </x:c>
      <x:c r="E3" s="138" t="str">
        <x:v>First pass: 2026-07-15 to 2026-07-31 · recalls at +2, +7, and +21 days · final scheduled recall: 2026-08-21</x:v>
      </x:c>
      <x:c r="F3" s="138" t="str">
        <x:v>First pass: 2026-07-15 to 2026-07-31 · recalls at +2, +7, and +21 days · final scheduled recall: 2026-08-21</x:v>
      </x:c>
      <x:c r="G3" s="138" t="str">
        <x:v>First pass: 2026-07-15 to 2026-07-31 · recalls at +2, +7, and +21 days · final scheduled recall: 2026-08-21</x:v>
      </x:c>
      <x:c r="H3" s="138" t="str">
        <x:v>First pass: 2026-07-15 to 2026-07-31 · recalls at +2, +7, and +21 days · final scheduled recall: 2026-08-21</x:v>
      </x:c>
      <x:c r="I3" s="138" t="str">
        <x:v>First pass: 2026-07-15 to 2026-07-31 · recalls at +2, +7, and +21 days · final scheduled recall: 2026-08-21</x:v>
      </x:c>
      <x:c r="J3" s="138" t="str">
        <x:v>First pass: 2026-07-15 to 2026-07-31 · recalls at +2, +7, and +21 days · final scheduled recall: 2026-08-21</x:v>
      </x:c>
      <x:c r="K3" s="138" t="str">
        <x:v>First pass: 2026-07-15 to 2026-07-31 · recalls at +2, +7, and +21 days · final scheduled recall: 2026-08-21</x:v>
      </x:c>
      <x:c r="L3" s="138" t="str">
        <x:v>First pass: 2026-07-15 to 2026-07-31 · recalls at +2, +7, and +21 days · final scheduled recall: 2026-08-21</x:v>
      </x:c>
      <x:c r="M3" s="138" t="str">
        <x:v>First pass: 2026-07-15 to 2026-07-31 · recalls at +2, +7, and +21 days · final scheduled recall: 2026-08-21</x:v>
      </x:c>
      <x:c r="N3" s="138" t="str">
        <x:v>First pass: 2026-07-15 to 2026-07-31 · recalls at +2, +7, and +21 days · final scheduled recall: 2026-08-21</x:v>
      </x:c>
    </x:row>
    <x:row r="5">
      <x:c r="A5" s="139" t="str">
        <x:v>Problems scheduled</x:v>
      </x:c>
      <x:c r="B5" s="140"/>
      <x:c r="C5" s="139" t="str">
        <x:v>First-pass progress</x:v>
      </x:c>
      <x:c r="D5" s="140"/>
      <x:c r="E5" s="139" t="str">
        <x:v>Due or overdue</x:v>
      </x:c>
      <x:c r="F5" s="140"/>
      <x:c r="G5" s="139" t="str">
        <x:v>Final review date</x:v>
      </x:c>
      <x:c r="H5" s="140"/>
    </x:row>
    <x:row r="6">
      <x:c r="A6" s="141" t="n">
        <x:f>SUM(E12:E28)</x:f>
        <x:v>178</x:v>
      </x:c>
      <x:c r="B6" s="142"/>
      <x:c r="C6" s="143" t="n">
        <x:f>COUNTIF(F12:F28,"Done")/COUNTA(F12:F28)</x:f>
        <x:v>0</x:v>
      </x:c>
      <x:c r="D6" s="142"/>
      <x:c r="E6" s="141" t="n">
        <x:f>COUNTIFS(B12:B28,"&lt;="&amp;TODAY(),F12:F28,"&lt;&gt;Done")+COUNTIFS(G12:G28,"&lt;="&amp;TODAY(),H12:H28,"&lt;&gt;Done")+COUNTIFS(I12:I28,"&lt;="&amp;TODAY(),J12:J28,"&lt;&gt;Done")+COUNTIFS(K12:K28,"&lt;="&amp;TODAY(),L12:L28,"&lt;&gt;Done")</x:f>
        <x:v>0</x:v>
      </x:c>
      <x:c r="F6" s="142"/>
      <x:c r="G6" s="144" t="n">
        <x:f>MAX(K12:K28)</x:f>
        <x:v>46255</x:v>
      </x:c>
      <x:c r="H6" s="142"/>
    </x:row>
    <x:row r="8" ht="22.5" customHeight="1">
      <x:c r="A8" s="145" t="str">
        <x:v>Rule: attempt without opening the saved solution; mark every problem; red items return in the next session. A 10-minute rescue pass is better than skipping the date.</x:v>
      </x:c>
      <x:c r="B8" s="145" t="str">
        <x:v>Rule: attempt without opening the saved solution; mark every problem; red items return in the next session. A 10-minute rescue pass is better than skipping the date.</x:v>
      </x:c>
      <x:c r="C8" s="145" t="str">
        <x:v>Rule: attempt without opening the saved solution; mark every problem; red items return in the next session. A 10-minute rescue pass is better than skipping the date.</x:v>
      </x:c>
      <x:c r="D8" s="145" t="str">
        <x:v>Rule: attempt without opening the saved solution; mark every problem; red items return in the next session. A 10-minute rescue pass is better than skipping the date.</x:v>
      </x:c>
      <x:c r="E8" s="145" t="str">
        <x:v>Rule: attempt without opening the saved solution; mark every problem; red items return in the next session. A 10-minute rescue pass is better than skipping the date.</x:v>
      </x:c>
      <x:c r="F8" s="145" t="str">
        <x:v>Rule: attempt without opening the saved solution; mark every problem; red items return in the next session. A 10-minute rescue pass is better than skipping the date.</x:v>
      </x:c>
      <x:c r="G8" s="145" t="str">
        <x:v>Rule: attempt without opening the saved solution; mark every problem; red items return in the next session. A 10-minute rescue pass is better than skipping the date.</x:v>
      </x:c>
      <x:c r="H8" s="145" t="str">
        <x:v>Rule: attempt without opening the saved solution; mark every problem; red items return in the next session. A 10-minute rescue pass is better than skipping the date.</x:v>
      </x:c>
      <x:c r="I8" s="145" t="str">
        <x:v>Rule: attempt without opening the saved solution; mark every problem; red items return in the next session. A 10-minute rescue pass is better than skipping the date.</x:v>
      </x:c>
      <x:c r="J8" s="145" t="str">
        <x:v>Rule: attempt without opening the saved solution; mark every problem; red items return in the next session. A 10-minute rescue pass is better than skipping the date.</x:v>
      </x:c>
      <x:c r="K8" s="145" t="str">
        <x:v>Rule: attempt without opening the saved solution; mark every problem; red items return in the next session. A 10-minute rescue pass is better than skipping the date.</x:v>
      </x:c>
      <x:c r="L8" s="145" t="str">
        <x:v>Rule: attempt without opening the saved solution; mark every problem; red items return in the next session. A 10-minute rescue pass is better than skipping the date.</x:v>
      </x:c>
      <x:c r="M8" s="145" t="str">
        <x:v>Rule: attempt without opening the saved solution; mark every problem; red items return in the next session. A 10-minute rescue pass is better than skipping the date.</x:v>
      </x:c>
      <x:c r="N8" s="145" t="str">
        <x:v>Rule: attempt without opening the saved solution; mark every problem; red items return in the next session. A 10-minute rescue pass is better than skipping the date.</x:v>
      </x:c>
    </x:row>
    <x:row r="11">
      <x:c r="A11" s="147" t="str">
        <x:v>Batch</x:v>
      </x:c>
      <x:c r="B11" s="147" t="str">
        <x:v>First pass</x:v>
      </x:c>
      <x:c r="C11" s="147" t="str">
        <x:v>Coverage</x:v>
      </x:c>
      <x:c r="D11" s="147" t="str">
        <x:v>Archive IDs</x:v>
      </x:c>
      <x:c r="E11" s="147" t="str">
        <x:v>Count</x:v>
      </x:c>
      <x:c r="F11" s="147" t="str">
        <x:v>First status</x:v>
      </x:c>
      <x:c r="G11" s="147" t="str">
        <x:v>+2 date</x:v>
      </x:c>
      <x:c r="H11" s="147" t="str">
        <x:v>+2 status</x:v>
      </x:c>
      <x:c r="I11" s="147" t="str">
        <x:v>+7 date</x:v>
      </x:c>
      <x:c r="J11" s="147" t="str">
        <x:v>+7 status</x:v>
      </x:c>
      <x:c r="K11" s="147" t="str">
        <x:v>+21 date</x:v>
      </x:c>
      <x:c r="L11" s="147" t="str">
        <x:v>+21 status</x:v>
      </x:c>
      <x:c r="M11" s="147" t="str">
        <x:v>Best blind score</x:v>
      </x:c>
      <x:c r="N11" s="147" t="str">
        <x:v>Notes</x:v>
      </x:c>
    </x:row>
    <x:row r="12" ht="24" customHeight="1">
      <x:c r="A12" s="132" t="str">
        <x:v>B01</x:v>
      </x:c>
      <x:c r="B12" s="64" t="n">
        <x:v>46218</x:v>
      </x:c>
      <x:c r="C12" s="136" t="str">
        <x:v>Verilog foundations: Getting Started, basics, vectors</x:v>
      </x:c>
      <x:c r="D12" s="136" t="str">
        <x:v>151, 152, 001, 002, 003, 004, 005, 006, 007, 008, 009, 010, 011, 012, 013, 014, 015, 016, 017</x:v>
      </x:c>
      <x:c r="E12" s="132" t="n">
        <x:v>19</x:v>
      </x:c>
      <x:c r="F12" s="132" t="str">
        <x:v>Not Started</x:v>
      </x:c>
      <x:c r="G12" s="64" t="n">
        <x:f>B12+2</x:f>
        <x:v>46220</x:v>
      </x:c>
      <x:c r="H12" s="132" t="str">
        <x:v>Not Started</x:v>
      </x:c>
      <x:c r="I12" s="64" t="n">
        <x:f>B12+7</x:f>
        <x:v>46225</x:v>
      </x:c>
      <x:c r="J12" s="132" t="str">
        <x:v>Not Started</x:v>
      </x:c>
      <x:c r="K12" s="64" t="n">
        <x:f>B12+21</x:f>
        <x:v>46239</x:v>
      </x:c>
      <x:c r="L12" s="132" t="str">
        <x:v>Not Started</x:v>
      </x:c>
      <x:c r="M12" s="131"/>
      <x:c r="N12" s="136"/>
    </x:row>
    <x:row r="13" ht="24" customHeight="1">
      <x:c r="A13" s="132" t="str">
        <x:v>B02</x:v>
      </x:c>
      <x:c r="B13" s="64" t="n">
        <x:v>46219</x:v>
      </x:c>
      <x:c r="C13" s="136" t="str">
        <x:v>Modules and procedural blocks</x:v>
      </x:c>
      <x:c r="D13" s="136" t="str">
        <x:v>018, 019, 020, 021, 022, 023, 024, 025, 026, 027, 028, 029, 030, 031, 032, 033, 034</x:v>
      </x:c>
      <x:c r="E13" s="132" t="n">
        <x:v>17</x:v>
      </x:c>
      <x:c r="F13" s="132" t="str">
        <x:v>Not Started</x:v>
      </x:c>
      <x:c r="G13" s="64" t="n">
        <x:f>B13+2</x:f>
        <x:v>46221</x:v>
      </x:c>
      <x:c r="H13" s="132" t="str">
        <x:v>Not Started</x:v>
      </x:c>
      <x:c r="I13" s="64" t="n">
        <x:f>B13+7</x:f>
        <x:v>46226</x:v>
      </x:c>
      <x:c r="J13" s="132" t="str">
        <x:v>Not Started</x:v>
      </x:c>
      <x:c r="K13" s="64" t="n">
        <x:f>B13+21</x:f>
        <x:v>46240</x:v>
      </x:c>
      <x:c r="L13" s="132" t="str">
        <x:v>Not Started</x:v>
      </x:c>
      <x:c r="M13" s="131"/>
      <x:c r="N13" s="136"/>
    </x:row>
    <x:row r="14" ht="24" customHeight="1">
      <x:c r="A14" s="132" t="str">
        <x:v>B03</x:v>
      </x:c>
      <x:c r="B14" s="64" t="n">
        <x:v>46220</x:v>
      </x:c>
      <x:c r="C14" s="136" t="str">
        <x:v>Advanced Verilog and basic gates I</x:v>
      </x:c>
      <x:c r="D14" s="136" t="str">
        <x:v>035, 036, 037, 038, 039, 040, 041, 042, 043, 044, 045, 046, 047, 048, 049, 050</x:v>
      </x:c>
      <x:c r="E14" s="132" t="n">
        <x:v>16</x:v>
      </x:c>
      <x:c r="F14" s="132" t="str">
        <x:v>Not Started</x:v>
      </x:c>
      <x:c r="G14" s="64" t="n">
        <x:f>B14+2</x:f>
        <x:v>46222</x:v>
      </x:c>
      <x:c r="H14" s="132" t="str">
        <x:v>Not Started</x:v>
      </x:c>
      <x:c r="I14" s="64" t="n">
        <x:f>B14+7</x:f>
        <x:v>46227</x:v>
      </x:c>
      <x:c r="J14" s="132" t="str">
        <x:v>Not Started</x:v>
      </x:c>
      <x:c r="K14" s="64" t="n">
        <x:f>B14+21</x:f>
        <x:v>46241</x:v>
      </x:c>
      <x:c r="L14" s="132" t="str">
        <x:v>Not Started</x:v>
      </x:c>
      <x:c r="M14" s="131"/>
      <x:c r="N14" s="136"/>
    </x:row>
    <x:row r="15" ht="24" customHeight="1">
      <x:c r="A15" s="132" t="str">
        <x:v>B04</x:v>
      </x:c>
      <x:c r="B15" s="64" t="n">
        <x:v>46221</x:v>
      </x:c>
      <x:c r="C15" s="136" t="str">
        <x:v>Basic gates II and multiplexers</x:v>
      </x:c>
      <x:c r="D15" s="136" t="str">
        <x:v>051, 052, 053, 054, 055, 056, 057, 058, 059, 060, 061, 062, 063</x:v>
      </x:c>
      <x:c r="E15" s="132" t="n">
        <x:v>13</x:v>
      </x:c>
      <x:c r="F15" s="132" t="str">
        <x:v>Not Started</x:v>
      </x:c>
      <x:c r="G15" s="64" t="n">
        <x:f>B15+2</x:f>
        <x:v>46223</x:v>
      </x:c>
      <x:c r="H15" s="132" t="str">
        <x:v>Not Started</x:v>
      </x:c>
      <x:c r="I15" s="64" t="n">
        <x:f>B15+7</x:f>
        <x:v>46228</x:v>
      </x:c>
      <x:c r="J15" s="132" t="str">
        <x:v>Not Started</x:v>
      </x:c>
      <x:c r="K15" s="64" t="n">
        <x:f>B15+21</x:f>
        <x:v>46242</x:v>
      </x:c>
      <x:c r="L15" s="132" t="str">
        <x:v>Not Started</x:v>
      </x:c>
      <x:c r="M15" s="131"/>
      <x:c r="N15" s="136"/>
    </x:row>
    <x:row r="16" ht="24" customHeight="1">
      <x:c r="A16" s="132" t="str">
        <x:v>B05</x:v>
      </x:c>
      <x:c r="B16" s="64" t="n">
        <x:v>46222</x:v>
      </x:c>
      <x:c r="C16" s="136" t="str">
        <x:v>Arithmetic circuits and Karnaugh maps</x:v>
      </x:c>
      <x:c r="D16" s="136" t="str">
        <x:v>064, 065, 066, 067, 068, 069, 070, 071, 072, 073, 074, 075, 076, 077, 078</x:v>
      </x:c>
      <x:c r="E16" s="132" t="n">
        <x:v>15</x:v>
      </x:c>
      <x:c r="F16" s="132" t="str">
        <x:v>Not Started</x:v>
      </x:c>
      <x:c r="G16" s="64" t="n">
        <x:f>B16+2</x:f>
        <x:v>46224</x:v>
      </x:c>
      <x:c r="H16" s="132" t="str">
        <x:v>Not Started</x:v>
      </x:c>
      <x:c r="I16" s="64" t="n">
        <x:f>B16+7</x:f>
        <x:v>46229</x:v>
      </x:c>
      <x:c r="J16" s="132" t="str">
        <x:v>Not Started</x:v>
      </x:c>
      <x:c r="K16" s="64" t="n">
        <x:f>B16+21</x:f>
        <x:v>46243</x:v>
      </x:c>
      <x:c r="L16" s="132" t="str">
        <x:v>Not Started</x:v>
      </x:c>
      <x:c r="M16" s="131"/>
      <x:c r="N16" s="136"/>
    </x:row>
    <x:row r="17" ht="24" customHeight="1">
      <x:c r="A17" s="132" t="str">
        <x:v>B06</x:v>
      </x:c>
      <x:c r="B17" s="64" t="n">
        <x:v>46223</x:v>
      </x:c>
      <x:c r="C17" s="136" t="str">
        <x:v>Latches, DFFs, reset and enable fundamentals</x:v>
      </x:c>
      <x:c r="D17" s="136" t="str">
        <x:v>079, 080, 081, 082, 083, 084, 085, 086, 087, 088</x:v>
      </x:c>
      <x:c r="E17" s="132" t="n">
        <x:v>10</x:v>
      </x:c>
      <x:c r="F17" s="132" t="str">
        <x:v>Not Started</x:v>
      </x:c>
      <x:c r="G17" s="64" t="n">
        <x:f>B17+2</x:f>
        <x:v>46225</x:v>
      </x:c>
      <x:c r="H17" s="132" t="str">
        <x:v>Not Started</x:v>
      </x:c>
      <x:c r="I17" s="64" t="n">
        <x:f>B17+7</x:f>
        <x:v>46230</x:v>
      </x:c>
      <x:c r="J17" s="132" t="str">
        <x:v>Not Started</x:v>
      </x:c>
      <x:c r="K17" s="64" t="n">
        <x:f>B17+21</x:f>
        <x:v>46244</x:v>
      </x:c>
      <x:c r="L17" s="132" t="str">
        <x:v>Not Started</x:v>
      </x:c>
      <x:c r="M17" s="131"/>
      <x:c r="N17" s="136"/>
    </x:row>
    <x:row r="18" ht="24" customHeight="1">
      <x:c r="A18" s="132" t="str">
        <x:v>B07</x:v>
      </x:c>
      <x:c r="B18" s="64" t="n">
        <x:v>46224</x:v>
      </x:c>
      <x:c r="C18" s="136" t="str">
        <x:v>DFF applications, edge detection and basic counters</x:v>
      </x:c>
      <x:c r="D18" s="136" t="str">
        <x:v>089, 090, 091, 092, 093, 094, 095, 096, 097, 098, 099, 100</x:v>
      </x:c>
      <x:c r="E18" s="132" t="n">
        <x:v>12</x:v>
      </x:c>
      <x:c r="F18" s="132" t="str">
        <x:v>Not Started</x:v>
      </x:c>
      <x:c r="G18" s="64" t="n">
        <x:f>B18+2</x:f>
        <x:v>46226</x:v>
      </x:c>
      <x:c r="H18" s="132" t="str">
        <x:v>Not Started</x:v>
      </x:c>
      <x:c r="I18" s="64" t="n">
        <x:f>B18+7</x:f>
        <x:v>46231</x:v>
      </x:c>
      <x:c r="J18" s="132" t="str">
        <x:v>Not Started</x:v>
      </x:c>
      <x:c r="K18" s="64" t="n">
        <x:f>B18+21</x:f>
        <x:v>46245</x:v>
      </x:c>
      <x:c r="L18" s="132" t="str">
        <x:v>Not Started</x:v>
      </x:c>
      <x:c r="M18" s="131"/>
      <x:c r="N18" s="136"/>
    </x:row>
    <x:row r="19" ht="24" customHeight="1">
      <x:c r="A19" s="132" t="str">
        <x:v>B08</x:v>
      </x:c>
      <x:c r="B19" s="64" t="n">
        <x:v>46225</x:v>
      </x:c>
      <x:c r="C19" s="136" t="str">
        <x:v>Shift registers, rotators and LFSRs</x:v>
      </x:c>
      <x:c r="D19" s="136" t="str">
        <x:v>101, 102, 103, 104, 105, 106, 107, 108, 109</x:v>
      </x:c>
      <x:c r="E19" s="132" t="n">
        <x:v>9</x:v>
      </x:c>
      <x:c r="F19" s="132" t="str">
        <x:v>Not Started</x:v>
      </x:c>
      <x:c r="G19" s="64" t="n">
        <x:f>B19+2</x:f>
        <x:v>46227</x:v>
      </x:c>
      <x:c r="H19" s="132" t="str">
        <x:v>Not Started</x:v>
      </x:c>
      <x:c r="I19" s="64" t="n">
        <x:f>B19+7</x:f>
        <x:v>46232</x:v>
      </x:c>
      <x:c r="J19" s="132" t="str">
        <x:v>Not Started</x:v>
      </x:c>
      <x:c r="K19" s="64" t="n">
        <x:f>B19+21</x:f>
        <x:v>46246</x:v>
      </x:c>
      <x:c r="L19" s="132" t="str">
        <x:v>Not Started</x:v>
      </x:c>
      <x:c r="M19" s="131"/>
      <x:c r="N19" s="136"/>
    </x:row>
    <x:row r="20" ht="24" customHeight="1">
      <x:c r="A20" s="132" t="str">
        <x:v>B09</x:v>
      </x:c>
      <x:c r="B20" s="64" t="n">
        <x:v>46226</x:v>
      </x:c>
      <x:c r="C20" s="136" t="str">
        <x:v>FSM foundations and Lemmings 1</x:v>
      </x:c>
      <x:c r="D20" s="136" t="str">
        <x:v>110, 111, 112, 113, 114, 115, 116, 117, 118, 119</x:v>
      </x:c>
      <x:c r="E20" s="132" t="n">
        <x:v>10</x:v>
      </x:c>
      <x:c r="F20" s="132" t="str">
        <x:v>Not Started</x:v>
      </x:c>
      <x:c r="G20" s="64" t="n">
        <x:f>B20+2</x:f>
        <x:v>46228</x:v>
      </x:c>
      <x:c r="H20" s="132" t="str">
        <x:v>Not Started</x:v>
      </x:c>
      <x:c r="I20" s="64" t="n">
        <x:f>B20+7</x:f>
        <x:v>46233</x:v>
      </x:c>
      <x:c r="J20" s="132" t="str">
        <x:v>Not Started</x:v>
      </x:c>
      <x:c r="K20" s="64" t="n">
        <x:f>B20+21</x:f>
        <x:v>46247</x:v>
      </x:c>
      <x:c r="L20" s="132" t="str">
        <x:v>Not Started</x:v>
      </x:c>
      <x:c r="M20" s="131"/>
      <x:c r="N20" s="136"/>
    </x:row>
    <x:row r="21" ht="24" customHeight="1">
      <x:c r="A21" s="132" t="str">
        <x:v>B10</x:v>
      </x:c>
      <x:c r="B21" s="64" t="n">
        <x:v>46227</x:v>
      </x:c>
      <x:c r="C21" s="136" t="str">
        <x:v>Debugging and waveform-derived circuits I</x:v>
      </x:c>
      <x:c r="D21" s="136" t="str">
        <x:v>122, 123, 124, 125, 126, 127, 128, 129, 130, 131, 132</x:v>
      </x:c>
      <x:c r="E21" s="132" t="n">
        <x:v>11</x:v>
      </x:c>
      <x:c r="F21" s="132" t="str">
        <x:v>Not Started</x:v>
      </x:c>
      <x:c r="G21" s="64" t="n">
        <x:f>B21+2</x:f>
        <x:v>46229</x:v>
      </x:c>
      <x:c r="H21" s="132" t="str">
        <x:v>Not Started</x:v>
      </x:c>
      <x:c r="I21" s="64" t="n">
        <x:f>B21+7</x:f>
        <x:v>46234</x:v>
      </x:c>
      <x:c r="J21" s="132" t="str">
        <x:v>Not Started</x:v>
      </x:c>
      <x:c r="K21" s="64" t="n">
        <x:f>B21+21</x:f>
        <x:v>46248</x:v>
      </x:c>
      <x:c r="L21" s="132" t="str">
        <x:v>Not Started</x:v>
      </x:c>
      <x:c r="M21" s="131"/>
      <x:c r="N21" s="136"/>
    </x:row>
    <x:row r="22" ht="24" customHeight="1">
      <x:c r="A22" s="132" t="str">
        <x:v>B11</x:v>
      </x:c>
      <x:c r="B22" s="64" t="n">
        <x:v>46228</x:v>
      </x:c>
      <x:c r="C22" s="136" t="str">
        <x:v>Waveform-derived circuits II and testbenches</x:v>
      </x:c>
      <x:c r="D22" s="136" t="str">
        <x:v>133, 134, 135, 136, 137, 138, 139, 140, 141</x:v>
      </x:c>
      <x:c r="E22" s="132" t="n">
        <x:v>9</x:v>
      </x:c>
      <x:c r="F22" s="132" t="str">
        <x:v>Not Started</x:v>
      </x:c>
      <x:c r="G22" s="64" t="n">
        <x:f>B22+2</x:f>
        <x:v>46230</x:v>
      </x:c>
      <x:c r="H22" s="132" t="str">
        <x:v>Not Started</x:v>
      </x:c>
      <x:c r="I22" s="64" t="n">
        <x:f>B22+7</x:f>
        <x:v>46235</x:v>
      </x:c>
      <x:c r="J22" s="132" t="str">
        <x:v>Not Started</x:v>
      </x:c>
      <x:c r="K22" s="64" t="n">
        <x:f>B22+21</x:f>
        <x:v>46249</x:v>
      </x:c>
      <x:c r="L22" s="132" t="str">
        <x:v>Not Started</x:v>
      </x:c>
      <x:c r="M22" s="131"/>
      <x:c r="N22" s="136"/>
    </x:row>
    <x:row r="23" ht="24" customHeight="1">
      <x:c r="A23" s="132" t="str">
        <x:v>B12</x:v>
      </x:c>
      <x:c r="B23" s="64" t="n">
        <x:v>46229</x:v>
      </x:c>
      <x:c r="C23" s="136" t="str">
        <x:v>Advanced counters and combined designs</x:v>
      </x:c>
      <x:c r="D23" s="136" t="str">
        <x:v>143, 144, 145, 146, 147, 148, 149, 150</x:v>
      </x:c>
      <x:c r="E23" s="132" t="n">
        <x:v>8</x:v>
      </x:c>
      <x:c r="F23" s="132" t="str">
        <x:v>Not Started</x:v>
      </x:c>
      <x:c r="G23" s="64" t="n">
        <x:f>B23+2</x:f>
        <x:v>46231</x:v>
      </x:c>
      <x:c r="H23" s="132" t="str">
        <x:v>Not Started</x:v>
      </x:c>
      <x:c r="I23" s="64" t="n">
        <x:f>B23+7</x:f>
        <x:v>46236</x:v>
      </x:c>
      <x:c r="J23" s="132" t="str">
        <x:v>Not Started</x:v>
      </x:c>
      <x:c r="K23" s="64" t="n">
        <x:f>B23+21</x:f>
        <x:v>46250</x:v>
      </x:c>
      <x:c r="L23" s="132" t="str">
        <x:v>Not Started</x:v>
      </x:c>
      <x:c r="M23" s="131"/>
      <x:c r="N23" s="136"/>
    </x:row>
    <x:row r="24" ht="24" customHeight="1">
      <x:c r="A24" s="132" t="str">
        <x:v>B13</x:v>
      </x:c>
      <x:c r="B24" s="64" t="n">
        <x:v>46230</x:v>
      </x:c>
      <x:c r="C24" s="136" t="str">
        <x:v>FSM exam set and the complete timer</x:v>
      </x:c>
      <x:c r="D24" s="136" t="str">
        <x:v>121, 142, 153, 154, 155, 156, 157, 158</x:v>
      </x:c>
      <x:c r="E24" s="132" t="n">
        <x:v>8</x:v>
      </x:c>
      <x:c r="F24" s="132" t="str">
        <x:v>Not Started</x:v>
      </x:c>
      <x:c r="G24" s="64" t="n">
        <x:f>B24+2</x:f>
        <x:v>46232</x:v>
      </x:c>
      <x:c r="H24" s="132" t="str">
        <x:v>Not Started</x:v>
      </x:c>
      <x:c r="I24" s="64" t="n">
        <x:f>B24+7</x:f>
        <x:v>46237</x:v>
      </x:c>
      <x:c r="J24" s="132" t="str">
        <x:v>Not Started</x:v>
      </x:c>
      <x:c r="K24" s="64" t="n">
        <x:f>B24+21</x:f>
        <x:v>46251</x:v>
      </x:c>
      <x:c r="L24" s="132" t="str">
        <x:v>Not Started</x:v>
      </x:c>
      <x:c r="M24" s="131"/>
      <x:c r="N24" s="136"/>
    </x:row>
    <x:row r="25" ht="24" customHeight="1">
      <x:c r="A25" s="132" t="str">
        <x:v>B14</x:v>
      </x:c>
      <x:c r="B25" s="64" t="n">
        <x:v>46231</x:v>
      </x:c>
      <x:c r="C25" s="136" t="str">
        <x:v>Lemmings 2–4, one-hot FSM and serial receiver</x:v>
      </x:c>
      <x:c r="D25" s="136" t="str">
        <x:v>159, 160, 161, 162, 163, 164</x:v>
      </x:c>
      <x:c r="E25" s="132" t="n">
        <x:v>6</x:v>
      </x:c>
      <x:c r="F25" s="132" t="str">
        <x:v>Not Started</x:v>
      </x:c>
      <x:c r="G25" s="64" t="n">
        <x:f>B25+2</x:f>
        <x:v>46233</x:v>
      </x:c>
      <x:c r="H25" s="132" t="str">
        <x:v>Not Started</x:v>
      </x:c>
      <x:c r="I25" s="64" t="n">
        <x:f>B25+7</x:f>
        <x:v>46238</x:v>
      </x:c>
      <x:c r="J25" s="132" t="str">
        <x:v>Not Started</x:v>
      </x:c>
      <x:c r="K25" s="64" t="n">
        <x:f>B25+21</x:f>
        <x:v>46252</x:v>
      </x:c>
      <x:c r="L25" s="132" t="str">
        <x:v>Not Started</x:v>
      </x:c>
      <x:c r="M25" s="131"/>
      <x:c r="N25" s="136"/>
    </x:row>
    <x:row r="26" ht="24" customHeight="1">
      <x:c r="A26" s="132" t="str">
        <x:v>B15</x:v>
      </x:c>
      <x:c r="B26" s="64" t="n">
        <x:v>46232</x:v>
      </x:c>
      <x:c r="C26" s="136" t="str">
        <x:v>Serial datapath, parity, PS/2, HDLC and complementers</x:v>
      </x:c>
      <x:c r="D26" s="136" t="str">
        <x:v>165, 166, 167, 168, 169, 170</x:v>
      </x:c>
      <x:c r="E26" s="132" t="n">
        <x:v>6</x:v>
      </x:c>
      <x:c r="F26" s="132" t="str">
        <x:v>Not Started</x:v>
      </x:c>
      <x:c r="G26" s="64" t="n">
        <x:f>B26+2</x:f>
        <x:v>46234</x:v>
      </x:c>
      <x:c r="H26" s="132" t="str">
        <x:v>Not Started</x:v>
      </x:c>
      <x:c r="I26" s="64" t="n">
        <x:f>B26+7</x:f>
        <x:v>46239</x:v>
      </x:c>
      <x:c r="J26" s="132" t="str">
        <x:v>Not Started</x:v>
      </x:c>
      <x:c r="K26" s="64" t="n">
        <x:f>B26+21</x:f>
        <x:v>46253</x:v>
      </x:c>
      <x:c r="L26" s="132" t="str">
        <x:v>Not Started</x:v>
      </x:c>
      <x:c r="M26" s="131"/>
      <x:c r="N26" s="136"/>
    </x:row>
    <x:row r="27" ht="24" customHeight="1">
      <x:c r="A27" s="132" t="str">
        <x:v>B16</x:v>
      </x:c>
      <x:c r="B27" s="64" t="n">
        <x:v>46233</x:v>
      </x:c>
      <x:c r="C27" s="136" t="str">
        <x:v>Advanced FSM equations and arbiter</x:v>
      </x:c>
      <x:c r="D27" s="136" t="str">
        <x:v>171, 172, 173, 174, 177, 178</x:v>
      </x:c>
      <x:c r="E27" s="132" t="n">
        <x:v>6</x:v>
      </x:c>
      <x:c r="F27" s="132" t="str">
        <x:v>Not Started</x:v>
      </x:c>
      <x:c r="G27" s="64" t="n">
        <x:f>B27+2</x:f>
        <x:v>46235</x:v>
      </x:c>
      <x:c r="H27" s="132" t="str">
        <x:v>Not Started</x:v>
      </x:c>
      <x:c r="I27" s="64" t="n">
        <x:f>B27+7</x:f>
        <x:v>46240</x:v>
      </x:c>
      <x:c r="J27" s="132" t="str">
        <x:v>Not Started</x:v>
      </x:c>
      <x:c r="K27" s="64" t="n">
        <x:f>B27+21</x:f>
        <x:v>46254</x:v>
      </x:c>
      <x:c r="L27" s="132" t="str">
        <x:v>Not Started</x:v>
      </x:c>
      <x:c r="M27" s="131"/>
      <x:c r="N27" s="136"/>
    </x:row>
    <x:row r="28" ht="24" customHeight="1">
      <x:c r="A28" s="132" t="str">
        <x:v>B17</x:v>
      </x:c>
      <x:c r="B28" s="64" t="n">
        <x:v>46234</x:v>
      </x:c>
      <x:c r="C28" s="136" t="str">
        <x:v>Cellular automata and Conway's Game of Life</x:v>
      </x:c>
      <x:c r="D28" s="136" t="str">
        <x:v>175, 176, 179</x:v>
      </x:c>
      <x:c r="E28" s="132" t="n">
        <x:v>3</x:v>
      </x:c>
      <x:c r="F28" s="132" t="str">
        <x:v>Not Started</x:v>
      </x:c>
      <x:c r="G28" s="64" t="n">
        <x:f>B28+2</x:f>
        <x:v>46236</x:v>
      </x:c>
      <x:c r="H28" s="132" t="str">
        <x:v>Not Started</x:v>
      </x:c>
      <x:c r="I28" s="64" t="n">
        <x:f>B28+7</x:f>
        <x:v>46241</x:v>
      </x:c>
      <x:c r="J28" s="132" t="str">
        <x:v>Not Started</x:v>
      </x:c>
      <x:c r="K28" s="64" t="n">
        <x:f>B28+21</x:f>
        <x:v>46255</x:v>
      </x:c>
      <x:c r="L28" s="132" t="str">
        <x:v>Not Started</x:v>
      </x:c>
      <x:c r="M28" s="131"/>
      <x:c r="N28" s="136"/>
    </x:row>
  </x:sheetData>
  <x:mergeCells>
    <x:mergeCell ref="A1:N2"/>
    <x:mergeCell ref="A3:N3"/>
    <x:mergeCell ref="A8:N8"/>
  </x:mergeCells>
  <x:conditionalFormatting sqref="F12:F28">
    <x:cfRule type="containsText" dxfId="4" priority="1" operator="containsText" text="Done"/>
    <x:cfRule type="containsText" dxfId="5" priority="2" operator="containsText" text="Needs Review"/>
    <x:cfRule type="containsText" dxfId="6" priority="3" operator="containsText" text="Not Started"/>
    <x:cfRule type="containsText" dxfId="31" priority="14" operator="containsText" text="Done"/>
    <x:cfRule type="containsText" dxfId="32" priority="15" operator="containsText" text="Needs Review"/>
    <x:cfRule type="containsText" dxfId="33" priority="16" operator="containsText" text="Not Started"/>
  </x:conditionalFormatting>
  <x:conditionalFormatting sqref="H12:H28">
    <x:cfRule type="containsText" dxfId="7" priority="4" operator="containsText" text="Done"/>
    <x:cfRule type="containsText" dxfId="8" priority="5" operator="containsText" text="Needs Review"/>
    <x:cfRule type="containsText" dxfId="9" priority="6" operator="containsText" text="Not Started"/>
    <x:cfRule type="containsText" dxfId="34" priority="17" operator="containsText" text="Done"/>
    <x:cfRule type="containsText" dxfId="35" priority="18" operator="containsText" text="Needs Review"/>
    <x:cfRule type="containsText" dxfId="36" priority="19" operator="containsText" text="Not Started"/>
  </x:conditionalFormatting>
  <x:conditionalFormatting sqref="J12:J28">
    <x:cfRule type="containsText" dxfId="10" priority="7" operator="containsText" text="Done"/>
    <x:cfRule type="containsText" dxfId="11" priority="8" operator="containsText" text="Needs Review"/>
    <x:cfRule type="containsText" dxfId="12" priority="9" operator="containsText" text="Not Started"/>
    <x:cfRule type="containsText" dxfId="37" priority="20" operator="containsText" text="Done"/>
    <x:cfRule type="containsText" dxfId="38" priority="21" operator="containsText" text="Needs Review"/>
    <x:cfRule type="containsText" dxfId="39" priority="22" operator="containsText" text="Not Started"/>
  </x:conditionalFormatting>
  <x:conditionalFormatting sqref="L12:L28">
    <x:cfRule type="containsText" dxfId="13" priority="10" operator="containsText" text="Done"/>
    <x:cfRule type="containsText" dxfId="14" priority="11" operator="containsText" text="Needs Review"/>
    <x:cfRule type="containsText" dxfId="15" priority="12" operator="containsText" text="Not Started"/>
    <x:cfRule type="containsText" dxfId="40" priority="23" operator="containsText" text="Done"/>
    <x:cfRule type="containsText" dxfId="41" priority="24" operator="containsText" text="Needs Review"/>
    <x:cfRule type="containsText" dxfId="42" priority="25" operator="containsText" text="Not Started"/>
  </x:conditionalFormatting>
  <x:conditionalFormatting sqref="M12:M28">
    <x:cfRule type="colorScale" priority="13">
      <x:colorScale>
        <x:cfvo type="min"/>
        <x:cfvo type="percentile" val="50"/>
        <x:cfvo type="max"/>
        <x:color rgb="FFF4CCCC"/>
        <x:color rgb="FFFFF2CC"/>
        <x:color rgb="FFC6EFCE"/>
      </x:colorScale>
    </x:cfRule>
    <x:cfRule type="colorScale" priority="26">
      <x:colorScale>
        <x:cfvo type="min"/>
        <x:cfvo type="percentile" val="50"/>
        <x:cfvo type="max"/>
        <x:color rgb="FFF4CCCC"/>
        <x:color rgb="FFFFF2CC"/>
        <x:color rgb="FFC6EFCE"/>
      </x:colorScale>
    </x:cfRule>
  </x:conditionalFormatting>
  <x:dataValidations count="5">
    <x:dataValidation type="whole" operator="between" sqref="M12:M28">
      <x:formula1>0</x:formula1>
      <x:formula2>100</x:formula2>
    </x:dataValidation>
    <x:dataValidation type="list" sqref="F12:F28">
      <x:formula1>"Not Started,Done,Needs Review"</x:formula1>
    </x:dataValidation>
    <x:dataValidation type="list" sqref="H12:H28">
      <x:formula1>"Not Started,Done,Needs Review"</x:formula1>
    </x:dataValidation>
    <x:dataValidation type="list" sqref="J12:J28">
      <x:formula1>"Not Started,Done,Needs Review"</x:formula1>
    </x:dataValidation>
    <x:dataValidation type="list" sqref="L12:L28">
      <x:formula1>"Not Started,Done,Needs Review"</x:formula1>
    </x:dataValidation>
  </x:dataValidations>
  <x:pageMargins left="0.7" right="0.7" top="0.75" bottom="0.75" header="0.3" footer="0.3"/>
  <x:tableParts count="2">
    <x:tablePart xmlns:r="http://schemas.openxmlformats.org/officeDocument/2006/relationships" r:id="R4cfc9a58669c47a3"/>
    <x:tablePart xmlns:r="http://schemas.openxmlformats.org/officeDocument/2006/relationships" r:id="Rb75ad98349e340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559999942779541" hidden="0" customWidth="1"/>
    <x:col min="2" max="2" width="7.559999942779541" hidden="0" customWidth="1"/>
    <x:col min="3" max="3" width="26.110000610351562" hidden="0" customWidth="1"/>
    <x:col min="4" max="4" width="24.440000534057617" hidden="0" customWidth="1"/>
    <x:col min="5" max="5" width="17.219999313354492" hidden="0" customWidth="1"/>
    <x:col min="6" max="6" width="6.670000076293945" hidden="0" customWidth="1"/>
    <x:col min="7" max="7" width="9.4399995803833" hidden="0" customWidth="1"/>
    <x:col min="9" max="9" width="9.4399995803833" hidden="0" customWidth="1"/>
    <x:col min="11" max="11" width="9.4399995803833" hidden="0" customWidth="1"/>
    <x:col min="13" max="13" width="9.4399995803833" hidden="0" customWidth="1"/>
    <x:col min="8" max="8" width="10.220000267028809" hidden="0" customWidth="1"/>
    <x:col min="10" max="10" width="10.220000267028809" hidden="0" customWidth="1"/>
    <x:col min="12" max="12" width="10.220000267028809" hidden="0" customWidth="1"/>
    <x:col min="14" max="14" width="10.220000267028809" hidden="0" customWidth="1"/>
    <x:col min="15" max="15" width="10" hidden="0" customWidth="1"/>
    <x:col min="16" max="16" width="24.440000534057617" hidden="0" customWidth="1"/>
    <x:col min="17" max="17" width="24.440000534057617" hidden="0" customWidth="1"/>
  </x:cols>
  <x:sheetData>
    <x:row r="1" ht="22.5" customHeight="1">
      <x:c r="A1" s="137" t="str">
        <x:v>HDLBits 178-Problem Revision Ledger</x:v>
      </x:c>
      <x:c r="B1" s="137" t="str">
        <x:v>HDLBits 178-Problem Revision Ledger</x:v>
      </x:c>
      <x:c r="C1" s="137" t="str">
        <x:v>HDLBits 178-Problem Revision Ledger</x:v>
      </x:c>
      <x:c r="D1" s="137" t="str">
        <x:v>HDLBits 178-Problem Revision Ledger</x:v>
      </x:c>
      <x:c r="E1" s="137" t="str">
        <x:v>HDLBits 178-Problem Revision Ledger</x:v>
      </x:c>
      <x:c r="F1" s="137" t="str">
        <x:v>HDLBits 178-Problem Revision Ledger</x:v>
      </x:c>
      <x:c r="G1" s="137" t="str">
        <x:v>HDLBits 178-Problem Revision Ledger</x:v>
      </x:c>
      <x:c r="H1" s="137" t="str">
        <x:v>HDLBits 178-Problem Revision Ledger</x:v>
      </x:c>
      <x:c r="I1" s="137" t="str">
        <x:v>HDLBits 178-Problem Revision Ledger</x:v>
      </x:c>
      <x:c r="J1" s="137" t="str">
        <x:v>HDLBits 178-Problem Revision Ledger</x:v>
      </x:c>
      <x:c r="K1" s="137" t="str">
        <x:v>HDLBits 178-Problem Revision Ledger</x:v>
      </x:c>
      <x:c r="L1" s="137" t="str">
        <x:v>HDLBits 178-Problem Revision Ledger</x:v>
      </x:c>
      <x:c r="M1" s="137" t="str">
        <x:v>HDLBits 178-Problem Revision Ledger</x:v>
      </x:c>
      <x:c r="N1" s="137" t="str">
        <x:v>HDLBits 178-Problem Revision Ledger</x:v>
      </x:c>
      <x:c r="O1" s="137" t="str">
        <x:v>HDLBits 178-Problem Revision Ledger</x:v>
      </x:c>
      <x:c r="P1" s="137" t="str">
        <x:v>HDLBits 178-Problem Revision Ledger</x:v>
      </x:c>
      <x:c r="Q1" s="137" t="str">
        <x:v>HDLBits 178-Problem Revision Ledger</x:v>
      </x:c>
    </x:row>
    <x:row r="2" ht="22.5" customHeight="1">
      <x:c r="A2" s="137" t="str">
        <x:v>HDLBits 178-Problem Revision Ledger</x:v>
      </x:c>
      <x:c r="B2" s="137" t="str">
        <x:v>HDLBits 178-Problem Revision Ledger</x:v>
      </x:c>
      <x:c r="C2" s="137" t="str">
        <x:v>HDLBits 178-Problem Revision Ledger</x:v>
      </x:c>
      <x:c r="D2" s="137" t="str">
        <x:v>HDLBits 178-Problem Revision Ledger</x:v>
      </x:c>
      <x:c r="E2" s="137" t="str">
        <x:v>HDLBits 178-Problem Revision Ledger</x:v>
      </x:c>
      <x:c r="F2" s="137" t="str">
        <x:v>HDLBits 178-Problem Revision Ledger</x:v>
      </x:c>
      <x:c r="G2" s="137" t="str">
        <x:v>HDLBits 178-Problem Revision Ledger</x:v>
      </x:c>
      <x:c r="H2" s="137" t="str">
        <x:v>HDLBits 178-Problem Revision Ledger</x:v>
      </x:c>
      <x:c r="I2" s="137" t="str">
        <x:v>HDLBits 178-Problem Revision Ledger</x:v>
      </x:c>
      <x:c r="J2" s="137" t="str">
        <x:v>HDLBits 178-Problem Revision Ledger</x:v>
      </x:c>
      <x:c r="K2" s="137" t="str">
        <x:v>HDLBits 178-Problem Revision Ledger</x:v>
      </x:c>
      <x:c r="L2" s="137" t="str">
        <x:v>HDLBits 178-Problem Revision Ledger</x:v>
      </x:c>
      <x:c r="M2" s="137" t="str">
        <x:v>HDLBits 178-Problem Revision Ledger</x:v>
      </x:c>
      <x:c r="N2" s="137" t="str">
        <x:v>HDLBits 178-Problem Revision Ledger</x:v>
      </x:c>
      <x:c r="O2" s="137" t="str">
        <x:v>HDLBits 178-Problem Revision Ledger</x:v>
      </x:c>
      <x:c r="P2" s="137" t="str">
        <x:v>HDLBits 178-Problem Revision Ledger</x:v>
      </x:c>
      <x:c r="Q2" s="137" t="str">
        <x:v>HDLBits 178-Problem Revision Ledger</x:v>
      </x:c>
    </x:row>
    <x:row r="3" ht="21" customHeight="1">
      <x:c r="A3" s="138" t="str">
        <x:v>Every archived problem appears exactly once. Dates are linked to Revision Plan; status, confidence, mistakes, and next actions remain editable.</x:v>
      </x:c>
      <x:c r="B3" s="138" t="str">
        <x:v>Every archived problem appears exactly once. Dates are linked to Revision Plan; status, confidence, mistakes, and next actions remain editable.</x:v>
      </x:c>
      <x:c r="C3" s="138" t="str">
        <x:v>Every archived problem appears exactly once. Dates are linked to Revision Plan; status, confidence, mistakes, and next actions remain editable.</x:v>
      </x:c>
      <x:c r="D3" s="138" t="str">
        <x:v>Every archived problem appears exactly once. Dates are linked to Revision Plan; status, confidence, mistakes, and next actions remain editable.</x:v>
      </x:c>
      <x:c r="E3" s="138" t="str">
        <x:v>Every archived problem appears exactly once. Dates are linked to Revision Plan; status, confidence, mistakes, and next actions remain editable.</x:v>
      </x:c>
      <x:c r="F3" s="138" t="str">
        <x:v>Every archived problem appears exactly once. Dates are linked to Revision Plan; status, confidence, mistakes, and next actions remain editable.</x:v>
      </x:c>
      <x:c r="G3" s="138" t="str">
        <x:v>Every archived problem appears exactly once. Dates are linked to Revision Plan; status, confidence, mistakes, and next actions remain editable.</x:v>
      </x:c>
      <x:c r="H3" s="138" t="str">
        <x:v>Every archived problem appears exactly once. Dates are linked to Revision Plan; status, confidence, mistakes, and next actions remain editable.</x:v>
      </x:c>
      <x:c r="I3" s="138" t="str">
        <x:v>Every archived problem appears exactly once. Dates are linked to Revision Plan; status, confidence, mistakes, and next actions remain editable.</x:v>
      </x:c>
      <x:c r="J3" s="138" t="str">
        <x:v>Every archived problem appears exactly once. Dates are linked to Revision Plan; status, confidence, mistakes, and next actions remain editable.</x:v>
      </x:c>
      <x:c r="K3" s="138" t="str">
        <x:v>Every archived problem appears exactly once. Dates are linked to Revision Plan; status, confidence, mistakes, and next actions remain editable.</x:v>
      </x:c>
      <x:c r="L3" s="138" t="str">
        <x:v>Every archived problem appears exactly once. Dates are linked to Revision Plan; status, confidence, mistakes, and next actions remain editable.</x:v>
      </x:c>
      <x:c r="M3" s="138" t="str">
        <x:v>Every archived problem appears exactly once. Dates are linked to Revision Plan; status, confidence, mistakes, and next actions remain editable.</x:v>
      </x:c>
      <x:c r="N3" s="138" t="str">
        <x:v>Every archived problem appears exactly once. Dates are linked to Revision Plan; status, confidence, mistakes, and next actions remain editable.</x:v>
      </x:c>
      <x:c r="O3" s="138" t="str">
        <x:v>Every archived problem appears exactly once. Dates are linked to Revision Plan; status, confidence, mistakes, and next actions remain editable.</x:v>
      </x:c>
      <x:c r="P3" s="138" t="str">
        <x:v>Every archived problem appears exactly once. Dates are linked to Revision Plan; status, confidence, mistakes, and next actions remain editable.</x:v>
      </x:c>
      <x:c r="Q3" s="138" t="str">
        <x:v>Every archived problem appears exactly once. Dates are linked to Revision Plan; status, confidence, mistakes, and next actions remain editable.</x:v>
      </x:c>
    </x:row>
    <x:row r="5">
      <x:c r="A5" s="139" t="str">
        <x:v>Problems</x:v>
      </x:c>
      <x:c r="B5" s="140"/>
      <x:c r="C5" s="139" t="str">
        <x:v>First pass done</x:v>
      </x:c>
      <x:c r="D5" s="140"/>
      <x:c r="E5" s="139" t="str">
        <x:v>Needs review marks</x:v>
      </x:c>
      <x:c r="F5" s="140"/>
      <x:c r="G5" s="139" t="str">
        <x:v>Four rounds complete</x:v>
      </x:c>
      <x:c r="H5" s="140"/>
      <x:c r="I5" s="139" t="str">
        <x:v>Full coverage</x:v>
      </x:c>
      <x:c r="J5" s="140"/>
    </x:row>
    <x:row r="6">
      <x:c r="A6" s="141" t="n">
        <x:f>COUNTA(D8:D185)</x:f>
        <x:v>178</x:v>
      </x:c>
      <x:c r="B6" s="142"/>
      <x:c r="C6" s="141" t="n">
        <x:f>COUNTIF(H8:H185,"Done")</x:f>
        <x:v>0</x:v>
      </x:c>
      <x:c r="D6" s="142"/>
      <x:c r="E6" s="141" t="n">
        <x:f>COUNTIF(H8:H185,"Needs Review")+COUNTIF(J8:J185,"Needs Review")+COUNTIF(L8:L185,"Needs Review")+COUNTIF(N8:N185,"Needs Review")</x:f>
        <x:v>0</x:v>
      </x:c>
      <x:c r="F6" s="142"/>
      <x:c r="G6" s="141" t="n">
        <x:f>COUNTIFS(H8:H185,"Done",J8:J185,"Done",L8:L185,"Done",N8:N185,"Done")</x:f>
        <x:v>0</x:v>
      </x:c>
      <x:c r="H6" s="142"/>
      <x:c r="I6" s="143" t="n">
        <x:f>G6/A6</x:f>
        <x:v>0</x:v>
      </x:c>
      <x:c r="J6" s="142"/>
    </x:row>
    <x:row r="7">
      <x:c r="A7" s="147" t="str">
        <x:v>Website #</x:v>
      </x:c>
      <x:c r="B7" s="147" t="str">
        <x:v>Archive #</x:v>
      </x:c>
      <x:c r="C7" s="147" t="str">
        <x:v>Topic</x:v>
      </x:c>
      <x:c r="D7" s="147" t="str">
        <x:v>Problem</x:v>
      </x:c>
      <x:c r="E7" s="147" t="str">
        <x:v>HDLBits ID</x:v>
      </x:c>
      <x:c r="F7" s="147" t="str">
        <x:v>Batch</x:v>
      </x:c>
      <x:c r="G7" s="147" t="str">
        <x:v>First date</x:v>
      </x:c>
      <x:c r="H7" s="147" t="str">
        <x:v>First status</x:v>
      </x:c>
      <x:c r="I7" s="147" t="str">
        <x:v>+2 date</x:v>
      </x:c>
      <x:c r="J7" s="147" t="str">
        <x:v>+2 status</x:v>
      </x:c>
      <x:c r="K7" s="147" t="str">
        <x:v>+7 date</x:v>
      </x:c>
      <x:c r="L7" s="147" t="str">
        <x:v>+7 status</x:v>
      </x:c>
      <x:c r="M7" s="147" t="str">
        <x:v>+21 date</x:v>
      </x:c>
      <x:c r="N7" s="147" t="str">
        <x:v>+21 status</x:v>
      </x:c>
      <x:c r="O7" s="147" t="str">
        <x:v>Confidence 1–5</x:v>
      </x:c>
      <x:c r="P7" s="147" t="str">
        <x:v>Last mistake</x:v>
      </x:c>
      <x:c r="Q7" s="147" t="str">
        <x:v>Next action</x:v>
      </x:c>
    </x:row>
    <x:row r="8" ht="22.5" customHeight="1">
      <x:c r="A8" s="132" t="n">
        <x:v>1</x:v>
      </x:c>
      <x:c r="B8" s="132" t="n">
        <x:v>151</x:v>
      </x:c>
      <x:c r="C8" s="136" t="str">
        <x:v>Getting Started</x:v>
      </x:c>
      <x:c r="D8" s="136" t="str">
        <x:v>Getting Started</x:v>
      </x:c>
      <x:c r="E8" s="132" t="str">
        <x:v>step_one</x:v>
      </x:c>
      <x:c r="F8" s="132" t="str">
        <x:v>B01</x:v>
      </x:c>
      <x:c r="G8" s="64" t="n">
        <x:f>INDEX('Revision Plan'!$B$12:$B$28,MATCH(F8,'Revision Plan'!$A$12:$A$28,0))</x:f>
        <x:v>46218</x:v>
      </x:c>
      <x:c r="H8" s="132" t="str">
        <x:v>Not Started</x:v>
      </x:c>
      <x:c r="I8" s="64" t="n">
        <x:f>INDEX('Revision Plan'!$G$12:$G$28,MATCH(F8,'Revision Plan'!$A$12:$A$28,0))</x:f>
        <x:v>46220</x:v>
      </x:c>
      <x:c r="J8" s="132" t="str">
        <x:v>Not Started</x:v>
      </x:c>
      <x:c r="K8" s="64" t="n">
        <x:f>INDEX('Revision Plan'!$I$12:$I$28,MATCH(F8,'Revision Plan'!$A$12:$A$28,0))</x:f>
        <x:v>46225</x:v>
      </x:c>
      <x:c r="L8" s="132" t="str">
        <x:v>Not Started</x:v>
      </x:c>
      <x:c r="M8" s="64" t="n">
        <x:f>INDEX('Revision Plan'!$K$12:$K$28,MATCH(F8,'Revision Plan'!$A$12:$A$28,0))</x:f>
        <x:v>46239</x:v>
      </x:c>
      <x:c r="N8" s="132" t="str">
        <x:v>Not Started</x:v>
      </x:c>
      <x:c r="O8" s="132"/>
      <x:c r="P8" s="136"/>
      <x:c r="Q8" s="136"/>
    </x:row>
    <x:row r="9" ht="22.5" customHeight="1">
      <x:c r="A9" s="132" t="n">
        <x:v>2</x:v>
      </x:c>
      <x:c r="B9" s="132" t="n">
        <x:v>152</x:v>
      </x:c>
      <x:c r="C9" s="136" t="str">
        <x:v>Getting Started</x:v>
      </x:c>
      <x:c r="D9" s="136" t="str">
        <x:v>Output Zero</x:v>
      </x:c>
      <x:c r="E9" s="132" t="str">
        <x:v>zero</x:v>
      </x:c>
      <x:c r="F9" s="132" t="str">
        <x:v>B01</x:v>
      </x:c>
      <x:c r="G9" s="64" t="n">
        <x:f>INDEX('Revision Plan'!$B$12:$B$28,MATCH(F9,'Revision Plan'!$A$12:$A$28,0))</x:f>
        <x:v>46218</x:v>
      </x:c>
      <x:c r="H9" s="132" t="str">
        <x:v>Not Started</x:v>
      </x:c>
      <x:c r="I9" s="64" t="n">
        <x:f>INDEX('Revision Plan'!$G$12:$G$28,MATCH(F9,'Revision Plan'!$A$12:$A$28,0))</x:f>
        <x:v>46220</x:v>
      </x:c>
      <x:c r="J9" s="132" t="str">
        <x:v>Not Started</x:v>
      </x:c>
      <x:c r="K9" s="64" t="n">
        <x:f>INDEX('Revision Plan'!$I$12:$I$28,MATCH(F9,'Revision Plan'!$A$12:$A$28,0))</x:f>
        <x:v>46225</x:v>
      </x:c>
      <x:c r="L9" s="132" t="str">
        <x:v>Not Started</x:v>
      </x:c>
      <x:c r="M9" s="64" t="n">
        <x:f>INDEX('Revision Plan'!$K$12:$K$28,MATCH(F9,'Revision Plan'!$A$12:$A$28,0))</x:f>
        <x:v>46239</x:v>
      </x:c>
      <x:c r="N9" s="132" t="str">
        <x:v>Not Started</x:v>
      </x:c>
      <x:c r="O9" s="132"/>
      <x:c r="P9" s="136"/>
      <x:c r="Q9" s="136"/>
    </x:row>
    <x:row r="10" ht="22.5" customHeight="1">
      <x:c r="A10" s="132" t="n">
        <x:v>3</x:v>
      </x:c>
      <x:c r="B10" s="132" t="n">
        <x:v>1</x:v>
      </x:c>
      <x:c r="C10" s="136" t="str">
        <x:v>Verilog Language → Basics</x:v>
      </x:c>
      <x:c r="D10" s="136" t="str">
        <x:v>Simple wire</x:v>
      </x:c>
      <x:c r="E10" s="132" t="str">
        <x:v>wire</x:v>
      </x:c>
      <x:c r="F10" s="132" t="str">
        <x:v>B01</x:v>
      </x:c>
      <x:c r="G10" s="64" t="n">
        <x:f>INDEX('Revision Plan'!$B$12:$B$28,MATCH(F10,'Revision Plan'!$A$12:$A$28,0))</x:f>
        <x:v>46218</x:v>
      </x:c>
      <x:c r="H10" s="132" t="str">
        <x:v>Not Started</x:v>
      </x:c>
      <x:c r="I10" s="64" t="n">
        <x:f>INDEX('Revision Plan'!$G$12:$G$28,MATCH(F10,'Revision Plan'!$A$12:$A$28,0))</x:f>
        <x:v>46220</x:v>
      </x:c>
      <x:c r="J10" s="132" t="str">
        <x:v>Not Started</x:v>
      </x:c>
      <x:c r="K10" s="64" t="n">
        <x:f>INDEX('Revision Plan'!$I$12:$I$28,MATCH(F10,'Revision Plan'!$A$12:$A$28,0))</x:f>
        <x:v>46225</x:v>
      </x:c>
      <x:c r="L10" s="132" t="str">
        <x:v>Not Started</x:v>
      </x:c>
      <x:c r="M10" s="64" t="n">
        <x:f>INDEX('Revision Plan'!$K$12:$K$28,MATCH(F10,'Revision Plan'!$A$12:$A$28,0))</x:f>
        <x:v>46239</x:v>
      </x:c>
      <x:c r="N10" s="132" t="str">
        <x:v>Not Started</x:v>
      </x:c>
      <x:c r="O10" s="132"/>
      <x:c r="P10" s="136"/>
      <x:c r="Q10" s="136"/>
    </x:row>
    <x:row r="11" ht="22.5" customHeight="1">
      <x:c r="A11" s="132" t="n">
        <x:v>4</x:v>
      </x:c>
      <x:c r="B11" s="132" t="n">
        <x:v>2</x:v>
      </x:c>
      <x:c r="C11" s="136" t="str">
        <x:v>Verilog Language → Basics</x:v>
      </x:c>
      <x:c r="D11" s="136" t="str">
        <x:v>Four wires</x:v>
      </x:c>
      <x:c r="E11" s="132" t="str">
        <x:v>wire4</x:v>
      </x:c>
      <x:c r="F11" s="132" t="str">
        <x:v>B01</x:v>
      </x:c>
      <x:c r="G11" s="64" t="n">
        <x:f>INDEX('Revision Plan'!$B$12:$B$28,MATCH(F11,'Revision Plan'!$A$12:$A$28,0))</x:f>
        <x:v>46218</x:v>
      </x:c>
      <x:c r="H11" s="132" t="str">
        <x:v>Not Started</x:v>
      </x:c>
      <x:c r="I11" s="64" t="n">
        <x:f>INDEX('Revision Plan'!$G$12:$G$28,MATCH(F11,'Revision Plan'!$A$12:$A$28,0))</x:f>
        <x:v>46220</x:v>
      </x:c>
      <x:c r="J11" s="132" t="str">
        <x:v>Not Started</x:v>
      </x:c>
      <x:c r="K11" s="64" t="n">
        <x:f>INDEX('Revision Plan'!$I$12:$I$28,MATCH(F11,'Revision Plan'!$A$12:$A$28,0))</x:f>
        <x:v>46225</x:v>
      </x:c>
      <x:c r="L11" s="132" t="str">
        <x:v>Not Started</x:v>
      </x:c>
      <x:c r="M11" s="64" t="n">
        <x:f>INDEX('Revision Plan'!$K$12:$K$28,MATCH(F11,'Revision Plan'!$A$12:$A$28,0))</x:f>
        <x:v>46239</x:v>
      </x:c>
      <x:c r="N11" s="132" t="str">
        <x:v>Not Started</x:v>
      </x:c>
      <x:c r="O11" s="132"/>
      <x:c r="P11" s="136"/>
      <x:c r="Q11" s="136"/>
    </x:row>
    <x:row r="12" ht="22.5" customHeight="1">
      <x:c r="A12" s="132" t="n">
        <x:v>5</x:v>
      </x:c>
      <x:c r="B12" s="132" t="n">
        <x:v>3</x:v>
      </x:c>
      <x:c r="C12" s="136" t="str">
        <x:v>Verilog Language → Basics</x:v>
      </x:c>
      <x:c r="D12" s="136" t="str">
        <x:v>Inverter</x:v>
      </x:c>
      <x:c r="E12" s="132" t="str">
        <x:v>notgate</x:v>
      </x:c>
      <x:c r="F12" s="132" t="str">
        <x:v>B01</x:v>
      </x:c>
      <x:c r="G12" s="64" t="n">
        <x:f>INDEX('Revision Plan'!$B$12:$B$28,MATCH(F12,'Revision Plan'!$A$12:$A$28,0))</x:f>
        <x:v>46218</x:v>
      </x:c>
      <x:c r="H12" s="132" t="str">
        <x:v>Not Started</x:v>
      </x:c>
      <x:c r="I12" s="64" t="n">
        <x:f>INDEX('Revision Plan'!$G$12:$G$28,MATCH(F12,'Revision Plan'!$A$12:$A$28,0))</x:f>
        <x:v>46220</x:v>
      </x:c>
      <x:c r="J12" s="132" t="str">
        <x:v>Not Started</x:v>
      </x:c>
      <x:c r="K12" s="64" t="n">
        <x:f>INDEX('Revision Plan'!$I$12:$I$28,MATCH(F12,'Revision Plan'!$A$12:$A$28,0))</x:f>
        <x:v>46225</x:v>
      </x:c>
      <x:c r="L12" s="132" t="str">
        <x:v>Not Started</x:v>
      </x:c>
      <x:c r="M12" s="64" t="n">
        <x:f>INDEX('Revision Plan'!$K$12:$K$28,MATCH(F12,'Revision Plan'!$A$12:$A$28,0))</x:f>
        <x:v>46239</x:v>
      </x:c>
      <x:c r="N12" s="132" t="str">
        <x:v>Not Started</x:v>
      </x:c>
      <x:c r="O12" s="132"/>
      <x:c r="P12" s="136"/>
      <x:c r="Q12" s="136"/>
    </x:row>
    <x:row r="13" ht="22.5" customHeight="1">
      <x:c r="A13" s="132" t="n">
        <x:v>6</x:v>
      </x:c>
      <x:c r="B13" s="132" t="n">
        <x:v>4</x:v>
      </x:c>
      <x:c r="C13" s="136" t="str">
        <x:v>Verilog Language → Basics</x:v>
      </x:c>
      <x:c r="D13" s="136" t="str">
        <x:v>AND gate</x:v>
      </x:c>
      <x:c r="E13" s="132" t="str">
        <x:v>andgate</x:v>
      </x:c>
      <x:c r="F13" s="132" t="str">
        <x:v>B01</x:v>
      </x:c>
      <x:c r="G13" s="64" t="n">
        <x:f>INDEX('Revision Plan'!$B$12:$B$28,MATCH(F13,'Revision Plan'!$A$12:$A$28,0))</x:f>
        <x:v>46218</x:v>
      </x:c>
      <x:c r="H13" s="132" t="str">
        <x:v>Not Started</x:v>
      </x:c>
      <x:c r="I13" s="64" t="n">
        <x:f>INDEX('Revision Plan'!$G$12:$G$28,MATCH(F13,'Revision Plan'!$A$12:$A$28,0))</x:f>
        <x:v>46220</x:v>
      </x:c>
      <x:c r="J13" s="132" t="str">
        <x:v>Not Started</x:v>
      </x:c>
      <x:c r="K13" s="64" t="n">
        <x:f>INDEX('Revision Plan'!$I$12:$I$28,MATCH(F13,'Revision Plan'!$A$12:$A$28,0))</x:f>
        <x:v>46225</x:v>
      </x:c>
      <x:c r="L13" s="132" t="str">
        <x:v>Not Started</x:v>
      </x:c>
      <x:c r="M13" s="64" t="n">
        <x:f>INDEX('Revision Plan'!$K$12:$K$28,MATCH(F13,'Revision Plan'!$A$12:$A$28,0))</x:f>
        <x:v>46239</x:v>
      </x:c>
      <x:c r="N13" s="132" t="str">
        <x:v>Not Started</x:v>
      </x:c>
      <x:c r="O13" s="132"/>
      <x:c r="P13" s="136"/>
      <x:c r="Q13" s="136"/>
    </x:row>
    <x:row r="14" ht="22.5" customHeight="1">
      <x:c r="A14" s="132" t="n">
        <x:v>7</x:v>
      </x:c>
      <x:c r="B14" s="132" t="n">
        <x:v>5</x:v>
      </x:c>
      <x:c r="C14" s="136" t="str">
        <x:v>Verilog Language → Basics</x:v>
      </x:c>
      <x:c r="D14" s="136" t="str">
        <x:v>NOR gate</x:v>
      </x:c>
      <x:c r="E14" s="132" t="str">
        <x:v>norgate</x:v>
      </x:c>
      <x:c r="F14" s="132" t="str">
        <x:v>B01</x:v>
      </x:c>
      <x:c r="G14" s="64" t="n">
        <x:f>INDEX('Revision Plan'!$B$12:$B$28,MATCH(F14,'Revision Plan'!$A$12:$A$28,0))</x:f>
        <x:v>46218</x:v>
      </x:c>
      <x:c r="H14" s="132" t="str">
        <x:v>Not Started</x:v>
      </x:c>
      <x:c r="I14" s="64" t="n">
        <x:f>INDEX('Revision Plan'!$G$12:$G$28,MATCH(F14,'Revision Plan'!$A$12:$A$28,0))</x:f>
        <x:v>46220</x:v>
      </x:c>
      <x:c r="J14" s="132" t="str">
        <x:v>Not Started</x:v>
      </x:c>
      <x:c r="K14" s="64" t="n">
        <x:f>INDEX('Revision Plan'!$I$12:$I$28,MATCH(F14,'Revision Plan'!$A$12:$A$28,0))</x:f>
        <x:v>46225</x:v>
      </x:c>
      <x:c r="L14" s="132" t="str">
        <x:v>Not Started</x:v>
      </x:c>
      <x:c r="M14" s="64" t="n">
        <x:f>INDEX('Revision Plan'!$K$12:$K$28,MATCH(F14,'Revision Plan'!$A$12:$A$28,0))</x:f>
        <x:v>46239</x:v>
      </x:c>
      <x:c r="N14" s="132" t="str">
        <x:v>Not Started</x:v>
      </x:c>
      <x:c r="O14" s="132"/>
      <x:c r="P14" s="136"/>
      <x:c r="Q14" s="136"/>
    </x:row>
    <x:row r="15" ht="22.5" customHeight="1">
      <x:c r="A15" s="132" t="n">
        <x:v>8</x:v>
      </x:c>
      <x:c r="B15" s="132" t="n">
        <x:v>6</x:v>
      </x:c>
      <x:c r="C15" s="136" t="str">
        <x:v>Verilog Language → Basics</x:v>
      </x:c>
      <x:c r="D15" s="136" t="str">
        <x:v>XNOR gate</x:v>
      </x:c>
      <x:c r="E15" s="132" t="str">
        <x:v>xnorgate</x:v>
      </x:c>
      <x:c r="F15" s="132" t="str">
        <x:v>B01</x:v>
      </x:c>
      <x:c r="G15" s="64" t="n">
        <x:f>INDEX('Revision Plan'!$B$12:$B$28,MATCH(F15,'Revision Plan'!$A$12:$A$28,0))</x:f>
        <x:v>46218</x:v>
      </x:c>
      <x:c r="H15" s="132" t="str">
        <x:v>Not Started</x:v>
      </x:c>
      <x:c r="I15" s="64" t="n">
        <x:f>INDEX('Revision Plan'!$G$12:$G$28,MATCH(F15,'Revision Plan'!$A$12:$A$28,0))</x:f>
        <x:v>46220</x:v>
      </x:c>
      <x:c r="J15" s="132" t="str">
        <x:v>Not Started</x:v>
      </x:c>
      <x:c r="K15" s="64" t="n">
        <x:f>INDEX('Revision Plan'!$I$12:$I$28,MATCH(F15,'Revision Plan'!$A$12:$A$28,0))</x:f>
        <x:v>46225</x:v>
      </x:c>
      <x:c r="L15" s="132" t="str">
        <x:v>Not Started</x:v>
      </x:c>
      <x:c r="M15" s="64" t="n">
        <x:f>INDEX('Revision Plan'!$K$12:$K$28,MATCH(F15,'Revision Plan'!$A$12:$A$28,0))</x:f>
        <x:v>46239</x:v>
      </x:c>
      <x:c r="N15" s="132" t="str">
        <x:v>Not Started</x:v>
      </x:c>
      <x:c r="O15" s="132"/>
      <x:c r="P15" s="136"/>
      <x:c r="Q15" s="136"/>
    </x:row>
    <x:row r="16" ht="22.5" customHeight="1">
      <x:c r="A16" s="132" t="n">
        <x:v>9</x:v>
      </x:c>
      <x:c r="B16" s="132" t="n">
        <x:v>7</x:v>
      </x:c>
      <x:c r="C16" s="136" t="str">
        <x:v>Verilog Language → Basics</x:v>
      </x:c>
      <x:c r="D16" s="136" t="str">
        <x:v>Declaring wires</x:v>
      </x:c>
      <x:c r="E16" s="132" t="str">
        <x:v>wire_decl</x:v>
      </x:c>
      <x:c r="F16" s="132" t="str">
        <x:v>B01</x:v>
      </x:c>
      <x:c r="G16" s="64" t="n">
        <x:f>INDEX('Revision Plan'!$B$12:$B$28,MATCH(F16,'Revision Plan'!$A$12:$A$28,0))</x:f>
        <x:v>46218</x:v>
      </x:c>
      <x:c r="H16" s="132" t="str">
        <x:v>Not Started</x:v>
      </x:c>
      <x:c r="I16" s="64" t="n">
        <x:f>INDEX('Revision Plan'!$G$12:$G$28,MATCH(F16,'Revision Plan'!$A$12:$A$28,0))</x:f>
        <x:v>46220</x:v>
      </x:c>
      <x:c r="J16" s="132" t="str">
        <x:v>Not Started</x:v>
      </x:c>
      <x:c r="K16" s="64" t="n">
        <x:f>INDEX('Revision Plan'!$I$12:$I$28,MATCH(F16,'Revision Plan'!$A$12:$A$28,0))</x:f>
        <x:v>46225</x:v>
      </x:c>
      <x:c r="L16" s="132" t="str">
        <x:v>Not Started</x:v>
      </x:c>
      <x:c r="M16" s="64" t="n">
        <x:f>INDEX('Revision Plan'!$K$12:$K$28,MATCH(F16,'Revision Plan'!$A$12:$A$28,0))</x:f>
        <x:v>46239</x:v>
      </x:c>
      <x:c r="N16" s="132" t="str">
        <x:v>Not Started</x:v>
      </x:c>
      <x:c r="O16" s="132"/>
      <x:c r="P16" s="136"/>
      <x:c r="Q16" s="136"/>
    </x:row>
    <x:row r="17" ht="22.5" customHeight="1">
      <x:c r="A17" s="132" t="n">
        <x:v>10</x:v>
      </x:c>
      <x:c r="B17" s="132" t="n">
        <x:v>8</x:v>
      </x:c>
      <x:c r="C17" s="136" t="str">
        <x:v>Verilog Language → Basics</x:v>
      </x:c>
      <x:c r="D17" s="136" t="str">
        <x:v>7458 chip</x:v>
      </x:c>
      <x:c r="E17" s="132" t="str">
        <x:v>7458</x:v>
      </x:c>
      <x:c r="F17" s="132" t="str">
        <x:v>B01</x:v>
      </x:c>
      <x:c r="G17" s="64" t="n">
        <x:f>INDEX('Revision Plan'!$B$12:$B$28,MATCH(F17,'Revision Plan'!$A$12:$A$28,0))</x:f>
        <x:v>46218</x:v>
      </x:c>
      <x:c r="H17" s="132" t="str">
        <x:v>Not Started</x:v>
      </x:c>
      <x:c r="I17" s="64" t="n">
        <x:f>INDEX('Revision Plan'!$G$12:$G$28,MATCH(F17,'Revision Plan'!$A$12:$A$28,0))</x:f>
        <x:v>46220</x:v>
      </x:c>
      <x:c r="J17" s="132" t="str">
        <x:v>Not Started</x:v>
      </x:c>
      <x:c r="K17" s="64" t="n">
        <x:f>INDEX('Revision Plan'!$I$12:$I$28,MATCH(F17,'Revision Plan'!$A$12:$A$28,0))</x:f>
        <x:v>46225</x:v>
      </x:c>
      <x:c r="L17" s="132" t="str">
        <x:v>Not Started</x:v>
      </x:c>
      <x:c r="M17" s="64" t="n">
        <x:f>INDEX('Revision Plan'!$K$12:$K$28,MATCH(F17,'Revision Plan'!$A$12:$A$28,0))</x:f>
        <x:v>46239</x:v>
      </x:c>
      <x:c r="N17" s="132" t="str">
        <x:v>Not Started</x:v>
      </x:c>
      <x:c r="O17" s="132"/>
      <x:c r="P17" s="136"/>
      <x:c r="Q17" s="136"/>
    </x:row>
    <x:row r="18" ht="22.5" customHeight="1">
      <x:c r="A18" s="132" t="n">
        <x:v>11</x:v>
      </x:c>
      <x:c r="B18" s="132" t="n">
        <x:v>9</x:v>
      </x:c>
      <x:c r="C18" s="136" t="str">
        <x:v>Verilog Language → Vectors</x:v>
      </x:c>
      <x:c r="D18" s="136" t="str">
        <x:v>Vectors</x:v>
      </x:c>
      <x:c r="E18" s="132" t="str">
        <x:v>vector0</x:v>
      </x:c>
      <x:c r="F18" s="132" t="str">
        <x:v>B01</x:v>
      </x:c>
      <x:c r="G18" s="64" t="n">
        <x:f>INDEX('Revision Plan'!$B$12:$B$28,MATCH(F18,'Revision Plan'!$A$12:$A$28,0))</x:f>
        <x:v>46218</x:v>
      </x:c>
      <x:c r="H18" s="132" t="str">
        <x:v>Not Started</x:v>
      </x:c>
      <x:c r="I18" s="64" t="n">
        <x:f>INDEX('Revision Plan'!$G$12:$G$28,MATCH(F18,'Revision Plan'!$A$12:$A$28,0))</x:f>
        <x:v>46220</x:v>
      </x:c>
      <x:c r="J18" s="132" t="str">
        <x:v>Not Started</x:v>
      </x:c>
      <x:c r="K18" s="64" t="n">
        <x:f>INDEX('Revision Plan'!$I$12:$I$28,MATCH(F18,'Revision Plan'!$A$12:$A$28,0))</x:f>
        <x:v>46225</x:v>
      </x:c>
      <x:c r="L18" s="132" t="str">
        <x:v>Not Started</x:v>
      </x:c>
      <x:c r="M18" s="64" t="n">
        <x:f>INDEX('Revision Plan'!$K$12:$K$28,MATCH(F18,'Revision Plan'!$A$12:$A$28,0))</x:f>
        <x:v>46239</x:v>
      </x:c>
      <x:c r="N18" s="132" t="str">
        <x:v>Not Started</x:v>
      </x:c>
      <x:c r="O18" s="132"/>
      <x:c r="P18" s="136"/>
      <x:c r="Q18" s="136"/>
    </x:row>
    <x:row r="19" ht="22.5" customHeight="1">
      <x:c r="A19" s="132" t="n">
        <x:v>12</x:v>
      </x:c>
      <x:c r="B19" s="132" t="n">
        <x:v>10</x:v>
      </x:c>
      <x:c r="C19" s="136" t="str">
        <x:v>Verilog Language → Vectors</x:v>
      </x:c>
      <x:c r="D19" s="136" t="str">
        <x:v>Vectors in more detail</x:v>
      </x:c>
      <x:c r="E19" s="132" t="str">
        <x:v>vector1</x:v>
      </x:c>
      <x:c r="F19" s="132" t="str">
        <x:v>B01</x:v>
      </x:c>
      <x:c r="G19" s="64" t="n">
        <x:f>INDEX('Revision Plan'!$B$12:$B$28,MATCH(F19,'Revision Plan'!$A$12:$A$28,0))</x:f>
        <x:v>46218</x:v>
      </x:c>
      <x:c r="H19" s="132" t="str">
        <x:v>Not Started</x:v>
      </x:c>
      <x:c r="I19" s="64" t="n">
        <x:f>INDEX('Revision Plan'!$G$12:$G$28,MATCH(F19,'Revision Plan'!$A$12:$A$28,0))</x:f>
        <x:v>46220</x:v>
      </x:c>
      <x:c r="J19" s="132" t="str">
        <x:v>Not Started</x:v>
      </x:c>
      <x:c r="K19" s="64" t="n">
        <x:f>INDEX('Revision Plan'!$I$12:$I$28,MATCH(F19,'Revision Plan'!$A$12:$A$28,0))</x:f>
        <x:v>46225</x:v>
      </x:c>
      <x:c r="L19" s="132" t="str">
        <x:v>Not Started</x:v>
      </x:c>
      <x:c r="M19" s="64" t="n">
        <x:f>INDEX('Revision Plan'!$K$12:$K$28,MATCH(F19,'Revision Plan'!$A$12:$A$28,0))</x:f>
        <x:v>46239</x:v>
      </x:c>
      <x:c r="N19" s="132" t="str">
        <x:v>Not Started</x:v>
      </x:c>
      <x:c r="O19" s="132"/>
      <x:c r="P19" s="136"/>
      <x:c r="Q19" s="136"/>
    </x:row>
    <x:row r="20" ht="22.5" customHeight="1">
      <x:c r="A20" s="132" t="n">
        <x:v>13</x:v>
      </x:c>
      <x:c r="B20" s="132" t="n">
        <x:v>11</x:v>
      </x:c>
      <x:c r="C20" s="136" t="str">
        <x:v>Verilog Language → Vectors</x:v>
      </x:c>
      <x:c r="D20" s="136" t="str">
        <x:v>Vector part select</x:v>
      </x:c>
      <x:c r="E20" s="132" t="str">
        <x:v>vector2</x:v>
      </x:c>
      <x:c r="F20" s="132" t="str">
        <x:v>B01</x:v>
      </x:c>
      <x:c r="G20" s="64" t="n">
        <x:f>INDEX('Revision Plan'!$B$12:$B$28,MATCH(F20,'Revision Plan'!$A$12:$A$28,0))</x:f>
        <x:v>46218</x:v>
      </x:c>
      <x:c r="H20" s="132" t="str">
        <x:v>Not Started</x:v>
      </x:c>
      <x:c r="I20" s="64" t="n">
        <x:f>INDEX('Revision Plan'!$G$12:$G$28,MATCH(F20,'Revision Plan'!$A$12:$A$28,0))</x:f>
        <x:v>46220</x:v>
      </x:c>
      <x:c r="J20" s="132" t="str">
        <x:v>Not Started</x:v>
      </x:c>
      <x:c r="K20" s="64" t="n">
        <x:f>INDEX('Revision Plan'!$I$12:$I$28,MATCH(F20,'Revision Plan'!$A$12:$A$28,0))</x:f>
        <x:v>46225</x:v>
      </x:c>
      <x:c r="L20" s="132" t="str">
        <x:v>Not Started</x:v>
      </x:c>
      <x:c r="M20" s="64" t="n">
        <x:f>INDEX('Revision Plan'!$K$12:$K$28,MATCH(F20,'Revision Plan'!$A$12:$A$28,0))</x:f>
        <x:v>46239</x:v>
      </x:c>
      <x:c r="N20" s="132" t="str">
        <x:v>Not Started</x:v>
      </x:c>
      <x:c r="O20" s="132"/>
      <x:c r="P20" s="136"/>
      <x:c r="Q20" s="136"/>
    </x:row>
    <x:row r="21" ht="22.5" customHeight="1">
      <x:c r="A21" s="132" t="n">
        <x:v>14</x:v>
      </x:c>
      <x:c r="B21" s="132" t="n">
        <x:v>12</x:v>
      </x:c>
      <x:c r="C21" s="136" t="str">
        <x:v>Verilog Language → Vectors</x:v>
      </x:c>
      <x:c r="D21" s="136" t="str">
        <x:v>Bitwise operators</x:v>
      </x:c>
      <x:c r="E21" s="132" t="str">
        <x:v>vectorgates</x:v>
      </x:c>
      <x:c r="F21" s="132" t="str">
        <x:v>B01</x:v>
      </x:c>
      <x:c r="G21" s="64" t="n">
        <x:f>INDEX('Revision Plan'!$B$12:$B$28,MATCH(F21,'Revision Plan'!$A$12:$A$28,0))</x:f>
        <x:v>46218</x:v>
      </x:c>
      <x:c r="H21" s="132" t="str">
        <x:v>Not Started</x:v>
      </x:c>
      <x:c r="I21" s="64" t="n">
        <x:f>INDEX('Revision Plan'!$G$12:$G$28,MATCH(F21,'Revision Plan'!$A$12:$A$28,0))</x:f>
        <x:v>46220</x:v>
      </x:c>
      <x:c r="J21" s="132" t="str">
        <x:v>Not Started</x:v>
      </x:c>
      <x:c r="K21" s="64" t="n">
        <x:f>INDEX('Revision Plan'!$I$12:$I$28,MATCH(F21,'Revision Plan'!$A$12:$A$28,0))</x:f>
        <x:v>46225</x:v>
      </x:c>
      <x:c r="L21" s="132" t="str">
        <x:v>Not Started</x:v>
      </x:c>
      <x:c r="M21" s="64" t="n">
        <x:f>INDEX('Revision Plan'!$K$12:$K$28,MATCH(F21,'Revision Plan'!$A$12:$A$28,0))</x:f>
        <x:v>46239</x:v>
      </x:c>
      <x:c r="N21" s="132" t="str">
        <x:v>Not Started</x:v>
      </x:c>
      <x:c r="O21" s="132"/>
      <x:c r="P21" s="136"/>
      <x:c r="Q21" s="136"/>
    </x:row>
    <x:row r="22" ht="22.5" customHeight="1">
      <x:c r="A22" s="132" t="n">
        <x:v>15</x:v>
      </x:c>
      <x:c r="B22" s="132" t="n">
        <x:v>13</x:v>
      </x:c>
      <x:c r="C22" s="136" t="str">
        <x:v>Verilog Language → Vectors</x:v>
      </x:c>
      <x:c r="D22" s="136" t="str">
        <x:v>Four-input gates</x:v>
      </x:c>
      <x:c r="E22" s="132" t="str">
        <x:v>gates4</x:v>
      </x:c>
      <x:c r="F22" s="132" t="str">
        <x:v>B01</x:v>
      </x:c>
      <x:c r="G22" s="64" t="n">
        <x:f>INDEX('Revision Plan'!$B$12:$B$28,MATCH(F22,'Revision Plan'!$A$12:$A$28,0))</x:f>
        <x:v>46218</x:v>
      </x:c>
      <x:c r="H22" s="132" t="str">
        <x:v>Not Started</x:v>
      </x:c>
      <x:c r="I22" s="64" t="n">
        <x:f>INDEX('Revision Plan'!$G$12:$G$28,MATCH(F22,'Revision Plan'!$A$12:$A$28,0))</x:f>
        <x:v>46220</x:v>
      </x:c>
      <x:c r="J22" s="132" t="str">
        <x:v>Not Started</x:v>
      </x:c>
      <x:c r="K22" s="64" t="n">
        <x:f>INDEX('Revision Plan'!$I$12:$I$28,MATCH(F22,'Revision Plan'!$A$12:$A$28,0))</x:f>
        <x:v>46225</x:v>
      </x:c>
      <x:c r="L22" s="132" t="str">
        <x:v>Not Started</x:v>
      </x:c>
      <x:c r="M22" s="64" t="n">
        <x:f>INDEX('Revision Plan'!$K$12:$K$28,MATCH(F22,'Revision Plan'!$A$12:$A$28,0))</x:f>
        <x:v>46239</x:v>
      </x:c>
      <x:c r="N22" s="132" t="str">
        <x:v>Not Started</x:v>
      </x:c>
      <x:c r="O22" s="132"/>
      <x:c r="P22" s="136"/>
      <x:c r="Q22" s="136"/>
    </x:row>
    <x:row r="23" ht="22.5" customHeight="1">
      <x:c r="A23" s="132" t="n">
        <x:v>16</x:v>
      </x:c>
      <x:c r="B23" s="132" t="n">
        <x:v>14</x:v>
      </x:c>
      <x:c r="C23" s="136" t="str">
        <x:v>Verilog Language → Vectors</x:v>
      </x:c>
      <x:c r="D23" s="136" t="str">
        <x:v>Vector concatenation operator</x:v>
      </x:c>
      <x:c r="E23" s="132" t="str">
        <x:v>vector3</x:v>
      </x:c>
      <x:c r="F23" s="132" t="str">
        <x:v>B01</x:v>
      </x:c>
      <x:c r="G23" s="64" t="n">
        <x:f>INDEX('Revision Plan'!$B$12:$B$28,MATCH(F23,'Revision Plan'!$A$12:$A$28,0))</x:f>
        <x:v>46218</x:v>
      </x:c>
      <x:c r="H23" s="132" t="str">
        <x:v>Not Started</x:v>
      </x:c>
      <x:c r="I23" s="64" t="n">
        <x:f>INDEX('Revision Plan'!$G$12:$G$28,MATCH(F23,'Revision Plan'!$A$12:$A$28,0))</x:f>
        <x:v>46220</x:v>
      </x:c>
      <x:c r="J23" s="132" t="str">
        <x:v>Not Started</x:v>
      </x:c>
      <x:c r="K23" s="64" t="n">
        <x:f>INDEX('Revision Plan'!$I$12:$I$28,MATCH(F23,'Revision Plan'!$A$12:$A$28,0))</x:f>
        <x:v>46225</x:v>
      </x:c>
      <x:c r="L23" s="132" t="str">
        <x:v>Not Started</x:v>
      </x:c>
      <x:c r="M23" s="64" t="n">
        <x:f>INDEX('Revision Plan'!$K$12:$K$28,MATCH(F23,'Revision Plan'!$A$12:$A$28,0))</x:f>
        <x:v>46239</x:v>
      </x:c>
      <x:c r="N23" s="132" t="str">
        <x:v>Not Started</x:v>
      </x:c>
      <x:c r="O23" s="132"/>
      <x:c r="P23" s="136"/>
      <x:c r="Q23" s="136"/>
    </x:row>
    <x:row r="24" ht="22.5" customHeight="1">
      <x:c r="A24" s="132" t="n">
        <x:v>17</x:v>
      </x:c>
      <x:c r="B24" s="132" t="n">
        <x:v>15</x:v>
      </x:c>
      <x:c r="C24" s="136" t="str">
        <x:v>Verilog Language → Vectors</x:v>
      </x:c>
      <x:c r="D24" s="136" t="str">
        <x:v>Vector reversal 1</x:v>
      </x:c>
      <x:c r="E24" s="132" t="str">
        <x:v>vectorr</x:v>
      </x:c>
      <x:c r="F24" s="132" t="str">
        <x:v>B01</x:v>
      </x:c>
      <x:c r="G24" s="64" t="n">
        <x:f>INDEX('Revision Plan'!$B$12:$B$28,MATCH(F24,'Revision Plan'!$A$12:$A$28,0))</x:f>
        <x:v>46218</x:v>
      </x:c>
      <x:c r="H24" s="132" t="str">
        <x:v>Not Started</x:v>
      </x:c>
      <x:c r="I24" s="64" t="n">
        <x:f>INDEX('Revision Plan'!$G$12:$G$28,MATCH(F24,'Revision Plan'!$A$12:$A$28,0))</x:f>
        <x:v>46220</x:v>
      </x:c>
      <x:c r="J24" s="132" t="str">
        <x:v>Not Started</x:v>
      </x:c>
      <x:c r="K24" s="64" t="n">
        <x:f>INDEX('Revision Plan'!$I$12:$I$28,MATCH(F24,'Revision Plan'!$A$12:$A$28,0))</x:f>
        <x:v>46225</x:v>
      </x:c>
      <x:c r="L24" s="132" t="str">
        <x:v>Not Started</x:v>
      </x:c>
      <x:c r="M24" s="64" t="n">
        <x:f>INDEX('Revision Plan'!$K$12:$K$28,MATCH(F24,'Revision Plan'!$A$12:$A$28,0))</x:f>
        <x:v>46239</x:v>
      </x:c>
      <x:c r="N24" s="132" t="str">
        <x:v>Not Started</x:v>
      </x:c>
      <x:c r="O24" s="132"/>
      <x:c r="P24" s="136"/>
      <x:c r="Q24" s="136"/>
    </x:row>
    <x:row r="25" ht="22.5" customHeight="1">
      <x:c r="A25" s="132" t="n">
        <x:v>18</x:v>
      </x:c>
      <x:c r="B25" s="132" t="n">
        <x:v>16</x:v>
      </x:c>
      <x:c r="C25" s="136" t="str">
        <x:v>Verilog Language → Vectors</x:v>
      </x:c>
      <x:c r="D25" s="136" t="str">
        <x:v>Replication operator</x:v>
      </x:c>
      <x:c r="E25" s="132" t="str">
        <x:v>vector4</x:v>
      </x:c>
      <x:c r="F25" s="132" t="str">
        <x:v>B01</x:v>
      </x:c>
      <x:c r="G25" s="64" t="n">
        <x:f>INDEX('Revision Plan'!$B$12:$B$28,MATCH(F25,'Revision Plan'!$A$12:$A$28,0))</x:f>
        <x:v>46218</x:v>
      </x:c>
      <x:c r="H25" s="132" t="str">
        <x:v>Not Started</x:v>
      </x:c>
      <x:c r="I25" s="64" t="n">
        <x:f>INDEX('Revision Plan'!$G$12:$G$28,MATCH(F25,'Revision Plan'!$A$12:$A$28,0))</x:f>
        <x:v>46220</x:v>
      </x:c>
      <x:c r="J25" s="132" t="str">
        <x:v>Not Started</x:v>
      </x:c>
      <x:c r="K25" s="64" t="n">
        <x:f>INDEX('Revision Plan'!$I$12:$I$28,MATCH(F25,'Revision Plan'!$A$12:$A$28,0))</x:f>
        <x:v>46225</x:v>
      </x:c>
      <x:c r="L25" s="132" t="str">
        <x:v>Not Started</x:v>
      </x:c>
      <x:c r="M25" s="64" t="n">
        <x:f>INDEX('Revision Plan'!$K$12:$K$28,MATCH(F25,'Revision Plan'!$A$12:$A$28,0))</x:f>
        <x:v>46239</x:v>
      </x:c>
      <x:c r="N25" s="132" t="str">
        <x:v>Not Started</x:v>
      </x:c>
      <x:c r="O25" s="132"/>
      <x:c r="P25" s="136"/>
      <x:c r="Q25" s="136"/>
    </x:row>
    <x:row r="26" ht="22.5" customHeight="1">
      <x:c r="A26" s="132" t="n">
        <x:v>19</x:v>
      </x:c>
      <x:c r="B26" s="132" t="n">
        <x:v>17</x:v>
      </x:c>
      <x:c r="C26" s="136" t="str">
        <x:v>Verilog Language → Vectors</x:v>
      </x:c>
      <x:c r="D26" s="136" t="str">
        <x:v>More replication</x:v>
      </x:c>
      <x:c r="E26" s="132" t="str">
        <x:v>vector5</x:v>
      </x:c>
      <x:c r="F26" s="132" t="str">
        <x:v>B01</x:v>
      </x:c>
      <x:c r="G26" s="64" t="n">
        <x:f>INDEX('Revision Plan'!$B$12:$B$28,MATCH(F26,'Revision Plan'!$A$12:$A$28,0))</x:f>
        <x:v>46218</x:v>
      </x:c>
      <x:c r="H26" s="132" t="str">
        <x:v>Not Started</x:v>
      </x:c>
      <x:c r="I26" s="64" t="n">
        <x:f>INDEX('Revision Plan'!$G$12:$G$28,MATCH(F26,'Revision Plan'!$A$12:$A$28,0))</x:f>
        <x:v>46220</x:v>
      </x:c>
      <x:c r="J26" s="132" t="str">
        <x:v>Not Started</x:v>
      </x:c>
      <x:c r="K26" s="64" t="n">
        <x:f>INDEX('Revision Plan'!$I$12:$I$28,MATCH(F26,'Revision Plan'!$A$12:$A$28,0))</x:f>
        <x:v>46225</x:v>
      </x:c>
      <x:c r="L26" s="132" t="str">
        <x:v>Not Started</x:v>
      </x:c>
      <x:c r="M26" s="64" t="n">
        <x:f>INDEX('Revision Plan'!$K$12:$K$28,MATCH(F26,'Revision Plan'!$A$12:$A$28,0))</x:f>
        <x:v>46239</x:v>
      </x:c>
      <x:c r="N26" s="132" t="str">
        <x:v>Not Started</x:v>
      </x:c>
      <x:c r="O26" s="132"/>
      <x:c r="P26" s="136"/>
      <x:c r="Q26" s="136"/>
    </x:row>
    <x:row r="27" ht="22.5" customHeight="1">
      <x:c r="A27" s="132" t="n">
        <x:v>20</x:v>
      </x:c>
      <x:c r="B27" s="132" t="n">
        <x:v>18</x:v>
      </x:c>
      <x:c r="C27" s="136" t="str">
        <x:v>Verilog Language → Modules: Hierarchy</x:v>
      </x:c>
      <x:c r="D27" s="136" t="str">
        <x:v>Modules</x:v>
      </x:c>
      <x:c r="E27" s="132" t="str">
        <x:v>module</x:v>
      </x:c>
      <x:c r="F27" s="132" t="str">
        <x:v>B02</x:v>
      </x:c>
      <x:c r="G27" s="64" t="n">
        <x:f>INDEX('Revision Plan'!$B$12:$B$28,MATCH(F27,'Revision Plan'!$A$12:$A$28,0))</x:f>
        <x:v>46219</x:v>
      </x:c>
      <x:c r="H27" s="132" t="str">
        <x:v>Not Started</x:v>
      </x:c>
      <x:c r="I27" s="64" t="n">
        <x:f>INDEX('Revision Plan'!$G$12:$G$28,MATCH(F27,'Revision Plan'!$A$12:$A$28,0))</x:f>
        <x:v>46221</x:v>
      </x:c>
      <x:c r="J27" s="132" t="str">
        <x:v>Not Started</x:v>
      </x:c>
      <x:c r="K27" s="64" t="n">
        <x:f>INDEX('Revision Plan'!$I$12:$I$28,MATCH(F27,'Revision Plan'!$A$12:$A$28,0))</x:f>
        <x:v>46226</x:v>
      </x:c>
      <x:c r="L27" s="132" t="str">
        <x:v>Not Started</x:v>
      </x:c>
      <x:c r="M27" s="64" t="n">
        <x:f>INDEX('Revision Plan'!$K$12:$K$28,MATCH(F27,'Revision Plan'!$A$12:$A$28,0))</x:f>
        <x:v>46240</x:v>
      </x:c>
      <x:c r="N27" s="132" t="str">
        <x:v>Not Started</x:v>
      </x:c>
      <x:c r="O27" s="132"/>
      <x:c r="P27" s="136"/>
      <x:c r="Q27" s="136"/>
    </x:row>
    <x:row r="28" ht="22.5" customHeight="1">
      <x:c r="A28" s="132" t="n">
        <x:v>21</x:v>
      </x:c>
      <x:c r="B28" s="132" t="n">
        <x:v>19</x:v>
      </x:c>
      <x:c r="C28" s="136" t="str">
        <x:v>Verilog Language → Modules: Hierarchy</x:v>
      </x:c>
      <x:c r="D28" s="136" t="str">
        <x:v>Connecting ports by position</x:v>
      </x:c>
      <x:c r="E28" s="132" t="str">
        <x:v>module_pos</x:v>
      </x:c>
      <x:c r="F28" s="132" t="str">
        <x:v>B02</x:v>
      </x:c>
      <x:c r="G28" s="64" t="n">
        <x:f>INDEX('Revision Plan'!$B$12:$B$28,MATCH(F28,'Revision Plan'!$A$12:$A$28,0))</x:f>
        <x:v>46219</x:v>
      </x:c>
      <x:c r="H28" s="132" t="str">
        <x:v>Not Started</x:v>
      </x:c>
      <x:c r="I28" s="64" t="n">
        <x:f>INDEX('Revision Plan'!$G$12:$G$28,MATCH(F28,'Revision Plan'!$A$12:$A$28,0))</x:f>
        <x:v>46221</x:v>
      </x:c>
      <x:c r="J28" s="132" t="str">
        <x:v>Not Started</x:v>
      </x:c>
      <x:c r="K28" s="64" t="n">
        <x:f>INDEX('Revision Plan'!$I$12:$I$28,MATCH(F28,'Revision Plan'!$A$12:$A$28,0))</x:f>
        <x:v>46226</x:v>
      </x:c>
      <x:c r="L28" s="132" t="str">
        <x:v>Not Started</x:v>
      </x:c>
      <x:c r="M28" s="64" t="n">
        <x:f>INDEX('Revision Plan'!$K$12:$K$28,MATCH(F28,'Revision Plan'!$A$12:$A$28,0))</x:f>
        <x:v>46240</x:v>
      </x:c>
      <x:c r="N28" s="132" t="str">
        <x:v>Not Started</x:v>
      </x:c>
      <x:c r="O28" s="132"/>
      <x:c r="P28" s="136"/>
      <x:c r="Q28" s="136"/>
    </x:row>
    <x:row r="29" ht="22.5" customHeight="1">
      <x:c r="A29" s="132" t="n">
        <x:v>22</x:v>
      </x:c>
      <x:c r="B29" s="132" t="n">
        <x:v>20</x:v>
      </x:c>
      <x:c r="C29" s="136" t="str">
        <x:v>Verilog Language → Modules: Hierarchy</x:v>
      </x:c>
      <x:c r="D29" s="136" t="str">
        <x:v>Connecting ports by name</x:v>
      </x:c>
      <x:c r="E29" s="132" t="str">
        <x:v>module_name</x:v>
      </x:c>
      <x:c r="F29" s="132" t="str">
        <x:v>B02</x:v>
      </x:c>
      <x:c r="G29" s="64" t="n">
        <x:f>INDEX('Revision Plan'!$B$12:$B$28,MATCH(F29,'Revision Plan'!$A$12:$A$28,0))</x:f>
        <x:v>46219</x:v>
      </x:c>
      <x:c r="H29" s="132" t="str">
        <x:v>Not Started</x:v>
      </x:c>
      <x:c r="I29" s="64" t="n">
        <x:f>INDEX('Revision Plan'!$G$12:$G$28,MATCH(F29,'Revision Plan'!$A$12:$A$28,0))</x:f>
        <x:v>46221</x:v>
      </x:c>
      <x:c r="J29" s="132" t="str">
        <x:v>Not Started</x:v>
      </x:c>
      <x:c r="K29" s="64" t="n">
        <x:f>INDEX('Revision Plan'!$I$12:$I$28,MATCH(F29,'Revision Plan'!$A$12:$A$28,0))</x:f>
        <x:v>46226</x:v>
      </x:c>
      <x:c r="L29" s="132" t="str">
        <x:v>Not Started</x:v>
      </x:c>
      <x:c r="M29" s="64" t="n">
        <x:f>INDEX('Revision Plan'!$K$12:$K$28,MATCH(F29,'Revision Plan'!$A$12:$A$28,0))</x:f>
        <x:v>46240</x:v>
      </x:c>
      <x:c r="N29" s="132" t="str">
        <x:v>Not Started</x:v>
      </x:c>
      <x:c r="O29" s="132"/>
      <x:c r="P29" s="136"/>
      <x:c r="Q29" s="136"/>
    </x:row>
    <x:row r="30" ht="22.5" customHeight="1">
      <x:c r="A30" s="132" t="n">
        <x:v>23</x:v>
      </x:c>
      <x:c r="B30" s="132" t="n">
        <x:v>21</x:v>
      </x:c>
      <x:c r="C30" s="136" t="str">
        <x:v>Verilog Language → Modules: Hierarchy</x:v>
      </x:c>
      <x:c r="D30" s="136" t="str">
        <x:v>Three modules</x:v>
      </x:c>
      <x:c r="E30" s="132" t="str">
        <x:v>module_shift</x:v>
      </x:c>
      <x:c r="F30" s="132" t="str">
        <x:v>B02</x:v>
      </x:c>
      <x:c r="G30" s="64" t="n">
        <x:f>INDEX('Revision Plan'!$B$12:$B$28,MATCH(F30,'Revision Plan'!$A$12:$A$28,0))</x:f>
        <x:v>46219</x:v>
      </x:c>
      <x:c r="H30" s="132" t="str">
        <x:v>Not Started</x:v>
      </x:c>
      <x:c r="I30" s="64" t="n">
        <x:f>INDEX('Revision Plan'!$G$12:$G$28,MATCH(F30,'Revision Plan'!$A$12:$A$28,0))</x:f>
        <x:v>46221</x:v>
      </x:c>
      <x:c r="J30" s="132" t="str">
        <x:v>Not Started</x:v>
      </x:c>
      <x:c r="K30" s="64" t="n">
        <x:f>INDEX('Revision Plan'!$I$12:$I$28,MATCH(F30,'Revision Plan'!$A$12:$A$28,0))</x:f>
        <x:v>46226</x:v>
      </x:c>
      <x:c r="L30" s="132" t="str">
        <x:v>Not Started</x:v>
      </x:c>
      <x:c r="M30" s="64" t="n">
        <x:f>INDEX('Revision Plan'!$K$12:$K$28,MATCH(F30,'Revision Plan'!$A$12:$A$28,0))</x:f>
        <x:v>46240</x:v>
      </x:c>
      <x:c r="N30" s="132" t="str">
        <x:v>Not Started</x:v>
      </x:c>
      <x:c r="O30" s="132"/>
      <x:c r="P30" s="136"/>
      <x:c r="Q30" s="136"/>
    </x:row>
    <x:row r="31" ht="22.5" customHeight="1">
      <x:c r="A31" s="132" t="n">
        <x:v>24</x:v>
      </x:c>
      <x:c r="B31" s="132" t="n">
        <x:v>22</x:v>
      </x:c>
      <x:c r="C31" s="136" t="str">
        <x:v>Verilog Language → Modules: Hierarchy</x:v>
      </x:c>
      <x:c r="D31" s="136" t="str">
        <x:v>Modules and vectors</x:v>
      </x:c>
      <x:c r="E31" s="132" t="str">
        <x:v>module_shift8</x:v>
      </x:c>
      <x:c r="F31" s="132" t="str">
        <x:v>B02</x:v>
      </x:c>
      <x:c r="G31" s="64" t="n">
        <x:f>INDEX('Revision Plan'!$B$12:$B$28,MATCH(F31,'Revision Plan'!$A$12:$A$28,0))</x:f>
        <x:v>46219</x:v>
      </x:c>
      <x:c r="H31" s="132" t="str">
        <x:v>Not Started</x:v>
      </x:c>
      <x:c r="I31" s="64" t="n">
        <x:f>INDEX('Revision Plan'!$G$12:$G$28,MATCH(F31,'Revision Plan'!$A$12:$A$28,0))</x:f>
        <x:v>46221</x:v>
      </x:c>
      <x:c r="J31" s="132" t="str">
        <x:v>Not Started</x:v>
      </x:c>
      <x:c r="K31" s="64" t="n">
        <x:f>INDEX('Revision Plan'!$I$12:$I$28,MATCH(F31,'Revision Plan'!$A$12:$A$28,0))</x:f>
        <x:v>46226</x:v>
      </x:c>
      <x:c r="L31" s="132" t="str">
        <x:v>Not Started</x:v>
      </x:c>
      <x:c r="M31" s="64" t="n">
        <x:f>INDEX('Revision Plan'!$K$12:$K$28,MATCH(F31,'Revision Plan'!$A$12:$A$28,0))</x:f>
        <x:v>46240</x:v>
      </x:c>
      <x:c r="N31" s="132" t="str">
        <x:v>Not Started</x:v>
      </x:c>
      <x:c r="O31" s="132"/>
      <x:c r="P31" s="136"/>
      <x:c r="Q31" s="136"/>
    </x:row>
    <x:row r="32" ht="22.5" customHeight="1">
      <x:c r="A32" s="132" t="n">
        <x:v>25</x:v>
      </x:c>
      <x:c r="B32" s="132" t="n">
        <x:v>23</x:v>
      </x:c>
      <x:c r="C32" s="136" t="str">
        <x:v>Verilog Language → Modules: Hierarchy</x:v>
      </x:c>
      <x:c r="D32" s="136" t="str">
        <x:v>Adder 1</x:v>
      </x:c>
      <x:c r="E32" s="132" t="str">
        <x:v>module_add</x:v>
      </x:c>
      <x:c r="F32" s="132" t="str">
        <x:v>B02</x:v>
      </x:c>
      <x:c r="G32" s="64" t="n">
        <x:f>INDEX('Revision Plan'!$B$12:$B$28,MATCH(F32,'Revision Plan'!$A$12:$A$28,0))</x:f>
        <x:v>46219</x:v>
      </x:c>
      <x:c r="H32" s="132" t="str">
        <x:v>Not Started</x:v>
      </x:c>
      <x:c r="I32" s="64" t="n">
        <x:f>INDEX('Revision Plan'!$G$12:$G$28,MATCH(F32,'Revision Plan'!$A$12:$A$28,0))</x:f>
        <x:v>46221</x:v>
      </x:c>
      <x:c r="J32" s="132" t="str">
        <x:v>Not Started</x:v>
      </x:c>
      <x:c r="K32" s="64" t="n">
        <x:f>INDEX('Revision Plan'!$I$12:$I$28,MATCH(F32,'Revision Plan'!$A$12:$A$28,0))</x:f>
        <x:v>46226</x:v>
      </x:c>
      <x:c r="L32" s="132" t="str">
        <x:v>Not Started</x:v>
      </x:c>
      <x:c r="M32" s="64" t="n">
        <x:f>INDEX('Revision Plan'!$K$12:$K$28,MATCH(F32,'Revision Plan'!$A$12:$A$28,0))</x:f>
        <x:v>46240</x:v>
      </x:c>
      <x:c r="N32" s="132" t="str">
        <x:v>Not Started</x:v>
      </x:c>
      <x:c r="O32" s="132"/>
      <x:c r="P32" s="136"/>
      <x:c r="Q32" s="136"/>
    </x:row>
    <x:row r="33" ht="22.5" customHeight="1">
      <x:c r="A33" s="132" t="n">
        <x:v>26</x:v>
      </x:c>
      <x:c r="B33" s="132" t="n">
        <x:v>24</x:v>
      </x:c>
      <x:c r="C33" s="136" t="str">
        <x:v>Verilog Language → Modules: Hierarchy</x:v>
      </x:c>
      <x:c r="D33" s="136" t="str">
        <x:v>Adder 2</x:v>
      </x:c>
      <x:c r="E33" s="132" t="str">
        <x:v>module_fadd</x:v>
      </x:c>
      <x:c r="F33" s="132" t="str">
        <x:v>B02</x:v>
      </x:c>
      <x:c r="G33" s="64" t="n">
        <x:f>INDEX('Revision Plan'!$B$12:$B$28,MATCH(F33,'Revision Plan'!$A$12:$A$28,0))</x:f>
        <x:v>46219</x:v>
      </x:c>
      <x:c r="H33" s="132" t="str">
        <x:v>Not Started</x:v>
      </x:c>
      <x:c r="I33" s="64" t="n">
        <x:f>INDEX('Revision Plan'!$G$12:$G$28,MATCH(F33,'Revision Plan'!$A$12:$A$28,0))</x:f>
        <x:v>46221</x:v>
      </x:c>
      <x:c r="J33" s="132" t="str">
        <x:v>Not Started</x:v>
      </x:c>
      <x:c r="K33" s="64" t="n">
        <x:f>INDEX('Revision Plan'!$I$12:$I$28,MATCH(F33,'Revision Plan'!$A$12:$A$28,0))</x:f>
        <x:v>46226</x:v>
      </x:c>
      <x:c r="L33" s="132" t="str">
        <x:v>Not Started</x:v>
      </x:c>
      <x:c r="M33" s="64" t="n">
        <x:f>INDEX('Revision Plan'!$K$12:$K$28,MATCH(F33,'Revision Plan'!$A$12:$A$28,0))</x:f>
        <x:v>46240</x:v>
      </x:c>
      <x:c r="N33" s="132" t="str">
        <x:v>Not Started</x:v>
      </x:c>
      <x:c r="O33" s="132"/>
      <x:c r="P33" s="136"/>
      <x:c r="Q33" s="136"/>
    </x:row>
    <x:row r="34" ht="22.5" customHeight="1">
      <x:c r="A34" s="132" t="n">
        <x:v>27</x:v>
      </x:c>
      <x:c r="B34" s="132" t="n">
        <x:v>25</x:v>
      </x:c>
      <x:c r="C34" s="136" t="str">
        <x:v>Verilog Language → Modules: Hierarchy</x:v>
      </x:c>
      <x:c r="D34" s="136" t="str">
        <x:v>Carry-select adder</x:v>
      </x:c>
      <x:c r="E34" s="132" t="str">
        <x:v>module_cseladd</x:v>
      </x:c>
      <x:c r="F34" s="132" t="str">
        <x:v>B02</x:v>
      </x:c>
      <x:c r="G34" s="64" t="n">
        <x:f>INDEX('Revision Plan'!$B$12:$B$28,MATCH(F34,'Revision Plan'!$A$12:$A$28,0))</x:f>
        <x:v>46219</x:v>
      </x:c>
      <x:c r="H34" s="132" t="str">
        <x:v>Not Started</x:v>
      </x:c>
      <x:c r="I34" s="64" t="n">
        <x:f>INDEX('Revision Plan'!$G$12:$G$28,MATCH(F34,'Revision Plan'!$A$12:$A$28,0))</x:f>
        <x:v>46221</x:v>
      </x:c>
      <x:c r="J34" s="132" t="str">
        <x:v>Not Started</x:v>
      </x:c>
      <x:c r="K34" s="64" t="n">
        <x:f>INDEX('Revision Plan'!$I$12:$I$28,MATCH(F34,'Revision Plan'!$A$12:$A$28,0))</x:f>
        <x:v>46226</x:v>
      </x:c>
      <x:c r="L34" s="132" t="str">
        <x:v>Not Started</x:v>
      </x:c>
      <x:c r="M34" s="64" t="n">
        <x:f>INDEX('Revision Plan'!$K$12:$K$28,MATCH(F34,'Revision Plan'!$A$12:$A$28,0))</x:f>
        <x:v>46240</x:v>
      </x:c>
      <x:c r="N34" s="132" t="str">
        <x:v>Not Started</x:v>
      </x:c>
      <x:c r="O34" s="132"/>
      <x:c r="P34" s="136"/>
      <x:c r="Q34" s="136"/>
    </x:row>
    <x:row r="35" ht="22.5" customHeight="1">
      <x:c r="A35" s="132" t="n">
        <x:v>28</x:v>
      </x:c>
      <x:c r="B35" s="132" t="n">
        <x:v>26</x:v>
      </x:c>
      <x:c r="C35" s="136" t="str">
        <x:v>Verilog Language → Modules: Hierarchy</x:v>
      </x:c>
      <x:c r="D35" s="136" t="str">
        <x:v>Adder-subtractor</x:v>
      </x:c>
      <x:c r="E35" s="132" t="str">
        <x:v>module_addsub</x:v>
      </x:c>
      <x:c r="F35" s="132" t="str">
        <x:v>B02</x:v>
      </x:c>
      <x:c r="G35" s="64" t="n">
        <x:f>INDEX('Revision Plan'!$B$12:$B$28,MATCH(F35,'Revision Plan'!$A$12:$A$28,0))</x:f>
        <x:v>46219</x:v>
      </x:c>
      <x:c r="H35" s="132" t="str">
        <x:v>Not Started</x:v>
      </x:c>
      <x:c r="I35" s="64" t="n">
        <x:f>INDEX('Revision Plan'!$G$12:$G$28,MATCH(F35,'Revision Plan'!$A$12:$A$28,0))</x:f>
        <x:v>46221</x:v>
      </x:c>
      <x:c r="J35" s="132" t="str">
        <x:v>Not Started</x:v>
      </x:c>
      <x:c r="K35" s="64" t="n">
        <x:f>INDEX('Revision Plan'!$I$12:$I$28,MATCH(F35,'Revision Plan'!$A$12:$A$28,0))</x:f>
        <x:v>46226</x:v>
      </x:c>
      <x:c r="L35" s="132" t="str">
        <x:v>Not Started</x:v>
      </x:c>
      <x:c r="M35" s="64" t="n">
        <x:f>INDEX('Revision Plan'!$K$12:$K$28,MATCH(F35,'Revision Plan'!$A$12:$A$28,0))</x:f>
        <x:v>46240</x:v>
      </x:c>
      <x:c r="N35" s="132" t="str">
        <x:v>Not Started</x:v>
      </x:c>
      <x:c r="O35" s="132"/>
      <x:c r="P35" s="136"/>
      <x:c r="Q35" s="136"/>
    </x:row>
    <x:row r="36" ht="22.5" customHeight="1">
      <x:c r="A36" s="132" t="n">
        <x:v>29</x:v>
      </x:c>
      <x:c r="B36" s="132" t="n">
        <x:v>27</x:v>
      </x:c>
      <x:c r="C36" s="136" t="str">
        <x:v>Verilog Language → Procedures</x:v>
      </x:c>
      <x:c r="D36" s="136" t="str">
        <x:v>Always blocks (combinational)</x:v>
      </x:c>
      <x:c r="E36" s="132" t="str">
        <x:v>alwaysblock1</x:v>
      </x:c>
      <x:c r="F36" s="132" t="str">
        <x:v>B02</x:v>
      </x:c>
      <x:c r="G36" s="64" t="n">
        <x:f>INDEX('Revision Plan'!$B$12:$B$28,MATCH(F36,'Revision Plan'!$A$12:$A$28,0))</x:f>
        <x:v>46219</x:v>
      </x:c>
      <x:c r="H36" s="132" t="str">
        <x:v>Not Started</x:v>
      </x:c>
      <x:c r="I36" s="64" t="n">
        <x:f>INDEX('Revision Plan'!$G$12:$G$28,MATCH(F36,'Revision Plan'!$A$12:$A$28,0))</x:f>
        <x:v>46221</x:v>
      </x:c>
      <x:c r="J36" s="132" t="str">
        <x:v>Not Started</x:v>
      </x:c>
      <x:c r="K36" s="64" t="n">
        <x:f>INDEX('Revision Plan'!$I$12:$I$28,MATCH(F36,'Revision Plan'!$A$12:$A$28,0))</x:f>
        <x:v>46226</x:v>
      </x:c>
      <x:c r="L36" s="132" t="str">
        <x:v>Not Started</x:v>
      </x:c>
      <x:c r="M36" s="64" t="n">
        <x:f>INDEX('Revision Plan'!$K$12:$K$28,MATCH(F36,'Revision Plan'!$A$12:$A$28,0))</x:f>
        <x:v>46240</x:v>
      </x:c>
      <x:c r="N36" s="132" t="str">
        <x:v>Not Started</x:v>
      </x:c>
      <x:c r="O36" s="132"/>
      <x:c r="P36" s="136"/>
      <x:c r="Q36" s="136"/>
    </x:row>
    <x:row r="37" ht="22.5" customHeight="1">
      <x:c r="A37" s="132" t="n">
        <x:v>30</x:v>
      </x:c>
      <x:c r="B37" s="132" t="n">
        <x:v>28</x:v>
      </x:c>
      <x:c r="C37" s="136" t="str">
        <x:v>Verilog Language → Procedures</x:v>
      </x:c>
      <x:c r="D37" s="136" t="str">
        <x:v>Always blocks (clocked)</x:v>
      </x:c>
      <x:c r="E37" s="132" t="str">
        <x:v>alwaysblock2</x:v>
      </x:c>
      <x:c r="F37" s="132" t="str">
        <x:v>B02</x:v>
      </x:c>
      <x:c r="G37" s="64" t="n">
        <x:f>INDEX('Revision Plan'!$B$12:$B$28,MATCH(F37,'Revision Plan'!$A$12:$A$28,0))</x:f>
        <x:v>46219</x:v>
      </x:c>
      <x:c r="H37" s="132" t="str">
        <x:v>Not Started</x:v>
      </x:c>
      <x:c r="I37" s="64" t="n">
        <x:f>INDEX('Revision Plan'!$G$12:$G$28,MATCH(F37,'Revision Plan'!$A$12:$A$28,0))</x:f>
        <x:v>46221</x:v>
      </x:c>
      <x:c r="J37" s="132" t="str">
        <x:v>Not Started</x:v>
      </x:c>
      <x:c r="K37" s="64" t="n">
        <x:f>INDEX('Revision Plan'!$I$12:$I$28,MATCH(F37,'Revision Plan'!$A$12:$A$28,0))</x:f>
        <x:v>46226</x:v>
      </x:c>
      <x:c r="L37" s="132" t="str">
        <x:v>Not Started</x:v>
      </x:c>
      <x:c r="M37" s="64" t="n">
        <x:f>INDEX('Revision Plan'!$K$12:$K$28,MATCH(F37,'Revision Plan'!$A$12:$A$28,0))</x:f>
        <x:v>46240</x:v>
      </x:c>
      <x:c r="N37" s="132" t="str">
        <x:v>Not Started</x:v>
      </x:c>
      <x:c r="O37" s="132"/>
      <x:c r="P37" s="136"/>
      <x:c r="Q37" s="136"/>
    </x:row>
    <x:row r="38" ht="22.5" customHeight="1">
      <x:c r="A38" s="132" t="n">
        <x:v>31</x:v>
      </x:c>
      <x:c r="B38" s="132" t="n">
        <x:v>29</x:v>
      </x:c>
      <x:c r="C38" s="136" t="str">
        <x:v>Verilog Language → Procedures</x:v>
      </x:c>
      <x:c r="D38" s="136" t="str">
        <x:v>If statement</x:v>
      </x:c>
      <x:c r="E38" s="132" t="str">
        <x:v>always_if</x:v>
      </x:c>
      <x:c r="F38" s="132" t="str">
        <x:v>B02</x:v>
      </x:c>
      <x:c r="G38" s="64" t="n">
        <x:f>INDEX('Revision Plan'!$B$12:$B$28,MATCH(F38,'Revision Plan'!$A$12:$A$28,0))</x:f>
        <x:v>46219</x:v>
      </x:c>
      <x:c r="H38" s="132" t="str">
        <x:v>Not Started</x:v>
      </x:c>
      <x:c r="I38" s="64" t="n">
        <x:f>INDEX('Revision Plan'!$G$12:$G$28,MATCH(F38,'Revision Plan'!$A$12:$A$28,0))</x:f>
        <x:v>46221</x:v>
      </x:c>
      <x:c r="J38" s="132" t="str">
        <x:v>Not Started</x:v>
      </x:c>
      <x:c r="K38" s="64" t="n">
        <x:f>INDEX('Revision Plan'!$I$12:$I$28,MATCH(F38,'Revision Plan'!$A$12:$A$28,0))</x:f>
        <x:v>46226</x:v>
      </x:c>
      <x:c r="L38" s="132" t="str">
        <x:v>Not Started</x:v>
      </x:c>
      <x:c r="M38" s="64" t="n">
        <x:f>INDEX('Revision Plan'!$K$12:$K$28,MATCH(F38,'Revision Plan'!$A$12:$A$28,0))</x:f>
        <x:v>46240</x:v>
      </x:c>
      <x:c r="N38" s="132" t="str">
        <x:v>Not Started</x:v>
      </x:c>
      <x:c r="O38" s="132"/>
      <x:c r="P38" s="136"/>
      <x:c r="Q38" s="136"/>
    </x:row>
    <x:row r="39" ht="22.5" customHeight="1">
      <x:c r="A39" s="132" t="n">
        <x:v>32</x:v>
      </x:c>
      <x:c r="B39" s="132" t="n">
        <x:v>30</x:v>
      </x:c>
      <x:c r="C39" s="136" t="str">
        <x:v>Verilog Language → Procedures</x:v>
      </x:c>
      <x:c r="D39" s="136" t="str">
        <x:v>If statement latches</x:v>
      </x:c>
      <x:c r="E39" s="132" t="str">
        <x:v>always_if2</x:v>
      </x:c>
      <x:c r="F39" s="132" t="str">
        <x:v>B02</x:v>
      </x:c>
      <x:c r="G39" s="64" t="n">
        <x:f>INDEX('Revision Plan'!$B$12:$B$28,MATCH(F39,'Revision Plan'!$A$12:$A$28,0))</x:f>
        <x:v>46219</x:v>
      </x:c>
      <x:c r="H39" s="132" t="str">
        <x:v>Not Started</x:v>
      </x:c>
      <x:c r="I39" s="64" t="n">
        <x:f>INDEX('Revision Plan'!$G$12:$G$28,MATCH(F39,'Revision Plan'!$A$12:$A$28,0))</x:f>
        <x:v>46221</x:v>
      </x:c>
      <x:c r="J39" s="132" t="str">
        <x:v>Not Started</x:v>
      </x:c>
      <x:c r="K39" s="64" t="n">
        <x:f>INDEX('Revision Plan'!$I$12:$I$28,MATCH(F39,'Revision Plan'!$A$12:$A$28,0))</x:f>
        <x:v>46226</x:v>
      </x:c>
      <x:c r="L39" s="132" t="str">
        <x:v>Not Started</x:v>
      </x:c>
      <x:c r="M39" s="64" t="n">
        <x:f>INDEX('Revision Plan'!$K$12:$K$28,MATCH(F39,'Revision Plan'!$A$12:$A$28,0))</x:f>
        <x:v>46240</x:v>
      </x:c>
      <x:c r="N39" s="132" t="str">
        <x:v>Not Started</x:v>
      </x:c>
      <x:c r="O39" s="132"/>
      <x:c r="P39" s="136"/>
      <x:c r="Q39" s="136"/>
    </x:row>
    <x:row r="40" ht="22.5" customHeight="1">
      <x:c r="A40" s="132" t="n">
        <x:v>33</x:v>
      </x:c>
      <x:c r="B40" s="132" t="n">
        <x:v>31</x:v>
      </x:c>
      <x:c r="C40" s="136" t="str">
        <x:v>Verilog Language → Procedures</x:v>
      </x:c>
      <x:c r="D40" s="136" t="str">
        <x:v>Case statement</x:v>
      </x:c>
      <x:c r="E40" s="132" t="str">
        <x:v>always_case</x:v>
      </x:c>
      <x:c r="F40" s="132" t="str">
        <x:v>B02</x:v>
      </x:c>
      <x:c r="G40" s="64" t="n">
        <x:f>INDEX('Revision Plan'!$B$12:$B$28,MATCH(F40,'Revision Plan'!$A$12:$A$28,0))</x:f>
        <x:v>46219</x:v>
      </x:c>
      <x:c r="H40" s="132" t="str">
        <x:v>Not Started</x:v>
      </x:c>
      <x:c r="I40" s="64" t="n">
        <x:f>INDEX('Revision Plan'!$G$12:$G$28,MATCH(F40,'Revision Plan'!$A$12:$A$28,0))</x:f>
        <x:v>46221</x:v>
      </x:c>
      <x:c r="J40" s="132" t="str">
        <x:v>Not Started</x:v>
      </x:c>
      <x:c r="K40" s="64" t="n">
        <x:f>INDEX('Revision Plan'!$I$12:$I$28,MATCH(F40,'Revision Plan'!$A$12:$A$28,0))</x:f>
        <x:v>46226</x:v>
      </x:c>
      <x:c r="L40" s="132" t="str">
        <x:v>Not Started</x:v>
      </x:c>
      <x:c r="M40" s="64" t="n">
        <x:f>INDEX('Revision Plan'!$K$12:$K$28,MATCH(F40,'Revision Plan'!$A$12:$A$28,0))</x:f>
        <x:v>46240</x:v>
      </x:c>
      <x:c r="N40" s="132" t="str">
        <x:v>Not Started</x:v>
      </x:c>
      <x:c r="O40" s="132"/>
      <x:c r="P40" s="136"/>
      <x:c r="Q40" s="136"/>
    </x:row>
    <x:row r="41" ht="22.5" customHeight="1">
      <x:c r="A41" s="132" t="n">
        <x:v>34</x:v>
      </x:c>
      <x:c r="B41" s="132" t="n">
        <x:v>32</x:v>
      </x:c>
      <x:c r="C41" s="136" t="str">
        <x:v>Verilog Language → Procedures</x:v>
      </x:c>
      <x:c r="D41" s="136" t="str">
        <x:v>Priority encoder</x:v>
      </x:c>
      <x:c r="E41" s="132" t="str">
        <x:v>always_case2</x:v>
      </x:c>
      <x:c r="F41" s="132" t="str">
        <x:v>B02</x:v>
      </x:c>
      <x:c r="G41" s="64" t="n">
        <x:f>INDEX('Revision Plan'!$B$12:$B$28,MATCH(F41,'Revision Plan'!$A$12:$A$28,0))</x:f>
        <x:v>46219</x:v>
      </x:c>
      <x:c r="H41" s="132" t="str">
        <x:v>Not Started</x:v>
      </x:c>
      <x:c r="I41" s="64" t="n">
        <x:f>INDEX('Revision Plan'!$G$12:$G$28,MATCH(F41,'Revision Plan'!$A$12:$A$28,0))</x:f>
        <x:v>46221</x:v>
      </x:c>
      <x:c r="J41" s="132" t="str">
        <x:v>Not Started</x:v>
      </x:c>
      <x:c r="K41" s="64" t="n">
        <x:f>INDEX('Revision Plan'!$I$12:$I$28,MATCH(F41,'Revision Plan'!$A$12:$A$28,0))</x:f>
        <x:v>46226</x:v>
      </x:c>
      <x:c r="L41" s="132" t="str">
        <x:v>Not Started</x:v>
      </x:c>
      <x:c r="M41" s="64" t="n">
        <x:f>INDEX('Revision Plan'!$K$12:$K$28,MATCH(F41,'Revision Plan'!$A$12:$A$28,0))</x:f>
        <x:v>46240</x:v>
      </x:c>
      <x:c r="N41" s="132" t="str">
        <x:v>Not Started</x:v>
      </x:c>
      <x:c r="O41" s="132"/>
      <x:c r="P41" s="136"/>
      <x:c r="Q41" s="136"/>
    </x:row>
    <x:row r="42" ht="22.5" customHeight="1">
      <x:c r="A42" s="132" t="n">
        <x:v>35</x:v>
      </x:c>
      <x:c r="B42" s="132" t="n">
        <x:v>33</x:v>
      </x:c>
      <x:c r="C42" s="136" t="str">
        <x:v>Verilog Language → Procedures</x:v>
      </x:c>
      <x:c r="D42" s="136" t="str">
        <x:v>Priority encoder with casez</x:v>
      </x:c>
      <x:c r="E42" s="132" t="str">
        <x:v>always_casez</x:v>
      </x:c>
      <x:c r="F42" s="132" t="str">
        <x:v>B02</x:v>
      </x:c>
      <x:c r="G42" s="64" t="n">
        <x:f>INDEX('Revision Plan'!$B$12:$B$28,MATCH(F42,'Revision Plan'!$A$12:$A$28,0))</x:f>
        <x:v>46219</x:v>
      </x:c>
      <x:c r="H42" s="132" t="str">
        <x:v>Not Started</x:v>
      </x:c>
      <x:c r="I42" s="64" t="n">
        <x:f>INDEX('Revision Plan'!$G$12:$G$28,MATCH(F42,'Revision Plan'!$A$12:$A$28,0))</x:f>
        <x:v>46221</x:v>
      </x:c>
      <x:c r="J42" s="132" t="str">
        <x:v>Not Started</x:v>
      </x:c>
      <x:c r="K42" s="64" t="n">
        <x:f>INDEX('Revision Plan'!$I$12:$I$28,MATCH(F42,'Revision Plan'!$A$12:$A$28,0))</x:f>
        <x:v>46226</x:v>
      </x:c>
      <x:c r="L42" s="132" t="str">
        <x:v>Not Started</x:v>
      </x:c>
      <x:c r="M42" s="64" t="n">
        <x:f>INDEX('Revision Plan'!$K$12:$K$28,MATCH(F42,'Revision Plan'!$A$12:$A$28,0))</x:f>
        <x:v>46240</x:v>
      </x:c>
      <x:c r="N42" s="132" t="str">
        <x:v>Not Started</x:v>
      </x:c>
      <x:c r="O42" s="132"/>
      <x:c r="P42" s="136"/>
      <x:c r="Q42" s="136"/>
    </x:row>
    <x:row r="43" ht="22.5" customHeight="1">
      <x:c r="A43" s="132" t="n">
        <x:v>36</x:v>
      </x:c>
      <x:c r="B43" s="132" t="n">
        <x:v>34</x:v>
      </x:c>
      <x:c r="C43" s="136" t="str">
        <x:v>Verilog Language → Procedures</x:v>
      </x:c>
      <x:c r="D43" s="136" t="str">
        <x:v>Avoiding latches</x:v>
      </x:c>
      <x:c r="E43" s="132" t="str">
        <x:v>always_nolatches</x:v>
      </x:c>
      <x:c r="F43" s="132" t="str">
        <x:v>B02</x:v>
      </x:c>
      <x:c r="G43" s="64" t="n">
        <x:f>INDEX('Revision Plan'!$B$12:$B$28,MATCH(F43,'Revision Plan'!$A$12:$A$28,0))</x:f>
        <x:v>46219</x:v>
      </x:c>
      <x:c r="H43" s="132" t="str">
        <x:v>Not Started</x:v>
      </x:c>
      <x:c r="I43" s="64" t="n">
        <x:f>INDEX('Revision Plan'!$G$12:$G$28,MATCH(F43,'Revision Plan'!$A$12:$A$28,0))</x:f>
        <x:v>46221</x:v>
      </x:c>
      <x:c r="J43" s="132" t="str">
        <x:v>Not Started</x:v>
      </x:c>
      <x:c r="K43" s="64" t="n">
        <x:f>INDEX('Revision Plan'!$I$12:$I$28,MATCH(F43,'Revision Plan'!$A$12:$A$28,0))</x:f>
        <x:v>46226</x:v>
      </x:c>
      <x:c r="L43" s="132" t="str">
        <x:v>Not Started</x:v>
      </x:c>
      <x:c r="M43" s="64" t="n">
        <x:f>INDEX('Revision Plan'!$K$12:$K$28,MATCH(F43,'Revision Plan'!$A$12:$A$28,0))</x:f>
        <x:v>46240</x:v>
      </x:c>
      <x:c r="N43" s="132" t="str">
        <x:v>Not Started</x:v>
      </x:c>
      <x:c r="O43" s="132"/>
      <x:c r="P43" s="136"/>
      <x:c r="Q43" s="136"/>
    </x:row>
    <x:row r="44" ht="22.5" customHeight="1">
      <x:c r="A44" s="132" t="n">
        <x:v>37</x:v>
      </x:c>
      <x:c r="B44" s="132" t="n">
        <x:v>35</x:v>
      </x:c>
      <x:c r="C44" s="136" t="str">
        <x:v>Verilog Language → More Verilog Features</x:v>
      </x:c>
      <x:c r="D44" s="136" t="str">
        <x:v>Conditional ternary operator</x:v>
      </x:c>
      <x:c r="E44" s="132" t="str">
        <x:v>conditional</x:v>
      </x:c>
      <x:c r="F44" s="132" t="str">
        <x:v>B03</x:v>
      </x:c>
      <x:c r="G44" s="64" t="n">
        <x:f>INDEX('Revision Plan'!$B$12:$B$28,MATCH(F44,'Revision Plan'!$A$12:$A$28,0))</x:f>
        <x:v>46220</x:v>
      </x:c>
      <x:c r="H44" s="132" t="str">
        <x:v>Not Started</x:v>
      </x:c>
      <x:c r="I44" s="64" t="n">
        <x:f>INDEX('Revision Plan'!$G$12:$G$28,MATCH(F44,'Revision Plan'!$A$12:$A$28,0))</x:f>
        <x:v>46222</x:v>
      </x:c>
      <x:c r="J44" s="132" t="str">
        <x:v>Not Started</x:v>
      </x:c>
      <x:c r="K44" s="64" t="n">
        <x:f>INDEX('Revision Plan'!$I$12:$I$28,MATCH(F44,'Revision Plan'!$A$12:$A$28,0))</x:f>
        <x:v>46227</x:v>
      </x:c>
      <x:c r="L44" s="132" t="str">
        <x:v>Not Started</x:v>
      </x:c>
      <x:c r="M44" s="64" t="n">
        <x:f>INDEX('Revision Plan'!$K$12:$K$28,MATCH(F44,'Revision Plan'!$A$12:$A$28,0))</x:f>
        <x:v>46241</x:v>
      </x:c>
      <x:c r="N44" s="132" t="str">
        <x:v>Not Started</x:v>
      </x:c>
      <x:c r="O44" s="132"/>
      <x:c r="P44" s="136"/>
      <x:c r="Q44" s="136"/>
    </x:row>
    <x:row r="45" ht="22.5" customHeight="1">
      <x:c r="A45" s="132" t="n">
        <x:v>38</x:v>
      </x:c>
      <x:c r="B45" s="132" t="n">
        <x:v>36</x:v>
      </x:c>
      <x:c r="C45" s="136" t="str">
        <x:v>Verilog Language → More Verilog Features</x:v>
      </x:c>
      <x:c r="D45" s="136" t="str">
        <x:v>Reduction operators</x:v>
      </x:c>
      <x:c r="E45" s="132" t="str">
        <x:v>reduction</x:v>
      </x:c>
      <x:c r="F45" s="132" t="str">
        <x:v>B03</x:v>
      </x:c>
      <x:c r="G45" s="64" t="n">
        <x:f>INDEX('Revision Plan'!$B$12:$B$28,MATCH(F45,'Revision Plan'!$A$12:$A$28,0))</x:f>
        <x:v>46220</x:v>
      </x:c>
      <x:c r="H45" s="132" t="str">
        <x:v>Not Started</x:v>
      </x:c>
      <x:c r="I45" s="64" t="n">
        <x:f>INDEX('Revision Plan'!$G$12:$G$28,MATCH(F45,'Revision Plan'!$A$12:$A$28,0))</x:f>
        <x:v>46222</x:v>
      </x:c>
      <x:c r="J45" s="132" t="str">
        <x:v>Not Started</x:v>
      </x:c>
      <x:c r="K45" s="64" t="n">
        <x:f>INDEX('Revision Plan'!$I$12:$I$28,MATCH(F45,'Revision Plan'!$A$12:$A$28,0))</x:f>
        <x:v>46227</x:v>
      </x:c>
      <x:c r="L45" s="132" t="str">
        <x:v>Not Started</x:v>
      </x:c>
      <x:c r="M45" s="64" t="n">
        <x:f>INDEX('Revision Plan'!$K$12:$K$28,MATCH(F45,'Revision Plan'!$A$12:$A$28,0))</x:f>
        <x:v>46241</x:v>
      </x:c>
      <x:c r="N45" s="132" t="str">
        <x:v>Not Started</x:v>
      </x:c>
      <x:c r="O45" s="132"/>
      <x:c r="P45" s="136"/>
      <x:c r="Q45" s="136"/>
    </x:row>
    <x:row r="46" ht="22.5" customHeight="1">
      <x:c r="A46" s="132" t="n">
        <x:v>39</x:v>
      </x:c>
      <x:c r="B46" s="132" t="n">
        <x:v>37</x:v>
      </x:c>
      <x:c r="C46" s="136" t="str">
        <x:v>Verilog Language → More Verilog Features</x:v>
      </x:c>
      <x:c r="D46" s="136" t="str">
        <x:v>Reduction: Even wider gates</x:v>
      </x:c>
      <x:c r="E46" s="132" t="str">
        <x:v>gates100</x:v>
      </x:c>
      <x:c r="F46" s="132" t="str">
        <x:v>B03</x:v>
      </x:c>
      <x:c r="G46" s="64" t="n">
        <x:f>INDEX('Revision Plan'!$B$12:$B$28,MATCH(F46,'Revision Plan'!$A$12:$A$28,0))</x:f>
        <x:v>46220</x:v>
      </x:c>
      <x:c r="H46" s="132" t="str">
        <x:v>Not Started</x:v>
      </x:c>
      <x:c r="I46" s="64" t="n">
        <x:f>INDEX('Revision Plan'!$G$12:$G$28,MATCH(F46,'Revision Plan'!$A$12:$A$28,0))</x:f>
        <x:v>46222</x:v>
      </x:c>
      <x:c r="J46" s="132" t="str">
        <x:v>Not Started</x:v>
      </x:c>
      <x:c r="K46" s="64" t="n">
        <x:f>INDEX('Revision Plan'!$I$12:$I$28,MATCH(F46,'Revision Plan'!$A$12:$A$28,0))</x:f>
        <x:v>46227</x:v>
      </x:c>
      <x:c r="L46" s="132" t="str">
        <x:v>Not Started</x:v>
      </x:c>
      <x:c r="M46" s="64" t="n">
        <x:f>INDEX('Revision Plan'!$K$12:$K$28,MATCH(F46,'Revision Plan'!$A$12:$A$28,0))</x:f>
        <x:v>46241</x:v>
      </x:c>
      <x:c r="N46" s="132" t="str">
        <x:v>Not Started</x:v>
      </x:c>
      <x:c r="O46" s="132"/>
      <x:c r="P46" s="136"/>
      <x:c r="Q46" s="136"/>
    </x:row>
    <x:row r="47" ht="22.5" customHeight="1">
      <x:c r="A47" s="132" t="n">
        <x:v>40</x:v>
      </x:c>
      <x:c r="B47" s="132" t="n">
        <x:v>38</x:v>
      </x:c>
      <x:c r="C47" s="136" t="str">
        <x:v>Verilog Language → More Verilog Features</x:v>
      </x:c>
      <x:c r="D47" s="136" t="str">
        <x:v>Combinational for-loop: Vector reversal 2</x:v>
      </x:c>
      <x:c r="E47" s="132" t="str">
        <x:v>vector100r</x:v>
      </x:c>
      <x:c r="F47" s="132" t="str">
        <x:v>B03</x:v>
      </x:c>
      <x:c r="G47" s="64" t="n">
        <x:f>INDEX('Revision Plan'!$B$12:$B$28,MATCH(F47,'Revision Plan'!$A$12:$A$28,0))</x:f>
        <x:v>46220</x:v>
      </x:c>
      <x:c r="H47" s="132" t="str">
        <x:v>Not Started</x:v>
      </x:c>
      <x:c r="I47" s="64" t="n">
        <x:f>INDEX('Revision Plan'!$G$12:$G$28,MATCH(F47,'Revision Plan'!$A$12:$A$28,0))</x:f>
        <x:v>46222</x:v>
      </x:c>
      <x:c r="J47" s="132" t="str">
        <x:v>Not Started</x:v>
      </x:c>
      <x:c r="K47" s="64" t="n">
        <x:f>INDEX('Revision Plan'!$I$12:$I$28,MATCH(F47,'Revision Plan'!$A$12:$A$28,0))</x:f>
        <x:v>46227</x:v>
      </x:c>
      <x:c r="L47" s="132" t="str">
        <x:v>Not Started</x:v>
      </x:c>
      <x:c r="M47" s="64" t="n">
        <x:f>INDEX('Revision Plan'!$K$12:$K$28,MATCH(F47,'Revision Plan'!$A$12:$A$28,0))</x:f>
        <x:v>46241</x:v>
      </x:c>
      <x:c r="N47" s="132" t="str">
        <x:v>Not Started</x:v>
      </x:c>
      <x:c r="O47" s="132"/>
      <x:c r="P47" s="136"/>
      <x:c r="Q47" s="136"/>
    </x:row>
    <x:row r="48" ht="22.5" customHeight="1">
      <x:c r="A48" s="132" t="n">
        <x:v>41</x:v>
      </x:c>
      <x:c r="B48" s="132" t="n">
        <x:v>39</x:v>
      </x:c>
      <x:c r="C48" s="136" t="str">
        <x:v>Verilog Language → More Verilog Features</x:v>
      </x:c>
      <x:c r="D48" s="136" t="str">
        <x:v>Combinational for-loop: 255-bit population count</x:v>
      </x:c>
      <x:c r="E48" s="132" t="str">
        <x:v>popcount255</x:v>
      </x:c>
      <x:c r="F48" s="132" t="str">
        <x:v>B03</x:v>
      </x:c>
      <x:c r="G48" s="64" t="n">
        <x:f>INDEX('Revision Plan'!$B$12:$B$28,MATCH(F48,'Revision Plan'!$A$12:$A$28,0))</x:f>
        <x:v>46220</x:v>
      </x:c>
      <x:c r="H48" s="132" t="str">
        <x:v>Not Started</x:v>
      </x:c>
      <x:c r="I48" s="64" t="n">
        <x:f>INDEX('Revision Plan'!$G$12:$G$28,MATCH(F48,'Revision Plan'!$A$12:$A$28,0))</x:f>
        <x:v>46222</x:v>
      </x:c>
      <x:c r="J48" s="132" t="str">
        <x:v>Not Started</x:v>
      </x:c>
      <x:c r="K48" s="64" t="n">
        <x:f>INDEX('Revision Plan'!$I$12:$I$28,MATCH(F48,'Revision Plan'!$A$12:$A$28,0))</x:f>
        <x:v>46227</x:v>
      </x:c>
      <x:c r="L48" s="132" t="str">
        <x:v>Not Started</x:v>
      </x:c>
      <x:c r="M48" s="64" t="n">
        <x:f>INDEX('Revision Plan'!$K$12:$K$28,MATCH(F48,'Revision Plan'!$A$12:$A$28,0))</x:f>
        <x:v>46241</x:v>
      </x:c>
      <x:c r="N48" s="132" t="str">
        <x:v>Not Started</x:v>
      </x:c>
      <x:c r="O48" s="132"/>
      <x:c r="P48" s="136"/>
      <x:c r="Q48" s="136"/>
    </x:row>
    <x:row r="49" ht="22.5" customHeight="1">
      <x:c r="A49" s="132" t="n">
        <x:v>42</x:v>
      </x:c>
      <x:c r="B49" s="132" t="n">
        <x:v>40</x:v>
      </x:c>
      <x:c r="C49" s="136" t="str">
        <x:v>Verilog Language → More Verilog Features</x:v>
      </x:c>
      <x:c r="D49" s="136" t="str">
        <x:v>Generate for-loop: 100-bit binary adder 2</x:v>
      </x:c>
      <x:c r="E49" s="132" t="str">
        <x:v>adder100i</x:v>
      </x:c>
      <x:c r="F49" s="132" t="str">
        <x:v>B03</x:v>
      </x:c>
      <x:c r="G49" s="64" t="n">
        <x:f>INDEX('Revision Plan'!$B$12:$B$28,MATCH(F49,'Revision Plan'!$A$12:$A$28,0))</x:f>
        <x:v>46220</x:v>
      </x:c>
      <x:c r="H49" s="132" t="str">
        <x:v>Not Started</x:v>
      </x:c>
      <x:c r="I49" s="64" t="n">
        <x:f>INDEX('Revision Plan'!$G$12:$G$28,MATCH(F49,'Revision Plan'!$A$12:$A$28,0))</x:f>
        <x:v>46222</x:v>
      </x:c>
      <x:c r="J49" s="132" t="str">
        <x:v>Not Started</x:v>
      </x:c>
      <x:c r="K49" s="64" t="n">
        <x:f>INDEX('Revision Plan'!$I$12:$I$28,MATCH(F49,'Revision Plan'!$A$12:$A$28,0))</x:f>
        <x:v>46227</x:v>
      </x:c>
      <x:c r="L49" s="132" t="str">
        <x:v>Not Started</x:v>
      </x:c>
      <x:c r="M49" s="64" t="n">
        <x:f>INDEX('Revision Plan'!$K$12:$K$28,MATCH(F49,'Revision Plan'!$A$12:$A$28,0))</x:f>
        <x:v>46241</x:v>
      </x:c>
      <x:c r="N49" s="132" t="str">
        <x:v>Not Started</x:v>
      </x:c>
      <x:c r="O49" s="132"/>
      <x:c r="P49" s="136"/>
      <x:c r="Q49" s="136"/>
    </x:row>
    <x:row r="50" ht="22.5" customHeight="1">
      <x:c r="A50" s="132" t="n">
        <x:v>43</x:v>
      </x:c>
      <x:c r="B50" s="132" t="n">
        <x:v>41</x:v>
      </x:c>
      <x:c r="C50" s="136" t="str">
        <x:v>Verilog Language → More Verilog Features</x:v>
      </x:c>
      <x:c r="D50" s="136" t="str">
        <x:v>Generate for-loop: 100-digit BCD adder</x:v>
      </x:c>
      <x:c r="E50" s="132" t="str">
        <x:v>bcdadd100</x:v>
      </x:c>
      <x:c r="F50" s="132" t="str">
        <x:v>B03</x:v>
      </x:c>
      <x:c r="G50" s="64" t="n">
        <x:f>INDEX('Revision Plan'!$B$12:$B$28,MATCH(F50,'Revision Plan'!$A$12:$A$28,0))</x:f>
        <x:v>46220</x:v>
      </x:c>
      <x:c r="H50" s="132" t="str">
        <x:v>Not Started</x:v>
      </x:c>
      <x:c r="I50" s="64" t="n">
        <x:f>INDEX('Revision Plan'!$G$12:$G$28,MATCH(F50,'Revision Plan'!$A$12:$A$28,0))</x:f>
        <x:v>46222</x:v>
      </x:c>
      <x:c r="J50" s="132" t="str">
        <x:v>Not Started</x:v>
      </x:c>
      <x:c r="K50" s="64" t="n">
        <x:f>INDEX('Revision Plan'!$I$12:$I$28,MATCH(F50,'Revision Plan'!$A$12:$A$28,0))</x:f>
        <x:v>46227</x:v>
      </x:c>
      <x:c r="L50" s="132" t="str">
        <x:v>Not Started</x:v>
      </x:c>
      <x:c r="M50" s="64" t="n">
        <x:f>INDEX('Revision Plan'!$K$12:$K$28,MATCH(F50,'Revision Plan'!$A$12:$A$28,0))</x:f>
        <x:v>46241</x:v>
      </x:c>
      <x:c r="N50" s="132" t="str">
        <x:v>Not Started</x:v>
      </x:c>
      <x:c r="O50" s="132"/>
      <x:c r="P50" s="136"/>
      <x:c r="Q50" s="136"/>
    </x:row>
    <x:row r="51" ht="22.5" customHeight="1">
      <x:c r="A51" s="132" t="n">
        <x:v>44</x:v>
      </x:c>
      <x:c r="B51" s="132" t="n">
        <x:v>42</x:v>
      </x:c>
      <x:c r="C51" s="136" t="str">
        <x:v>Circuits → Combinational Logic → Basic Gates</x:v>
      </x:c>
      <x:c r="D51" s="136" t="str">
        <x:v>Wire</x:v>
      </x:c>
      <x:c r="E51" s="132" t="str">
        <x:v>exams/m2014_q4h</x:v>
      </x:c>
      <x:c r="F51" s="132" t="str">
        <x:v>B03</x:v>
      </x:c>
      <x:c r="G51" s="64" t="n">
        <x:f>INDEX('Revision Plan'!$B$12:$B$28,MATCH(F51,'Revision Plan'!$A$12:$A$28,0))</x:f>
        <x:v>46220</x:v>
      </x:c>
      <x:c r="H51" s="132" t="str">
        <x:v>Not Started</x:v>
      </x:c>
      <x:c r="I51" s="64" t="n">
        <x:f>INDEX('Revision Plan'!$G$12:$G$28,MATCH(F51,'Revision Plan'!$A$12:$A$28,0))</x:f>
        <x:v>46222</x:v>
      </x:c>
      <x:c r="J51" s="132" t="str">
        <x:v>Not Started</x:v>
      </x:c>
      <x:c r="K51" s="64" t="n">
        <x:f>INDEX('Revision Plan'!$I$12:$I$28,MATCH(F51,'Revision Plan'!$A$12:$A$28,0))</x:f>
        <x:v>46227</x:v>
      </x:c>
      <x:c r="L51" s="132" t="str">
        <x:v>Not Started</x:v>
      </x:c>
      <x:c r="M51" s="64" t="n">
        <x:f>INDEX('Revision Plan'!$K$12:$K$28,MATCH(F51,'Revision Plan'!$A$12:$A$28,0))</x:f>
        <x:v>46241</x:v>
      </x:c>
      <x:c r="N51" s="132" t="str">
        <x:v>Not Started</x:v>
      </x:c>
      <x:c r="O51" s="132"/>
      <x:c r="P51" s="136"/>
      <x:c r="Q51" s="136"/>
    </x:row>
    <x:row r="52" ht="22.5" customHeight="1">
      <x:c r="A52" s="132" t="n">
        <x:v>45</x:v>
      </x:c>
      <x:c r="B52" s="132" t="n">
        <x:v>43</x:v>
      </x:c>
      <x:c r="C52" s="136" t="str">
        <x:v>Circuits → Combinational Logic → Basic Gates</x:v>
      </x:c>
      <x:c r="D52" s="136" t="str">
        <x:v>GND</x:v>
      </x:c>
      <x:c r="E52" s="132" t="str">
        <x:v>exams/m2014_q4i</x:v>
      </x:c>
      <x:c r="F52" s="132" t="str">
        <x:v>B03</x:v>
      </x:c>
      <x:c r="G52" s="64" t="n">
        <x:f>INDEX('Revision Plan'!$B$12:$B$28,MATCH(F52,'Revision Plan'!$A$12:$A$28,0))</x:f>
        <x:v>46220</x:v>
      </x:c>
      <x:c r="H52" s="132" t="str">
        <x:v>Not Started</x:v>
      </x:c>
      <x:c r="I52" s="64" t="n">
        <x:f>INDEX('Revision Plan'!$G$12:$G$28,MATCH(F52,'Revision Plan'!$A$12:$A$28,0))</x:f>
        <x:v>46222</x:v>
      </x:c>
      <x:c r="J52" s="132" t="str">
        <x:v>Not Started</x:v>
      </x:c>
      <x:c r="K52" s="64" t="n">
        <x:f>INDEX('Revision Plan'!$I$12:$I$28,MATCH(F52,'Revision Plan'!$A$12:$A$28,0))</x:f>
        <x:v>46227</x:v>
      </x:c>
      <x:c r="L52" s="132" t="str">
        <x:v>Not Started</x:v>
      </x:c>
      <x:c r="M52" s="64" t="n">
        <x:f>INDEX('Revision Plan'!$K$12:$K$28,MATCH(F52,'Revision Plan'!$A$12:$A$28,0))</x:f>
        <x:v>46241</x:v>
      </x:c>
      <x:c r="N52" s="132" t="str">
        <x:v>Not Started</x:v>
      </x:c>
      <x:c r="O52" s="132"/>
      <x:c r="P52" s="136"/>
      <x:c r="Q52" s="136"/>
    </x:row>
    <x:row r="53" ht="22.5" customHeight="1">
      <x:c r="A53" s="132" t="n">
        <x:v>46</x:v>
      </x:c>
      <x:c r="B53" s="132" t="n">
        <x:v>44</x:v>
      </x:c>
      <x:c r="C53" s="136" t="str">
        <x:v>Circuits → Combinational Logic → Basic Gates</x:v>
      </x:c>
      <x:c r="D53" s="136" t="str">
        <x:v>NOR</x:v>
      </x:c>
      <x:c r="E53" s="132" t="str">
        <x:v>exams/m2014_q4e</x:v>
      </x:c>
      <x:c r="F53" s="132" t="str">
        <x:v>B03</x:v>
      </x:c>
      <x:c r="G53" s="64" t="n">
        <x:f>INDEX('Revision Plan'!$B$12:$B$28,MATCH(F53,'Revision Plan'!$A$12:$A$28,0))</x:f>
        <x:v>46220</x:v>
      </x:c>
      <x:c r="H53" s="132" t="str">
        <x:v>Not Started</x:v>
      </x:c>
      <x:c r="I53" s="64" t="n">
        <x:f>INDEX('Revision Plan'!$G$12:$G$28,MATCH(F53,'Revision Plan'!$A$12:$A$28,0))</x:f>
        <x:v>46222</x:v>
      </x:c>
      <x:c r="J53" s="132" t="str">
        <x:v>Not Started</x:v>
      </x:c>
      <x:c r="K53" s="64" t="n">
        <x:f>INDEX('Revision Plan'!$I$12:$I$28,MATCH(F53,'Revision Plan'!$A$12:$A$28,0))</x:f>
        <x:v>46227</x:v>
      </x:c>
      <x:c r="L53" s="132" t="str">
        <x:v>Not Started</x:v>
      </x:c>
      <x:c r="M53" s="64" t="n">
        <x:f>INDEX('Revision Plan'!$K$12:$K$28,MATCH(F53,'Revision Plan'!$A$12:$A$28,0))</x:f>
        <x:v>46241</x:v>
      </x:c>
      <x:c r="N53" s="132" t="str">
        <x:v>Not Started</x:v>
      </x:c>
      <x:c r="O53" s="132"/>
      <x:c r="P53" s="136"/>
      <x:c r="Q53" s="136"/>
    </x:row>
    <x:row r="54" ht="22.5" customHeight="1">
      <x:c r="A54" s="132" t="n">
        <x:v>47</x:v>
      </x:c>
      <x:c r="B54" s="132" t="n">
        <x:v>45</x:v>
      </x:c>
      <x:c r="C54" s="136" t="str">
        <x:v>Circuits → Combinational Logic → Basic Gates</x:v>
      </x:c>
      <x:c r="D54" s="136" t="str">
        <x:v>Another gate</x:v>
      </x:c>
      <x:c r="E54" s="132" t="str">
        <x:v>exams/m2014_q4f</x:v>
      </x:c>
      <x:c r="F54" s="132" t="str">
        <x:v>B03</x:v>
      </x:c>
      <x:c r="G54" s="64" t="n">
        <x:f>INDEX('Revision Plan'!$B$12:$B$28,MATCH(F54,'Revision Plan'!$A$12:$A$28,0))</x:f>
        <x:v>46220</x:v>
      </x:c>
      <x:c r="H54" s="132" t="str">
        <x:v>Not Started</x:v>
      </x:c>
      <x:c r="I54" s="64" t="n">
        <x:f>INDEX('Revision Plan'!$G$12:$G$28,MATCH(F54,'Revision Plan'!$A$12:$A$28,0))</x:f>
        <x:v>46222</x:v>
      </x:c>
      <x:c r="J54" s="132" t="str">
        <x:v>Not Started</x:v>
      </x:c>
      <x:c r="K54" s="64" t="n">
        <x:f>INDEX('Revision Plan'!$I$12:$I$28,MATCH(F54,'Revision Plan'!$A$12:$A$28,0))</x:f>
        <x:v>46227</x:v>
      </x:c>
      <x:c r="L54" s="132" t="str">
        <x:v>Not Started</x:v>
      </x:c>
      <x:c r="M54" s="64" t="n">
        <x:f>INDEX('Revision Plan'!$K$12:$K$28,MATCH(F54,'Revision Plan'!$A$12:$A$28,0))</x:f>
        <x:v>46241</x:v>
      </x:c>
      <x:c r="N54" s="132" t="str">
        <x:v>Not Started</x:v>
      </x:c>
      <x:c r="O54" s="132"/>
      <x:c r="P54" s="136"/>
      <x:c r="Q54" s="136"/>
    </x:row>
    <x:row r="55" ht="22.5" customHeight="1">
      <x:c r="A55" s="132" t="n">
        <x:v>48</x:v>
      </x:c>
      <x:c r="B55" s="132" t="n">
        <x:v>46</x:v>
      </x:c>
      <x:c r="C55" s="136" t="str">
        <x:v>Circuits → Combinational Logic → Basic Gates</x:v>
      </x:c>
      <x:c r="D55" s="136" t="str">
        <x:v>Two gates</x:v>
      </x:c>
      <x:c r="E55" s="132" t="str">
        <x:v>exams/m2014_q4g</x:v>
      </x:c>
      <x:c r="F55" s="132" t="str">
        <x:v>B03</x:v>
      </x:c>
      <x:c r="G55" s="64" t="n">
        <x:f>INDEX('Revision Plan'!$B$12:$B$28,MATCH(F55,'Revision Plan'!$A$12:$A$28,0))</x:f>
        <x:v>46220</x:v>
      </x:c>
      <x:c r="H55" s="132" t="str">
        <x:v>Not Started</x:v>
      </x:c>
      <x:c r="I55" s="64" t="n">
        <x:f>INDEX('Revision Plan'!$G$12:$G$28,MATCH(F55,'Revision Plan'!$A$12:$A$28,0))</x:f>
        <x:v>46222</x:v>
      </x:c>
      <x:c r="J55" s="132" t="str">
        <x:v>Not Started</x:v>
      </x:c>
      <x:c r="K55" s="64" t="n">
        <x:f>INDEX('Revision Plan'!$I$12:$I$28,MATCH(F55,'Revision Plan'!$A$12:$A$28,0))</x:f>
        <x:v>46227</x:v>
      </x:c>
      <x:c r="L55" s="132" t="str">
        <x:v>Not Started</x:v>
      </x:c>
      <x:c r="M55" s="64" t="n">
        <x:f>INDEX('Revision Plan'!$K$12:$K$28,MATCH(F55,'Revision Plan'!$A$12:$A$28,0))</x:f>
        <x:v>46241</x:v>
      </x:c>
      <x:c r="N55" s="132" t="str">
        <x:v>Not Started</x:v>
      </x:c>
      <x:c r="O55" s="132"/>
      <x:c r="P55" s="136"/>
      <x:c r="Q55" s="136"/>
    </x:row>
    <x:row r="56" ht="22.5" customHeight="1">
      <x:c r="A56" s="132" t="n">
        <x:v>49</x:v>
      </x:c>
      <x:c r="B56" s="132" t="n">
        <x:v>47</x:v>
      </x:c>
      <x:c r="C56" s="136" t="str">
        <x:v>Circuits → Combinational Logic → Basic Gates</x:v>
      </x:c>
      <x:c r="D56" s="136" t="str">
        <x:v>More logic gates</x:v>
      </x:c>
      <x:c r="E56" s="132" t="str">
        <x:v>gates</x:v>
      </x:c>
      <x:c r="F56" s="132" t="str">
        <x:v>B03</x:v>
      </x:c>
      <x:c r="G56" s="64" t="n">
        <x:f>INDEX('Revision Plan'!$B$12:$B$28,MATCH(F56,'Revision Plan'!$A$12:$A$28,0))</x:f>
        <x:v>46220</x:v>
      </x:c>
      <x:c r="H56" s="132" t="str">
        <x:v>Not Started</x:v>
      </x:c>
      <x:c r="I56" s="64" t="n">
        <x:f>INDEX('Revision Plan'!$G$12:$G$28,MATCH(F56,'Revision Plan'!$A$12:$A$28,0))</x:f>
        <x:v>46222</x:v>
      </x:c>
      <x:c r="J56" s="132" t="str">
        <x:v>Not Started</x:v>
      </x:c>
      <x:c r="K56" s="64" t="n">
        <x:f>INDEX('Revision Plan'!$I$12:$I$28,MATCH(F56,'Revision Plan'!$A$12:$A$28,0))</x:f>
        <x:v>46227</x:v>
      </x:c>
      <x:c r="L56" s="132" t="str">
        <x:v>Not Started</x:v>
      </x:c>
      <x:c r="M56" s="64" t="n">
        <x:f>INDEX('Revision Plan'!$K$12:$K$28,MATCH(F56,'Revision Plan'!$A$12:$A$28,0))</x:f>
        <x:v>46241</x:v>
      </x:c>
      <x:c r="N56" s="132" t="str">
        <x:v>Not Started</x:v>
      </x:c>
      <x:c r="O56" s="132"/>
      <x:c r="P56" s="136"/>
      <x:c r="Q56" s="136"/>
    </x:row>
    <x:row r="57" ht="22.5" customHeight="1">
      <x:c r="A57" s="132" t="n">
        <x:v>50</x:v>
      </x:c>
      <x:c r="B57" s="132" t="n">
        <x:v>48</x:v>
      </x:c>
      <x:c r="C57" s="136" t="str">
        <x:v>Circuits → Combinational Logic → Basic Gates</x:v>
      </x:c>
      <x:c r="D57" s="136" t="str">
        <x:v>7420 chip</x:v>
      </x:c>
      <x:c r="E57" s="132" t="str">
        <x:v>7420</x:v>
      </x:c>
      <x:c r="F57" s="132" t="str">
        <x:v>B03</x:v>
      </x:c>
      <x:c r="G57" s="64" t="n">
        <x:f>INDEX('Revision Plan'!$B$12:$B$28,MATCH(F57,'Revision Plan'!$A$12:$A$28,0))</x:f>
        <x:v>46220</x:v>
      </x:c>
      <x:c r="H57" s="132" t="str">
        <x:v>Not Started</x:v>
      </x:c>
      <x:c r="I57" s="64" t="n">
        <x:f>INDEX('Revision Plan'!$G$12:$G$28,MATCH(F57,'Revision Plan'!$A$12:$A$28,0))</x:f>
        <x:v>46222</x:v>
      </x:c>
      <x:c r="J57" s="132" t="str">
        <x:v>Not Started</x:v>
      </x:c>
      <x:c r="K57" s="64" t="n">
        <x:f>INDEX('Revision Plan'!$I$12:$I$28,MATCH(F57,'Revision Plan'!$A$12:$A$28,0))</x:f>
        <x:v>46227</x:v>
      </x:c>
      <x:c r="L57" s="132" t="str">
        <x:v>Not Started</x:v>
      </x:c>
      <x:c r="M57" s="64" t="n">
        <x:f>INDEX('Revision Plan'!$K$12:$K$28,MATCH(F57,'Revision Plan'!$A$12:$A$28,0))</x:f>
        <x:v>46241</x:v>
      </x:c>
      <x:c r="N57" s="132" t="str">
        <x:v>Not Started</x:v>
      </x:c>
      <x:c r="O57" s="132"/>
      <x:c r="P57" s="136"/>
      <x:c r="Q57" s="136"/>
    </x:row>
    <x:row r="58" ht="22.5" customHeight="1">
      <x:c r="A58" s="132" t="n">
        <x:v>51</x:v>
      </x:c>
      <x:c r="B58" s="132" t="n">
        <x:v>49</x:v>
      </x:c>
      <x:c r="C58" s="136" t="str">
        <x:v>Circuits → Combinational Logic → Basic Gates</x:v>
      </x:c>
      <x:c r="D58" s="136" t="str">
        <x:v>Truth tables</x:v>
      </x:c>
      <x:c r="E58" s="132" t="str">
        <x:v>truthtable1</x:v>
      </x:c>
      <x:c r="F58" s="132" t="str">
        <x:v>B03</x:v>
      </x:c>
      <x:c r="G58" s="64" t="n">
        <x:f>INDEX('Revision Plan'!$B$12:$B$28,MATCH(F58,'Revision Plan'!$A$12:$A$28,0))</x:f>
        <x:v>46220</x:v>
      </x:c>
      <x:c r="H58" s="132" t="str">
        <x:v>Not Started</x:v>
      </x:c>
      <x:c r="I58" s="64" t="n">
        <x:f>INDEX('Revision Plan'!$G$12:$G$28,MATCH(F58,'Revision Plan'!$A$12:$A$28,0))</x:f>
        <x:v>46222</x:v>
      </x:c>
      <x:c r="J58" s="132" t="str">
        <x:v>Not Started</x:v>
      </x:c>
      <x:c r="K58" s="64" t="n">
        <x:f>INDEX('Revision Plan'!$I$12:$I$28,MATCH(F58,'Revision Plan'!$A$12:$A$28,0))</x:f>
        <x:v>46227</x:v>
      </x:c>
      <x:c r="L58" s="132" t="str">
        <x:v>Not Started</x:v>
      </x:c>
      <x:c r="M58" s="64" t="n">
        <x:f>INDEX('Revision Plan'!$K$12:$K$28,MATCH(F58,'Revision Plan'!$A$12:$A$28,0))</x:f>
        <x:v>46241</x:v>
      </x:c>
      <x:c r="N58" s="132" t="str">
        <x:v>Not Started</x:v>
      </x:c>
      <x:c r="O58" s="132"/>
      <x:c r="P58" s="136"/>
      <x:c r="Q58" s="136"/>
    </x:row>
    <x:row r="59" ht="22.5" customHeight="1">
      <x:c r="A59" s="132" t="n">
        <x:v>52</x:v>
      </x:c>
      <x:c r="B59" s="132" t="n">
        <x:v>50</x:v>
      </x:c>
      <x:c r="C59" s="136" t="str">
        <x:v>Circuits → Combinational Logic → Basic Gates</x:v>
      </x:c>
      <x:c r="D59" s="136" t="str">
        <x:v>Two-bit equality</x:v>
      </x:c>
      <x:c r="E59" s="132" t="str">
        <x:v>mt2015_eq2</x:v>
      </x:c>
      <x:c r="F59" s="132" t="str">
        <x:v>B03</x:v>
      </x:c>
      <x:c r="G59" s="64" t="n">
        <x:f>INDEX('Revision Plan'!$B$12:$B$28,MATCH(F59,'Revision Plan'!$A$12:$A$28,0))</x:f>
        <x:v>46220</x:v>
      </x:c>
      <x:c r="H59" s="132" t="str">
        <x:v>Not Started</x:v>
      </x:c>
      <x:c r="I59" s="64" t="n">
        <x:f>INDEX('Revision Plan'!$G$12:$G$28,MATCH(F59,'Revision Plan'!$A$12:$A$28,0))</x:f>
        <x:v>46222</x:v>
      </x:c>
      <x:c r="J59" s="132" t="str">
        <x:v>Not Started</x:v>
      </x:c>
      <x:c r="K59" s="64" t="n">
        <x:f>INDEX('Revision Plan'!$I$12:$I$28,MATCH(F59,'Revision Plan'!$A$12:$A$28,0))</x:f>
        <x:v>46227</x:v>
      </x:c>
      <x:c r="L59" s="132" t="str">
        <x:v>Not Started</x:v>
      </x:c>
      <x:c r="M59" s="64" t="n">
        <x:f>INDEX('Revision Plan'!$K$12:$K$28,MATCH(F59,'Revision Plan'!$A$12:$A$28,0))</x:f>
        <x:v>46241</x:v>
      </x:c>
      <x:c r="N59" s="132" t="str">
        <x:v>Not Started</x:v>
      </x:c>
      <x:c r="O59" s="132"/>
      <x:c r="P59" s="136"/>
      <x:c r="Q59" s="136"/>
    </x:row>
    <x:row r="60" ht="22.5" customHeight="1">
      <x:c r="A60" s="132" t="n">
        <x:v>53</x:v>
      </x:c>
      <x:c r="B60" s="132" t="n">
        <x:v>51</x:v>
      </x:c>
      <x:c r="C60" s="136" t="str">
        <x:v>Circuits → Combinational Logic → Basic Gates</x:v>
      </x:c>
      <x:c r="D60" s="136" t="str">
        <x:v>Simple circuit A</x:v>
      </x:c>
      <x:c r="E60" s="132" t="str">
        <x:v>mt2015_q4a</x:v>
      </x:c>
      <x:c r="F60" s="132" t="str">
        <x:v>B04</x:v>
      </x:c>
      <x:c r="G60" s="64" t="n">
        <x:f>INDEX('Revision Plan'!$B$12:$B$28,MATCH(F60,'Revision Plan'!$A$12:$A$28,0))</x:f>
        <x:v>46221</x:v>
      </x:c>
      <x:c r="H60" s="132" t="str">
        <x:v>Not Started</x:v>
      </x:c>
      <x:c r="I60" s="64" t="n">
        <x:f>INDEX('Revision Plan'!$G$12:$G$28,MATCH(F60,'Revision Plan'!$A$12:$A$28,0))</x:f>
        <x:v>46223</x:v>
      </x:c>
      <x:c r="J60" s="132" t="str">
        <x:v>Not Started</x:v>
      </x:c>
      <x:c r="K60" s="64" t="n">
        <x:f>INDEX('Revision Plan'!$I$12:$I$28,MATCH(F60,'Revision Plan'!$A$12:$A$28,0))</x:f>
        <x:v>46228</x:v>
      </x:c>
      <x:c r="L60" s="132" t="str">
        <x:v>Not Started</x:v>
      </x:c>
      <x:c r="M60" s="64" t="n">
        <x:f>INDEX('Revision Plan'!$K$12:$K$28,MATCH(F60,'Revision Plan'!$A$12:$A$28,0))</x:f>
        <x:v>46242</x:v>
      </x:c>
      <x:c r="N60" s="132" t="str">
        <x:v>Not Started</x:v>
      </x:c>
      <x:c r="O60" s="132"/>
      <x:c r="P60" s="136"/>
      <x:c r="Q60" s="136"/>
    </x:row>
    <x:row r="61" ht="22.5" customHeight="1">
      <x:c r="A61" s="132" t="n">
        <x:v>54</x:v>
      </x:c>
      <x:c r="B61" s="132" t="n">
        <x:v>52</x:v>
      </x:c>
      <x:c r="C61" s="136" t="str">
        <x:v>Circuits → Combinational Logic → Basic Gates</x:v>
      </x:c>
      <x:c r="D61" s="136" t="str">
        <x:v>Simple circuit B</x:v>
      </x:c>
      <x:c r="E61" s="132" t="str">
        <x:v>mt2015_q4b</x:v>
      </x:c>
      <x:c r="F61" s="132" t="str">
        <x:v>B04</x:v>
      </x:c>
      <x:c r="G61" s="64" t="n">
        <x:f>INDEX('Revision Plan'!$B$12:$B$28,MATCH(F61,'Revision Plan'!$A$12:$A$28,0))</x:f>
        <x:v>46221</x:v>
      </x:c>
      <x:c r="H61" s="132" t="str">
        <x:v>Not Started</x:v>
      </x:c>
      <x:c r="I61" s="64" t="n">
        <x:f>INDEX('Revision Plan'!$G$12:$G$28,MATCH(F61,'Revision Plan'!$A$12:$A$28,0))</x:f>
        <x:v>46223</x:v>
      </x:c>
      <x:c r="J61" s="132" t="str">
        <x:v>Not Started</x:v>
      </x:c>
      <x:c r="K61" s="64" t="n">
        <x:f>INDEX('Revision Plan'!$I$12:$I$28,MATCH(F61,'Revision Plan'!$A$12:$A$28,0))</x:f>
        <x:v>46228</x:v>
      </x:c>
      <x:c r="L61" s="132" t="str">
        <x:v>Not Started</x:v>
      </x:c>
      <x:c r="M61" s="64" t="n">
        <x:f>INDEX('Revision Plan'!$K$12:$K$28,MATCH(F61,'Revision Plan'!$A$12:$A$28,0))</x:f>
        <x:v>46242</x:v>
      </x:c>
      <x:c r="N61" s="132" t="str">
        <x:v>Not Started</x:v>
      </x:c>
      <x:c r="O61" s="132"/>
      <x:c r="P61" s="136"/>
      <x:c r="Q61" s="136"/>
    </x:row>
    <x:row r="62" ht="22.5" customHeight="1">
      <x:c r="A62" s="132" t="n">
        <x:v>55</x:v>
      </x:c>
      <x:c r="B62" s="132" t="n">
        <x:v>53</x:v>
      </x:c>
      <x:c r="C62" s="136" t="str">
        <x:v>Circuits → Combinational Logic → Basic Gates</x:v>
      </x:c>
      <x:c r="D62" s="136" t="str">
        <x:v>Combine circuits A and B</x:v>
      </x:c>
      <x:c r="E62" s="132" t="str">
        <x:v>mt2015_q4</x:v>
      </x:c>
      <x:c r="F62" s="132" t="str">
        <x:v>B04</x:v>
      </x:c>
      <x:c r="G62" s="64" t="n">
        <x:f>INDEX('Revision Plan'!$B$12:$B$28,MATCH(F62,'Revision Plan'!$A$12:$A$28,0))</x:f>
        <x:v>46221</x:v>
      </x:c>
      <x:c r="H62" s="132" t="str">
        <x:v>Not Started</x:v>
      </x:c>
      <x:c r="I62" s="64" t="n">
        <x:f>INDEX('Revision Plan'!$G$12:$G$28,MATCH(F62,'Revision Plan'!$A$12:$A$28,0))</x:f>
        <x:v>46223</x:v>
      </x:c>
      <x:c r="J62" s="132" t="str">
        <x:v>Not Started</x:v>
      </x:c>
      <x:c r="K62" s="64" t="n">
        <x:f>INDEX('Revision Plan'!$I$12:$I$28,MATCH(F62,'Revision Plan'!$A$12:$A$28,0))</x:f>
        <x:v>46228</x:v>
      </x:c>
      <x:c r="L62" s="132" t="str">
        <x:v>Not Started</x:v>
      </x:c>
      <x:c r="M62" s="64" t="n">
        <x:f>INDEX('Revision Plan'!$K$12:$K$28,MATCH(F62,'Revision Plan'!$A$12:$A$28,0))</x:f>
        <x:v>46242</x:v>
      </x:c>
      <x:c r="N62" s="132" t="str">
        <x:v>Not Started</x:v>
      </x:c>
      <x:c r="O62" s="132"/>
      <x:c r="P62" s="136"/>
      <x:c r="Q62" s="136"/>
    </x:row>
    <x:row r="63" ht="22.5" customHeight="1">
      <x:c r="A63" s="132" t="n">
        <x:v>56</x:v>
      </x:c>
      <x:c r="B63" s="132" t="n">
        <x:v>54</x:v>
      </x:c>
      <x:c r="C63" s="136" t="str">
        <x:v>Circuits → Combinational Logic → Basic Gates</x:v>
      </x:c>
      <x:c r="D63" s="136" t="str">
        <x:v>Ring or vibrate?</x:v>
      </x:c>
      <x:c r="E63" s="132" t="str">
        <x:v>ringer</x:v>
      </x:c>
      <x:c r="F63" s="132" t="str">
        <x:v>B04</x:v>
      </x:c>
      <x:c r="G63" s="64" t="n">
        <x:f>INDEX('Revision Plan'!$B$12:$B$28,MATCH(F63,'Revision Plan'!$A$12:$A$28,0))</x:f>
        <x:v>46221</x:v>
      </x:c>
      <x:c r="H63" s="132" t="str">
        <x:v>Not Started</x:v>
      </x:c>
      <x:c r="I63" s="64" t="n">
        <x:f>INDEX('Revision Plan'!$G$12:$G$28,MATCH(F63,'Revision Plan'!$A$12:$A$28,0))</x:f>
        <x:v>46223</x:v>
      </x:c>
      <x:c r="J63" s="132" t="str">
        <x:v>Not Started</x:v>
      </x:c>
      <x:c r="K63" s="64" t="n">
        <x:f>INDEX('Revision Plan'!$I$12:$I$28,MATCH(F63,'Revision Plan'!$A$12:$A$28,0))</x:f>
        <x:v>46228</x:v>
      </x:c>
      <x:c r="L63" s="132" t="str">
        <x:v>Not Started</x:v>
      </x:c>
      <x:c r="M63" s="64" t="n">
        <x:f>INDEX('Revision Plan'!$K$12:$K$28,MATCH(F63,'Revision Plan'!$A$12:$A$28,0))</x:f>
        <x:v>46242</x:v>
      </x:c>
      <x:c r="N63" s="132" t="str">
        <x:v>Not Started</x:v>
      </x:c>
      <x:c r="O63" s="132"/>
      <x:c r="P63" s="136"/>
      <x:c r="Q63" s="136"/>
    </x:row>
    <x:row r="64" ht="22.5" customHeight="1">
      <x:c r="A64" s="132" t="n">
        <x:v>57</x:v>
      </x:c>
      <x:c r="B64" s="132" t="n">
        <x:v>55</x:v>
      </x:c>
      <x:c r="C64" s="136" t="str">
        <x:v>Circuits → Combinational Logic → Basic Gates</x:v>
      </x:c>
      <x:c r="D64" s="136" t="str">
        <x:v>Thermostat</x:v>
      </x:c>
      <x:c r="E64" s="132" t="str">
        <x:v>thermostat</x:v>
      </x:c>
      <x:c r="F64" s="132" t="str">
        <x:v>B04</x:v>
      </x:c>
      <x:c r="G64" s="64" t="n">
        <x:f>INDEX('Revision Plan'!$B$12:$B$28,MATCH(F64,'Revision Plan'!$A$12:$A$28,0))</x:f>
        <x:v>46221</x:v>
      </x:c>
      <x:c r="H64" s="132" t="str">
        <x:v>Not Started</x:v>
      </x:c>
      <x:c r="I64" s="64" t="n">
        <x:f>INDEX('Revision Plan'!$G$12:$G$28,MATCH(F64,'Revision Plan'!$A$12:$A$28,0))</x:f>
        <x:v>46223</x:v>
      </x:c>
      <x:c r="J64" s="132" t="str">
        <x:v>Not Started</x:v>
      </x:c>
      <x:c r="K64" s="64" t="n">
        <x:f>INDEX('Revision Plan'!$I$12:$I$28,MATCH(F64,'Revision Plan'!$A$12:$A$28,0))</x:f>
        <x:v>46228</x:v>
      </x:c>
      <x:c r="L64" s="132" t="str">
        <x:v>Not Started</x:v>
      </x:c>
      <x:c r="M64" s="64" t="n">
        <x:f>INDEX('Revision Plan'!$K$12:$K$28,MATCH(F64,'Revision Plan'!$A$12:$A$28,0))</x:f>
        <x:v>46242</x:v>
      </x:c>
      <x:c r="N64" s="132" t="str">
        <x:v>Not Started</x:v>
      </x:c>
      <x:c r="O64" s="132"/>
      <x:c r="P64" s="136"/>
      <x:c r="Q64" s="136"/>
    </x:row>
    <x:row r="65" ht="22.5" customHeight="1">
      <x:c r="A65" s="132" t="n">
        <x:v>58</x:v>
      </x:c>
      <x:c r="B65" s="132" t="n">
        <x:v>56</x:v>
      </x:c>
      <x:c r="C65" s="136" t="str">
        <x:v>Circuits → Combinational Logic → Basic Gates</x:v>
      </x:c>
      <x:c r="D65" s="136" t="str">
        <x:v>3-bit population count</x:v>
      </x:c>
      <x:c r="E65" s="132" t="str">
        <x:v>popcount3</x:v>
      </x:c>
      <x:c r="F65" s="132" t="str">
        <x:v>B04</x:v>
      </x:c>
      <x:c r="G65" s="64" t="n">
        <x:f>INDEX('Revision Plan'!$B$12:$B$28,MATCH(F65,'Revision Plan'!$A$12:$A$28,0))</x:f>
        <x:v>46221</x:v>
      </x:c>
      <x:c r="H65" s="132" t="str">
        <x:v>Not Started</x:v>
      </x:c>
      <x:c r="I65" s="64" t="n">
        <x:f>INDEX('Revision Plan'!$G$12:$G$28,MATCH(F65,'Revision Plan'!$A$12:$A$28,0))</x:f>
        <x:v>46223</x:v>
      </x:c>
      <x:c r="J65" s="132" t="str">
        <x:v>Not Started</x:v>
      </x:c>
      <x:c r="K65" s="64" t="n">
        <x:f>INDEX('Revision Plan'!$I$12:$I$28,MATCH(F65,'Revision Plan'!$A$12:$A$28,0))</x:f>
        <x:v>46228</x:v>
      </x:c>
      <x:c r="L65" s="132" t="str">
        <x:v>Not Started</x:v>
      </x:c>
      <x:c r="M65" s="64" t="n">
        <x:f>INDEX('Revision Plan'!$K$12:$K$28,MATCH(F65,'Revision Plan'!$A$12:$A$28,0))</x:f>
        <x:v>46242</x:v>
      </x:c>
      <x:c r="N65" s="132" t="str">
        <x:v>Not Started</x:v>
      </x:c>
      <x:c r="O65" s="132"/>
      <x:c r="P65" s="136"/>
      <x:c r="Q65" s="136"/>
    </x:row>
    <x:row r="66" ht="22.5" customHeight="1">
      <x:c r="A66" s="132" t="n">
        <x:v>59</x:v>
      </x:c>
      <x:c r="B66" s="132" t="n">
        <x:v>57</x:v>
      </x:c>
      <x:c r="C66" s="136" t="str">
        <x:v>Circuits → Combinational Logic → Basic Gates</x:v>
      </x:c>
      <x:c r="D66" s="136" t="str">
        <x:v>Gates and vectors</x:v>
      </x:c>
      <x:c r="E66" s="132" t="str">
        <x:v>gatesv</x:v>
      </x:c>
      <x:c r="F66" s="132" t="str">
        <x:v>B04</x:v>
      </x:c>
      <x:c r="G66" s="64" t="n">
        <x:f>INDEX('Revision Plan'!$B$12:$B$28,MATCH(F66,'Revision Plan'!$A$12:$A$28,0))</x:f>
        <x:v>46221</x:v>
      </x:c>
      <x:c r="H66" s="132" t="str">
        <x:v>Not Started</x:v>
      </x:c>
      <x:c r="I66" s="64" t="n">
        <x:f>INDEX('Revision Plan'!$G$12:$G$28,MATCH(F66,'Revision Plan'!$A$12:$A$28,0))</x:f>
        <x:v>46223</x:v>
      </x:c>
      <x:c r="J66" s="132" t="str">
        <x:v>Not Started</x:v>
      </x:c>
      <x:c r="K66" s="64" t="n">
        <x:f>INDEX('Revision Plan'!$I$12:$I$28,MATCH(F66,'Revision Plan'!$A$12:$A$28,0))</x:f>
        <x:v>46228</x:v>
      </x:c>
      <x:c r="L66" s="132" t="str">
        <x:v>Not Started</x:v>
      </x:c>
      <x:c r="M66" s="64" t="n">
        <x:f>INDEX('Revision Plan'!$K$12:$K$28,MATCH(F66,'Revision Plan'!$A$12:$A$28,0))</x:f>
        <x:v>46242</x:v>
      </x:c>
      <x:c r="N66" s="132" t="str">
        <x:v>Not Started</x:v>
      </x:c>
      <x:c r="O66" s="132"/>
      <x:c r="P66" s="136"/>
      <x:c r="Q66" s="136"/>
    </x:row>
    <x:row r="67" ht="22.5" customHeight="1">
      <x:c r="A67" s="132" t="n">
        <x:v>60</x:v>
      </x:c>
      <x:c r="B67" s="132" t="n">
        <x:v>58</x:v>
      </x:c>
      <x:c r="C67" s="136" t="str">
        <x:v>Circuits → Combinational Logic → Basic Gates</x:v>
      </x:c>
      <x:c r="D67" s="136" t="str">
        <x:v>Even longer vectors</x:v>
      </x:c>
      <x:c r="E67" s="132" t="str">
        <x:v>gatesv100</x:v>
      </x:c>
      <x:c r="F67" s="132" t="str">
        <x:v>B04</x:v>
      </x:c>
      <x:c r="G67" s="64" t="n">
        <x:f>INDEX('Revision Plan'!$B$12:$B$28,MATCH(F67,'Revision Plan'!$A$12:$A$28,0))</x:f>
        <x:v>46221</x:v>
      </x:c>
      <x:c r="H67" s="132" t="str">
        <x:v>Not Started</x:v>
      </x:c>
      <x:c r="I67" s="64" t="n">
        <x:f>INDEX('Revision Plan'!$G$12:$G$28,MATCH(F67,'Revision Plan'!$A$12:$A$28,0))</x:f>
        <x:v>46223</x:v>
      </x:c>
      <x:c r="J67" s="132" t="str">
        <x:v>Not Started</x:v>
      </x:c>
      <x:c r="K67" s="64" t="n">
        <x:f>INDEX('Revision Plan'!$I$12:$I$28,MATCH(F67,'Revision Plan'!$A$12:$A$28,0))</x:f>
        <x:v>46228</x:v>
      </x:c>
      <x:c r="L67" s="132" t="str">
        <x:v>Not Started</x:v>
      </x:c>
      <x:c r="M67" s="64" t="n">
        <x:f>INDEX('Revision Plan'!$K$12:$K$28,MATCH(F67,'Revision Plan'!$A$12:$A$28,0))</x:f>
        <x:v>46242</x:v>
      </x:c>
      <x:c r="N67" s="132" t="str">
        <x:v>Not Started</x:v>
      </x:c>
      <x:c r="O67" s="132"/>
      <x:c r="P67" s="136"/>
      <x:c r="Q67" s="136"/>
    </x:row>
    <x:row r="68" ht="22.5" customHeight="1">
      <x:c r="A68" s="132" t="n">
        <x:v>61</x:v>
      </x:c>
      <x:c r="B68" s="132" t="n">
        <x:v>59</x:v>
      </x:c>
      <x:c r="C68" s="136" t="str">
        <x:v>Circuits → Combinational Logic → Multiplexers</x:v>
      </x:c>
      <x:c r="D68" s="136" t="str">
        <x:v>2-to-1 multiplexer</x:v>
      </x:c>
      <x:c r="E68" s="132" t="str">
        <x:v>mux2to1</x:v>
      </x:c>
      <x:c r="F68" s="132" t="str">
        <x:v>B04</x:v>
      </x:c>
      <x:c r="G68" s="64" t="n">
        <x:f>INDEX('Revision Plan'!$B$12:$B$28,MATCH(F68,'Revision Plan'!$A$12:$A$28,0))</x:f>
        <x:v>46221</x:v>
      </x:c>
      <x:c r="H68" s="132" t="str">
        <x:v>Not Started</x:v>
      </x:c>
      <x:c r="I68" s="64" t="n">
        <x:f>INDEX('Revision Plan'!$G$12:$G$28,MATCH(F68,'Revision Plan'!$A$12:$A$28,0))</x:f>
        <x:v>46223</x:v>
      </x:c>
      <x:c r="J68" s="132" t="str">
        <x:v>Not Started</x:v>
      </x:c>
      <x:c r="K68" s="64" t="n">
        <x:f>INDEX('Revision Plan'!$I$12:$I$28,MATCH(F68,'Revision Plan'!$A$12:$A$28,0))</x:f>
        <x:v>46228</x:v>
      </x:c>
      <x:c r="L68" s="132" t="str">
        <x:v>Not Started</x:v>
      </x:c>
      <x:c r="M68" s="64" t="n">
        <x:f>INDEX('Revision Plan'!$K$12:$K$28,MATCH(F68,'Revision Plan'!$A$12:$A$28,0))</x:f>
        <x:v>46242</x:v>
      </x:c>
      <x:c r="N68" s="132" t="str">
        <x:v>Not Started</x:v>
      </x:c>
      <x:c r="O68" s="132"/>
      <x:c r="P68" s="136"/>
      <x:c r="Q68" s="136"/>
    </x:row>
    <x:row r="69" ht="22.5" customHeight="1">
      <x:c r="A69" s="132" t="n">
        <x:v>62</x:v>
      </x:c>
      <x:c r="B69" s="132" t="n">
        <x:v>60</x:v>
      </x:c>
      <x:c r="C69" s="136" t="str">
        <x:v>Circuits → Combinational Logic → Multiplexers</x:v>
      </x:c>
      <x:c r="D69" s="136" t="str">
        <x:v>2-to-1 bus multiplexer</x:v>
      </x:c>
      <x:c r="E69" s="132" t="str">
        <x:v>mux2to1v</x:v>
      </x:c>
      <x:c r="F69" s="132" t="str">
        <x:v>B04</x:v>
      </x:c>
      <x:c r="G69" s="64" t="n">
        <x:f>INDEX('Revision Plan'!$B$12:$B$28,MATCH(F69,'Revision Plan'!$A$12:$A$28,0))</x:f>
        <x:v>46221</x:v>
      </x:c>
      <x:c r="H69" s="132" t="str">
        <x:v>Not Started</x:v>
      </x:c>
      <x:c r="I69" s="64" t="n">
        <x:f>INDEX('Revision Plan'!$G$12:$G$28,MATCH(F69,'Revision Plan'!$A$12:$A$28,0))</x:f>
        <x:v>46223</x:v>
      </x:c>
      <x:c r="J69" s="132" t="str">
        <x:v>Not Started</x:v>
      </x:c>
      <x:c r="K69" s="64" t="n">
        <x:f>INDEX('Revision Plan'!$I$12:$I$28,MATCH(F69,'Revision Plan'!$A$12:$A$28,0))</x:f>
        <x:v>46228</x:v>
      </x:c>
      <x:c r="L69" s="132" t="str">
        <x:v>Not Started</x:v>
      </x:c>
      <x:c r="M69" s="64" t="n">
        <x:f>INDEX('Revision Plan'!$K$12:$K$28,MATCH(F69,'Revision Plan'!$A$12:$A$28,0))</x:f>
        <x:v>46242</x:v>
      </x:c>
      <x:c r="N69" s="132" t="str">
        <x:v>Not Started</x:v>
      </x:c>
      <x:c r="O69" s="132"/>
      <x:c r="P69" s="136"/>
      <x:c r="Q69" s="136"/>
    </x:row>
    <x:row r="70" ht="22.5" customHeight="1">
      <x:c r="A70" s="132" t="n">
        <x:v>63</x:v>
      </x:c>
      <x:c r="B70" s="132" t="n">
        <x:v>61</x:v>
      </x:c>
      <x:c r="C70" s="136" t="str">
        <x:v>Circuits → Combinational Logic → Multiplexers</x:v>
      </x:c>
      <x:c r="D70" s="136" t="str">
        <x:v>9-to-1 multiplexer</x:v>
      </x:c>
      <x:c r="E70" s="132" t="str">
        <x:v>mux9to1v</x:v>
      </x:c>
      <x:c r="F70" s="132" t="str">
        <x:v>B04</x:v>
      </x:c>
      <x:c r="G70" s="64" t="n">
        <x:f>INDEX('Revision Plan'!$B$12:$B$28,MATCH(F70,'Revision Plan'!$A$12:$A$28,0))</x:f>
        <x:v>46221</x:v>
      </x:c>
      <x:c r="H70" s="132" t="str">
        <x:v>Not Started</x:v>
      </x:c>
      <x:c r="I70" s="64" t="n">
        <x:f>INDEX('Revision Plan'!$G$12:$G$28,MATCH(F70,'Revision Plan'!$A$12:$A$28,0))</x:f>
        <x:v>46223</x:v>
      </x:c>
      <x:c r="J70" s="132" t="str">
        <x:v>Not Started</x:v>
      </x:c>
      <x:c r="K70" s="64" t="n">
        <x:f>INDEX('Revision Plan'!$I$12:$I$28,MATCH(F70,'Revision Plan'!$A$12:$A$28,0))</x:f>
        <x:v>46228</x:v>
      </x:c>
      <x:c r="L70" s="132" t="str">
        <x:v>Not Started</x:v>
      </x:c>
      <x:c r="M70" s="64" t="n">
        <x:f>INDEX('Revision Plan'!$K$12:$K$28,MATCH(F70,'Revision Plan'!$A$12:$A$28,0))</x:f>
        <x:v>46242</x:v>
      </x:c>
      <x:c r="N70" s="132" t="str">
        <x:v>Not Started</x:v>
      </x:c>
      <x:c r="O70" s="132"/>
      <x:c r="P70" s="136"/>
      <x:c r="Q70" s="136"/>
    </x:row>
    <x:row r="71" ht="22.5" customHeight="1">
      <x:c r="A71" s="132" t="n">
        <x:v>64</x:v>
      </x:c>
      <x:c r="B71" s="132" t="n">
        <x:v>62</x:v>
      </x:c>
      <x:c r="C71" s="136" t="str">
        <x:v>Circuits → Combinational Logic → Multiplexers</x:v>
      </x:c>
      <x:c r="D71" s="136" t="str">
        <x:v>256-to-1 multiplexer</x:v>
      </x:c>
      <x:c r="E71" s="132" t="str">
        <x:v>mux256to1</x:v>
      </x:c>
      <x:c r="F71" s="132" t="str">
        <x:v>B04</x:v>
      </x:c>
      <x:c r="G71" s="64" t="n">
        <x:f>INDEX('Revision Plan'!$B$12:$B$28,MATCH(F71,'Revision Plan'!$A$12:$A$28,0))</x:f>
        <x:v>46221</x:v>
      </x:c>
      <x:c r="H71" s="132" t="str">
        <x:v>Not Started</x:v>
      </x:c>
      <x:c r="I71" s="64" t="n">
        <x:f>INDEX('Revision Plan'!$G$12:$G$28,MATCH(F71,'Revision Plan'!$A$12:$A$28,0))</x:f>
        <x:v>46223</x:v>
      </x:c>
      <x:c r="J71" s="132" t="str">
        <x:v>Not Started</x:v>
      </x:c>
      <x:c r="K71" s="64" t="n">
        <x:f>INDEX('Revision Plan'!$I$12:$I$28,MATCH(F71,'Revision Plan'!$A$12:$A$28,0))</x:f>
        <x:v>46228</x:v>
      </x:c>
      <x:c r="L71" s="132" t="str">
        <x:v>Not Started</x:v>
      </x:c>
      <x:c r="M71" s="64" t="n">
        <x:f>INDEX('Revision Plan'!$K$12:$K$28,MATCH(F71,'Revision Plan'!$A$12:$A$28,0))</x:f>
        <x:v>46242</x:v>
      </x:c>
      <x:c r="N71" s="132" t="str">
        <x:v>Not Started</x:v>
      </x:c>
      <x:c r="O71" s="132"/>
      <x:c r="P71" s="136"/>
      <x:c r="Q71" s="136"/>
    </x:row>
    <x:row r="72" ht="22.5" customHeight="1">
      <x:c r="A72" s="132" t="n">
        <x:v>65</x:v>
      </x:c>
      <x:c r="B72" s="132" t="n">
        <x:v>63</x:v>
      </x:c>
      <x:c r="C72" s="136" t="str">
        <x:v>Circuits → Combinational Logic → Multiplexers</x:v>
      </x:c>
      <x:c r="D72" s="136" t="str">
        <x:v>256-to-1 4-bit multiplexer</x:v>
      </x:c>
      <x:c r="E72" s="132" t="str">
        <x:v>mux256to1v</x:v>
      </x:c>
      <x:c r="F72" s="132" t="str">
        <x:v>B04</x:v>
      </x:c>
      <x:c r="G72" s="64" t="n">
        <x:f>INDEX('Revision Plan'!$B$12:$B$28,MATCH(F72,'Revision Plan'!$A$12:$A$28,0))</x:f>
        <x:v>46221</x:v>
      </x:c>
      <x:c r="H72" s="132" t="str">
        <x:v>Not Started</x:v>
      </x:c>
      <x:c r="I72" s="64" t="n">
        <x:f>INDEX('Revision Plan'!$G$12:$G$28,MATCH(F72,'Revision Plan'!$A$12:$A$28,0))</x:f>
        <x:v>46223</x:v>
      </x:c>
      <x:c r="J72" s="132" t="str">
        <x:v>Not Started</x:v>
      </x:c>
      <x:c r="K72" s="64" t="n">
        <x:f>INDEX('Revision Plan'!$I$12:$I$28,MATCH(F72,'Revision Plan'!$A$12:$A$28,0))</x:f>
        <x:v>46228</x:v>
      </x:c>
      <x:c r="L72" s="132" t="str">
        <x:v>Not Started</x:v>
      </x:c>
      <x:c r="M72" s="64" t="n">
        <x:f>INDEX('Revision Plan'!$K$12:$K$28,MATCH(F72,'Revision Plan'!$A$12:$A$28,0))</x:f>
        <x:v>46242</x:v>
      </x:c>
      <x:c r="N72" s="132" t="str">
        <x:v>Not Started</x:v>
      </x:c>
      <x:c r="O72" s="132"/>
      <x:c r="P72" s="136"/>
      <x:c r="Q72" s="136"/>
    </x:row>
    <x:row r="73" ht="22.5" customHeight="1">
      <x:c r="A73" s="132" t="n">
        <x:v>66</x:v>
      </x:c>
      <x:c r="B73" s="132" t="n">
        <x:v>64</x:v>
      </x:c>
      <x:c r="C73" s="136" t="str">
        <x:v>Circuits → Combinational Logic → Arithmetic Circuits</x:v>
      </x:c>
      <x:c r="D73" s="136" t="str">
        <x:v>Half adder</x:v>
      </x:c>
      <x:c r="E73" s="132" t="str">
        <x:v>hadd</x:v>
      </x:c>
      <x:c r="F73" s="132" t="str">
        <x:v>B05</x:v>
      </x:c>
      <x:c r="G73" s="64" t="n">
        <x:f>INDEX('Revision Plan'!$B$12:$B$28,MATCH(F73,'Revision Plan'!$A$12:$A$28,0))</x:f>
        <x:v>46222</x:v>
      </x:c>
      <x:c r="H73" s="132" t="str">
        <x:v>Not Started</x:v>
      </x:c>
      <x:c r="I73" s="64" t="n">
        <x:f>INDEX('Revision Plan'!$G$12:$G$28,MATCH(F73,'Revision Plan'!$A$12:$A$28,0))</x:f>
        <x:v>46224</x:v>
      </x:c>
      <x:c r="J73" s="132" t="str">
        <x:v>Not Started</x:v>
      </x:c>
      <x:c r="K73" s="64" t="n">
        <x:f>INDEX('Revision Plan'!$I$12:$I$28,MATCH(F73,'Revision Plan'!$A$12:$A$28,0))</x:f>
        <x:v>46229</x:v>
      </x:c>
      <x:c r="L73" s="132" t="str">
        <x:v>Not Started</x:v>
      </x:c>
      <x:c r="M73" s="64" t="n">
        <x:f>INDEX('Revision Plan'!$K$12:$K$28,MATCH(F73,'Revision Plan'!$A$12:$A$28,0))</x:f>
        <x:v>46243</x:v>
      </x:c>
      <x:c r="N73" s="132" t="str">
        <x:v>Not Started</x:v>
      </x:c>
      <x:c r="O73" s="132"/>
      <x:c r="P73" s="136"/>
      <x:c r="Q73" s="136"/>
    </x:row>
    <x:row r="74" ht="22.5" customHeight="1">
      <x:c r="A74" s="132" t="n">
        <x:v>67</x:v>
      </x:c>
      <x:c r="B74" s="132" t="n">
        <x:v>65</x:v>
      </x:c>
      <x:c r="C74" s="136" t="str">
        <x:v>Circuits → Combinational Logic → Arithmetic Circuits</x:v>
      </x:c>
      <x:c r="D74" s="136" t="str">
        <x:v>Full adder</x:v>
      </x:c>
      <x:c r="E74" s="132" t="str">
        <x:v>fadd</x:v>
      </x:c>
      <x:c r="F74" s="132" t="str">
        <x:v>B05</x:v>
      </x:c>
      <x:c r="G74" s="64" t="n">
        <x:f>INDEX('Revision Plan'!$B$12:$B$28,MATCH(F74,'Revision Plan'!$A$12:$A$28,0))</x:f>
        <x:v>46222</x:v>
      </x:c>
      <x:c r="H74" s="132" t="str">
        <x:v>Not Started</x:v>
      </x:c>
      <x:c r="I74" s="64" t="n">
        <x:f>INDEX('Revision Plan'!$G$12:$G$28,MATCH(F74,'Revision Plan'!$A$12:$A$28,0))</x:f>
        <x:v>46224</x:v>
      </x:c>
      <x:c r="J74" s="132" t="str">
        <x:v>Not Started</x:v>
      </x:c>
      <x:c r="K74" s="64" t="n">
        <x:f>INDEX('Revision Plan'!$I$12:$I$28,MATCH(F74,'Revision Plan'!$A$12:$A$28,0))</x:f>
        <x:v>46229</x:v>
      </x:c>
      <x:c r="L74" s="132" t="str">
        <x:v>Not Started</x:v>
      </x:c>
      <x:c r="M74" s="64" t="n">
        <x:f>INDEX('Revision Plan'!$K$12:$K$28,MATCH(F74,'Revision Plan'!$A$12:$A$28,0))</x:f>
        <x:v>46243</x:v>
      </x:c>
      <x:c r="N74" s="132" t="str">
        <x:v>Not Started</x:v>
      </x:c>
      <x:c r="O74" s="132"/>
      <x:c r="P74" s="136"/>
      <x:c r="Q74" s="136"/>
    </x:row>
    <x:row r="75" ht="22.5" customHeight="1">
      <x:c r="A75" s="132" t="n">
        <x:v>68</x:v>
      </x:c>
      <x:c r="B75" s="132" t="n">
        <x:v>66</x:v>
      </x:c>
      <x:c r="C75" s="136" t="str">
        <x:v>Circuits → Combinational Logic → Arithmetic Circuits</x:v>
      </x:c>
      <x:c r="D75" s="136" t="str">
        <x:v>3-bit binary adder</x:v>
      </x:c>
      <x:c r="E75" s="132" t="str">
        <x:v>adder3</x:v>
      </x:c>
      <x:c r="F75" s="132" t="str">
        <x:v>B05</x:v>
      </x:c>
      <x:c r="G75" s="64" t="n">
        <x:f>INDEX('Revision Plan'!$B$12:$B$28,MATCH(F75,'Revision Plan'!$A$12:$A$28,0))</x:f>
        <x:v>46222</x:v>
      </x:c>
      <x:c r="H75" s="132" t="str">
        <x:v>Not Started</x:v>
      </x:c>
      <x:c r="I75" s="64" t="n">
        <x:f>INDEX('Revision Plan'!$G$12:$G$28,MATCH(F75,'Revision Plan'!$A$12:$A$28,0))</x:f>
        <x:v>46224</x:v>
      </x:c>
      <x:c r="J75" s="132" t="str">
        <x:v>Not Started</x:v>
      </x:c>
      <x:c r="K75" s="64" t="n">
        <x:f>INDEX('Revision Plan'!$I$12:$I$28,MATCH(F75,'Revision Plan'!$A$12:$A$28,0))</x:f>
        <x:v>46229</x:v>
      </x:c>
      <x:c r="L75" s="132" t="str">
        <x:v>Not Started</x:v>
      </x:c>
      <x:c r="M75" s="64" t="n">
        <x:f>INDEX('Revision Plan'!$K$12:$K$28,MATCH(F75,'Revision Plan'!$A$12:$A$28,0))</x:f>
        <x:v>46243</x:v>
      </x:c>
      <x:c r="N75" s="132" t="str">
        <x:v>Not Started</x:v>
      </x:c>
      <x:c r="O75" s="132"/>
      <x:c r="P75" s="136"/>
      <x:c r="Q75" s="136"/>
    </x:row>
    <x:row r="76" ht="22.5" customHeight="1">
      <x:c r="A76" s="132" t="n">
        <x:v>69</x:v>
      </x:c>
      <x:c r="B76" s="132" t="n">
        <x:v>67</x:v>
      </x:c>
      <x:c r="C76" s="136" t="str">
        <x:v>Circuits → Combinational Logic → Arithmetic Circuits</x:v>
      </x:c>
      <x:c r="D76" s="136" t="str">
        <x:v>Adder</x:v>
      </x:c>
      <x:c r="E76" s="132" t="str">
        <x:v>exams/m2014_q4j</x:v>
      </x:c>
      <x:c r="F76" s="132" t="str">
        <x:v>B05</x:v>
      </x:c>
      <x:c r="G76" s="64" t="n">
        <x:f>INDEX('Revision Plan'!$B$12:$B$28,MATCH(F76,'Revision Plan'!$A$12:$A$28,0))</x:f>
        <x:v>46222</x:v>
      </x:c>
      <x:c r="H76" s="132" t="str">
        <x:v>Not Started</x:v>
      </x:c>
      <x:c r="I76" s="64" t="n">
        <x:f>INDEX('Revision Plan'!$G$12:$G$28,MATCH(F76,'Revision Plan'!$A$12:$A$28,0))</x:f>
        <x:v>46224</x:v>
      </x:c>
      <x:c r="J76" s="132" t="str">
        <x:v>Not Started</x:v>
      </x:c>
      <x:c r="K76" s="64" t="n">
        <x:f>INDEX('Revision Plan'!$I$12:$I$28,MATCH(F76,'Revision Plan'!$A$12:$A$28,0))</x:f>
        <x:v>46229</x:v>
      </x:c>
      <x:c r="L76" s="132" t="str">
        <x:v>Not Started</x:v>
      </x:c>
      <x:c r="M76" s="64" t="n">
        <x:f>INDEX('Revision Plan'!$K$12:$K$28,MATCH(F76,'Revision Plan'!$A$12:$A$28,0))</x:f>
        <x:v>46243</x:v>
      </x:c>
      <x:c r="N76" s="132" t="str">
        <x:v>Not Started</x:v>
      </x:c>
      <x:c r="O76" s="132"/>
      <x:c r="P76" s="136"/>
      <x:c r="Q76" s="136"/>
    </x:row>
    <x:row r="77" ht="22.5" customHeight="1">
      <x:c r="A77" s="132" t="n">
        <x:v>70</x:v>
      </x:c>
      <x:c r="B77" s="132" t="n">
        <x:v>68</x:v>
      </x:c>
      <x:c r="C77" s="136" t="str">
        <x:v>Circuits → Combinational Logic → Arithmetic Circuits</x:v>
      </x:c>
      <x:c r="D77" s="136" t="str">
        <x:v>Signed addition overflow</x:v>
      </x:c>
      <x:c r="E77" s="132" t="str">
        <x:v>exams/ece241_2014_q1c</x:v>
      </x:c>
      <x:c r="F77" s="132" t="str">
        <x:v>B05</x:v>
      </x:c>
      <x:c r="G77" s="64" t="n">
        <x:f>INDEX('Revision Plan'!$B$12:$B$28,MATCH(F77,'Revision Plan'!$A$12:$A$28,0))</x:f>
        <x:v>46222</x:v>
      </x:c>
      <x:c r="H77" s="132" t="str">
        <x:v>Not Started</x:v>
      </x:c>
      <x:c r="I77" s="64" t="n">
        <x:f>INDEX('Revision Plan'!$G$12:$G$28,MATCH(F77,'Revision Plan'!$A$12:$A$28,0))</x:f>
        <x:v>46224</x:v>
      </x:c>
      <x:c r="J77" s="132" t="str">
        <x:v>Not Started</x:v>
      </x:c>
      <x:c r="K77" s="64" t="n">
        <x:f>INDEX('Revision Plan'!$I$12:$I$28,MATCH(F77,'Revision Plan'!$A$12:$A$28,0))</x:f>
        <x:v>46229</x:v>
      </x:c>
      <x:c r="L77" s="132" t="str">
        <x:v>Not Started</x:v>
      </x:c>
      <x:c r="M77" s="64" t="n">
        <x:f>INDEX('Revision Plan'!$K$12:$K$28,MATCH(F77,'Revision Plan'!$A$12:$A$28,0))</x:f>
        <x:v>46243</x:v>
      </x:c>
      <x:c r="N77" s="132" t="str">
        <x:v>Not Started</x:v>
      </x:c>
      <x:c r="O77" s="132"/>
      <x:c r="P77" s="136"/>
      <x:c r="Q77" s="136"/>
    </x:row>
    <x:row r="78" ht="22.5" customHeight="1">
      <x:c r="A78" s="132" t="n">
        <x:v>71</x:v>
      </x:c>
      <x:c r="B78" s="132" t="n">
        <x:v>69</x:v>
      </x:c>
      <x:c r="C78" s="136" t="str">
        <x:v>Circuits → Combinational Logic → Arithmetic Circuits</x:v>
      </x:c>
      <x:c r="D78" s="136" t="str">
        <x:v>100-bit binary adder</x:v>
      </x:c>
      <x:c r="E78" s="132" t="str">
        <x:v>adder100</x:v>
      </x:c>
      <x:c r="F78" s="132" t="str">
        <x:v>B05</x:v>
      </x:c>
      <x:c r="G78" s="64" t="n">
        <x:f>INDEX('Revision Plan'!$B$12:$B$28,MATCH(F78,'Revision Plan'!$A$12:$A$28,0))</x:f>
        <x:v>46222</x:v>
      </x:c>
      <x:c r="H78" s="132" t="str">
        <x:v>Not Started</x:v>
      </x:c>
      <x:c r="I78" s="64" t="n">
        <x:f>INDEX('Revision Plan'!$G$12:$G$28,MATCH(F78,'Revision Plan'!$A$12:$A$28,0))</x:f>
        <x:v>46224</x:v>
      </x:c>
      <x:c r="J78" s="132" t="str">
        <x:v>Not Started</x:v>
      </x:c>
      <x:c r="K78" s="64" t="n">
        <x:f>INDEX('Revision Plan'!$I$12:$I$28,MATCH(F78,'Revision Plan'!$A$12:$A$28,0))</x:f>
        <x:v>46229</x:v>
      </x:c>
      <x:c r="L78" s="132" t="str">
        <x:v>Not Started</x:v>
      </x:c>
      <x:c r="M78" s="64" t="n">
        <x:f>INDEX('Revision Plan'!$K$12:$K$28,MATCH(F78,'Revision Plan'!$A$12:$A$28,0))</x:f>
        <x:v>46243</x:v>
      </x:c>
      <x:c r="N78" s="132" t="str">
        <x:v>Not Started</x:v>
      </x:c>
      <x:c r="O78" s="132"/>
      <x:c r="P78" s="136"/>
      <x:c r="Q78" s="136"/>
    </x:row>
    <x:row r="79" ht="22.5" customHeight="1">
      <x:c r="A79" s="132" t="n">
        <x:v>72</x:v>
      </x:c>
      <x:c r="B79" s="132" t="n">
        <x:v>70</x:v>
      </x:c>
      <x:c r="C79" s="136" t="str">
        <x:v>Circuits → Combinational Logic → Arithmetic Circuits</x:v>
      </x:c>
      <x:c r="D79" s="136" t="str">
        <x:v>4-digit BCD adder</x:v>
      </x:c>
      <x:c r="E79" s="132" t="str">
        <x:v>bcdadd4</x:v>
      </x:c>
      <x:c r="F79" s="132" t="str">
        <x:v>B05</x:v>
      </x:c>
      <x:c r="G79" s="64" t="n">
        <x:f>INDEX('Revision Plan'!$B$12:$B$28,MATCH(F79,'Revision Plan'!$A$12:$A$28,0))</x:f>
        <x:v>46222</x:v>
      </x:c>
      <x:c r="H79" s="132" t="str">
        <x:v>Not Started</x:v>
      </x:c>
      <x:c r="I79" s="64" t="n">
        <x:f>INDEX('Revision Plan'!$G$12:$G$28,MATCH(F79,'Revision Plan'!$A$12:$A$28,0))</x:f>
        <x:v>46224</x:v>
      </x:c>
      <x:c r="J79" s="132" t="str">
        <x:v>Not Started</x:v>
      </x:c>
      <x:c r="K79" s="64" t="n">
        <x:f>INDEX('Revision Plan'!$I$12:$I$28,MATCH(F79,'Revision Plan'!$A$12:$A$28,0))</x:f>
        <x:v>46229</x:v>
      </x:c>
      <x:c r="L79" s="132" t="str">
        <x:v>Not Started</x:v>
      </x:c>
      <x:c r="M79" s="64" t="n">
        <x:f>INDEX('Revision Plan'!$K$12:$K$28,MATCH(F79,'Revision Plan'!$A$12:$A$28,0))</x:f>
        <x:v>46243</x:v>
      </x:c>
      <x:c r="N79" s="132" t="str">
        <x:v>Not Started</x:v>
      </x:c>
      <x:c r="O79" s="132"/>
      <x:c r="P79" s="136"/>
      <x:c r="Q79" s="136"/>
    </x:row>
    <x:row r="80" ht="22.5" customHeight="1">
      <x:c r="A80" s="132" t="n">
        <x:v>73</x:v>
      </x:c>
      <x:c r="B80" s="132" t="n">
        <x:v>71</x:v>
      </x:c>
      <x:c r="C80" s="136" t="str">
        <x:v>Circuits → Combinational Logic → Karnaugh Map to Circuit</x:v>
      </x:c>
      <x:c r="D80" s="136" t="str">
        <x:v>3-variable</x:v>
      </x:c>
      <x:c r="E80" s="132" t="str">
        <x:v>kmap1</x:v>
      </x:c>
      <x:c r="F80" s="132" t="str">
        <x:v>B05</x:v>
      </x:c>
      <x:c r="G80" s="64" t="n">
        <x:f>INDEX('Revision Plan'!$B$12:$B$28,MATCH(F80,'Revision Plan'!$A$12:$A$28,0))</x:f>
        <x:v>46222</x:v>
      </x:c>
      <x:c r="H80" s="132" t="str">
        <x:v>Not Started</x:v>
      </x:c>
      <x:c r="I80" s="64" t="n">
        <x:f>INDEX('Revision Plan'!$G$12:$G$28,MATCH(F80,'Revision Plan'!$A$12:$A$28,0))</x:f>
        <x:v>46224</x:v>
      </x:c>
      <x:c r="J80" s="132" t="str">
        <x:v>Not Started</x:v>
      </x:c>
      <x:c r="K80" s="64" t="n">
        <x:f>INDEX('Revision Plan'!$I$12:$I$28,MATCH(F80,'Revision Plan'!$A$12:$A$28,0))</x:f>
        <x:v>46229</x:v>
      </x:c>
      <x:c r="L80" s="132" t="str">
        <x:v>Not Started</x:v>
      </x:c>
      <x:c r="M80" s="64" t="n">
        <x:f>INDEX('Revision Plan'!$K$12:$K$28,MATCH(F80,'Revision Plan'!$A$12:$A$28,0))</x:f>
        <x:v>46243</x:v>
      </x:c>
      <x:c r="N80" s="132" t="str">
        <x:v>Not Started</x:v>
      </x:c>
      <x:c r="O80" s="132"/>
      <x:c r="P80" s="136"/>
      <x:c r="Q80" s="136"/>
    </x:row>
    <x:row r="81" ht="22.5" customHeight="1">
      <x:c r="A81" s="132" t="n">
        <x:v>74</x:v>
      </x:c>
      <x:c r="B81" s="132" t="n">
        <x:v>72</x:v>
      </x:c>
      <x:c r="C81" s="136" t="str">
        <x:v>Circuits → Combinational Logic → Karnaugh Map to Circuit</x:v>
      </x:c>
      <x:c r="D81" s="136" t="str">
        <x:v>4-variable</x:v>
      </x:c>
      <x:c r="E81" s="132" t="str">
        <x:v>kmap2</x:v>
      </x:c>
      <x:c r="F81" s="132" t="str">
        <x:v>B05</x:v>
      </x:c>
      <x:c r="G81" s="64" t="n">
        <x:f>INDEX('Revision Plan'!$B$12:$B$28,MATCH(F81,'Revision Plan'!$A$12:$A$28,0))</x:f>
        <x:v>46222</x:v>
      </x:c>
      <x:c r="H81" s="132" t="str">
        <x:v>Not Started</x:v>
      </x:c>
      <x:c r="I81" s="64" t="n">
        <x:f>INDEX('Revision Plan'!$G$12:$G$28,MATCH(F81,'Revision Plan'!$A$12:$A$28,0))</x:f>
        <x:v>46224</x:v>
      </x:c>
      <x:c r="J81" s="132" t="str">
        <x:v>Not Started</x:v>
      </x:c>
      <x:c r="K81" s="64" t="n">
        <x:f>INDEX('Revision Plan'!$I$12:$I$28,MATCH(F81,'Revision Plan'!$A$12:$A$28,0))</x:f>
        <x:v>46229</x:v>
      </x:c>
      <x:c r="L81" s="132" t="str">
        <x:v>Not Started</x:v>
      </x:c>
      <x:c r="M81" s="64" t="n">
        <x:f>INDEX('Revision Plan'!$K$12:$K$28,MATCH(F81,'Revision Plan'!$A$12:$A$28,0))</x:f>
        <x:v>46243</x:v>
      </x:c>
      <x:c r="N81" s="132" t="str">
        <x:v>Not Started</x:v>
      </x:c>
      <x:c r="O81" s="132"/>
      <x:c r="P81" s="136"/>
      <x:c r="Q81" s="136"/>
    </x:row>
    <x:row r="82" ht="22.5" customHeight="1">
      <x:c r="A82" s="132" t="n">
        <x:v>75</x:v>
      </x:c>
      <x:c r="B82" s="132" t="n">
        <x:v>73</x:v>
      </x:c>
      <x:c r="C82" s="136" t="str">
        <x:v>Circuits → Combinational Logic → Karnaugh Map to Circuit</x:v>
      </x:c>
      <x:c r="D82" s="136" t="str">
        <x:v>4-variable</x:v>
      </x:c>
      <x:c r="E82" s="132" t="str">
        <x:v>kmap3</x:v>
      </x:c>
      <x:c r="F82" s="132" t="str">
        <x:v>B05</x:v>
      </x:c>
      <x:c r="G82" s="64" t="n">
        <x:f>INDEX('Revision Plan'!$B$12:$B$28,MATCH(F82,'Revision Plan'!$A$12:$A$28,0))</x:f>
        <x:v>46222</x:v>
      </x:c>
      <x:c r="H82" s="132" t="str">
        <x:v>Not Started</x:v>
      </x:c>
      <x:c r="I82" s="64" t="n">
        <x:f>INDEX('Revision Plan'!$G$12:$G$28,MATCH(F82,'Revision Plan'!$A$12:$A$28,0))</x:f>
        <x:v>46224</x:v>
      </x:c>
      <x:c r="J82" s="132" t="str">
        <x:v>Not Started</x:v>
      </x:c>
      <x:c r="K82" s="64" t="n">
        <x:f>INDEX('Revision Plan'!$I$12:$I$28,MATCH(F82,'Revision Plan'!$A$12:$A$28,0))</x:f>
        <x:v>46229</x:v>
      </x:c>
      <x:c r="L82" s="132" t="str">
        <x:v>Not Started</x:v>
      </x:c>
      <x:c r="M82" s="64" t="n">
        <x:f>INDEX('Revision Plan'!$K$12:$K$28,MATCH(F82,'Revision Plan'!$A$12:$A$28,0))</x:f>
        <x:v>46243</x:v>
      </x:c>
      <x:c r="N82" s="132" t="str">
        <x:v>Not Started</x:v>
      </x:c>
      <x:c r="O82" s="132"/>
      <x:c r="P82" s="136"/>
      <x:c r="Q82" s="136"/>
    </x:row>
    <x:row r="83" ht="22.5" customHeight="1">
      <x:c r="A83" s="132" t="n">
        <x:v>76</x:v>
      </x:c>
      <x:c r="B83" s="132" t="n">
        <x:v>74</x:v>
      </x:c>
      <x:c r="C83" s="136" t="str">
        <x:v>Circuits → Combinational Logic → Karnaugh Map to Circuit</x:v>
      </x:c>
      <x:c r="D83" s="136" t="str">
        <x:v>4-variable</x:v>
      </x:c>
      <x:c r="E83" s="132" t="str">
        <x:v>kmap4</x:v>
      </x:c>
      <x:c r="F83" s="132" t="str">
        <x:v>B05</x:v>
      </x:c>
      <x:c r="G83" s="64" t="n">
        <x:f>INDEX('Revision Plan'!$B$12:$B$28,MATCH(F83,'Revision Plan'!$A$12:$A$28,0))</x:f>
        <x:v>46222</x:v>
      </x:c>
      <x:c r="H83" s="132" t="str">
        <x:v>Not Started</x:v>
      </x:c>
      <x:c r="I83" s="64" t="n">
        <x:f>INDEX('Revision Plan'!$G$12:$G$28,MATCH(F83,'Revision Plan'!$A$12:$A$28,0))</x:f>
        <x:v>46224</x:v>
      </x:c>
      <x:c r="J83" s="132" t="str">
        <x:v>Not Started</x:v>
      </x:c>
      <x:c r="K83" s="64" t="n">
        <x:f>INDEX('Revision Plan'!$I$12:$I$28,MATCH(F83,'Revision Plan'!$A$12:$A$28,0))</x:f>
        <x:v>46229</x:v>
      </x:c>
      <x:c r="L83" s="132" t="str">
        <x:v>Not Started</x:v>
      </x:c>
      <x:c r="M83" s="64" t="n">
        <x:f>INDEX('Revision Plan'!$K$12:$K$28,MATCH(F83,'Revision Plan'!$A$12:$A$28,0))</x:f>
        <x:v>46243</x:v>
      </x:c>
      <x:c r="N83" s="132" t="str">
        <x:v>Not Started</x:v>
      </x:c>
      <x:c r="O83" s="132"/>
      <x:c r="P83" s="136"/>
      <x:c r="Q83" s="136"/>
    </x:row>
    <x:row r="84" ht="22.5" customHeight="1">
      <x:c r="A84" s="132" t="n">
        <x:v>77</x:v>
      </x:c>
      <x:c r="B84" s="132" t="n">
        <x:v>75</x:v>
      </x:c>
      <x:c r="C84" s="136" t="str">
        <x:v>Circuits → Combinational Logic → Karnaugh Map to Circuit</x:v>
      </x:c>
      <x:c r="D84" s="136" t="str">
        <x:v>Minimum SOP and POS</x:v>
      </x:c>
      <x:c r="E84" s="132" t="str">
        <x:v>exams/ece241_2013_q2</x:v>
      </x:c>
      <x:c r="F84" s="132" t="str">
        <x:v>B05</x:v>
      </x:c>
      <x:c r="G84" s="64" t="n">
        <x:f>INDEX('Revision Plan'!$B$12:$B$28,MATCH(F84,'Revision Plan'!$A$12:$A$28,0))</x:f>
        <x:v>46222</x:v>
      </x:c>
      <x:c r="H84" s="132" t="str">
        <x:v>Not Started</x:v>
      </x:c>
      <x:c r="I84" s="64" t="n">
        <x:f>INDEX('Revision Plan'!$G$12:$G$28,MATCH(F84,'Revision Plan'!$A$12:$A$28,0))</x:f>
        <x:v>46224</x:v>
      </x:c>
      <x:c r="J84" s="132" t="str">
        <x:v>Not Started</x:v>
      </x:c>
      <x:c r="K84" s="64" t="n">
        <x:f>INDEX('Revision Plan'!$I$12:$I$28,MATCH(F84,'Revision Plan'!$A$12:$A$28,0))</x:f>
        <x:v>46229</x:v>
      </x:c>
      <x:c r="L84" s="132" t="str">
        <x:v>Not Started</x:v>
      </x:c>
      <x:c r="M84" s="64" t="n">
        <x:f>INDEX('Revision Plan'!$K$12:$K$28,MATCH(F84,'Revision Plan'!$A$12:$A$28,0))</x:f>
        <x:v>46243</x:v>
      </x:c>
      <x:c r="N84" s="132" t="str">
        <x:v>Not Started</x:v>
      </x:c>
      <x:c r="O84" s="132"/>
      <x:c r="P84" s="136"/>
      <x:c r="Q84" s="136"/>
    </x:row>
    <x:row r="85" ht="22.5" customHeight="1">
      <x:c r="A85" s="132" t="n">
        <x:v>78</x:v>
      </x:c>
      <x:c r="B85" s="132" t="n">
        <x:v>76</x:v>
      </x:c>
      <x:c r="C85" s="136" t="str">
        <x:v>Circuits → Combinational Logic → Karnaugh Map to Circuit</x:v>
      </x:c>
      <x:c r="D85" s="136" t="str">
        <x:v>Karnaugh map</x:v>
      </x:c>
      <x:c r="E85" s="132" t="str">
        <x:v>exams/m2014_q3</x:v>
      </x:c>
      <x:c r="F85" s="132" t="str">
        <x:v>B05</x:v>
      </x:c>
      <x:c r="G85" s="64" t="n">
        <x:f>INDEX('Revision Plan'!$B$12:$B$28,MATCH(F85,'Revision Plan'!$A$12:$A$28,0))</x:f>
        <x:v>46222</x:v>
      </x:c>
      <x:c r="H85" s="132" t="str">
        <x:v>Not Started</x:v>
      </x:c>
      <x:c r="I85" s="64" t="n">
        <x:f>INDEX('Revision Plan'!$G$12:$G$28,MATCH(F85,'Revision Plan'!$A$12:$A$28,0))</x:f>
        <x:v>46224</x:v>
      </x:c>
      <x:c r="J85" s="132" t="str">
        <x:v>Not Started</x:v>
      </x:c>
      <x:c r="K85" s="64" t="n">
        <x:f>INDEX('Revision Plan'!$I$12:$I$28,MATCH(F85,'Revision Plan'!$A$12:$A$28,0))</x:f>
        <x:v>46229</x:v>
      </x:c>
      <x:c r="L85" s="132" t="str">
        <x:v>Not Started</x:v>
      </x:c>
      <x:c r="M85" s="64" t="n">
        <x:f>INDEX('Revision Plan'!$K$12:$K$28,MATCH(F85,'Revision Plan'!$A$12:$A$28,0))</x:f>
        <x:v>46243</x:v>
      </x:c>
      <x:c r="N85" s="132" t="str">
        <x:v>Not Started</x:v>
      </x:c>
      <x:c r="O85" s="132"/>
      <x:c r="P85" s="136"/>
      <x:c r="Q85" s="136"/>
    </x:row>
    <x:row r="86" ht="22.5" customHeight="1">
      <x:c r="A86" s="132" t="n">
        <x:v>79</x:v>
      </x:c>
      <x:c r="B86" s="132" t="n">
        <x:v>77</x:v>
      </x:c>
      <x:c r="C86" s="136" t="str">
        <x:v>Circuits → Combinational Logic → Karnaugh Map to Circuit</x:v>
      </x:c>
      <x:c r="D86" s="136" t="str">
        <x:v>Karnaugh map</x:v>
      </x:c>
      <x:c r="E86" s="132" t="str">
        <x:v>exams/2012_q1g</x:v>
      </x:c>
      <x:c r="F86" s="132" t="str">
        <x:v>B05</x:v>
      </x:c>
      <x:c r="G86" s="64" t="n">
        <x:f>INDEX('Revision Plan'!$B$12:$B$28,MATCH(F86,'Revision Plan'!$A$12:$A$28,0))</x:f>
        <x:v>46222</x:v>
      </x:c>
      <x:c r="H86" s="132" t="str">
        <x:v>Not Started</x:v>
      </x:c>
      <x:c r="I86" s="64" t="n">
        <x:f>INDEX('Revision Plan'!$G$12:$G$28,MATCH(F86,'Revision Plan'!$A$12:$A$28,0))</x:f>
        <x:v>46224</x:v>
      </x:c>
      <x:c r="J86" s="132" t="str">
        <x:v>Not Started</x:v>
      </x:c>
      <x:c r="K86" s="64" t="n">
        <x:f>INDEX('Revision Plan'!$I$12:$I$28,MATCH(F86,'Revision Plan'!$A$12:$A$28,0))</x:f>
        <x:v>46229</x:v>
      </x:c>
      <x:c r="L86" s="132" t="str">
        <x:v>Not Started</x:v>
      </x:c>
      <x:c r="M86" s="64" t="n">
        <x:f>INDEX('Revision Plan'!$K$12:$K$28,MATCH(F86,'Revision Plan'!$A$12:$A$28,0))</x:f>
        <x:v>46243</x:v>
      </x:c>
      <x:c r="N86" s="132" t="str">
        <x:v>Not Started</x:v>
      </x:c>
      <x:c r="O86" s="132"/>
      <x:c r="P86" s="136"/>
      <x:c r="Q86" s="136"/>
    </x:row>
    <x:row r="87" ht="22.5" customHeight="1">
      <x:c r="A87" s="132" t="n">
        <x:v>80</x:v>
      </x:c>
      <x:c r="B87" s="132" t="n">
        <x:v>78</x:v>
      </x:c>
      <x:c r="C87" s="136" t="str">
        <x:v>Circuits → Combinational Logic → Karnaugh Map to Circuit</x:v>
      </x:c>
      <x:c r="D87" s="136" t="str">
        <x:v>K-map implemented with a multiplexer</x:v>
      </x:c>
      <x:c r="E87" s="132" t="str">
        <x:v>exams/ece241_2014_q3</x:v>
      </x:c>
      <x:c r="F87" s="132" t="str">
        <x:v>B05</x:v>
      </x:c>
      <x:c r="G87" s="64" t="n">
        <x:f>INDEX('Revision Plan'!$B$12:$B$28,MATCH(F87,'Revision Plan'!$A$12:$A$28,0))</x:f>
        <x:v>46222</x:v>
      </x:c>
      <x:c r="H87" s="132" t="str">
        <x:v>Not Started</x:v>
      </x:c>
      <x:c r="I87" s="64" t="n">
        <x:f>INDEX('Revision Plan'!$G$12:$G$28,MATCH(F87,'Revision Plan'!$A$12:$A$28,0))</x:f>
        <x:v>46224</x:v>
      </x:c>
      <x:c r="J87" s="132" t="str">
        <x:v>Not Started</x:v>
      </x:c>
      <x:c r="K87" s="64" t="n">
        <x:f>INDEX('Revision Plan'!$I$12:$I$28,MATCH(F87,'Revision Plan'!$A$12:$A$28,0))</x:f>
        <x:v>46229</x:v>
      </x:c>
      <x:c r="L87" s="132" t="str">
        <x:v>Not Started</x:v>
      </x:c>
      <x:c r="M87" s="64" t="n">
        <x:f>INDEX('Revision Plan'!$K$12:$K$28,MATCH(F87,'Revision Plan'!$A$12:$A$28,0))</x:f>
        <x:v>46243</x:v>
      </x:c>
      <x:c r="N87" s="132" t="str">
        <x:v>Not Started</x:v>
      </x:c>
      <x:c r="O87" s="132"/>
      <x:c r="P87" s="136"/>
      <x:c r="Q87" s="136"/>
    </x:row>
    <x:row r="88" ht="22.5" customHeight="1">
      <x:c r="A88" s="132" t="n">
        <x:v>81</x:v>
      </x:c>
      <x:c r="B88" s="132" t="n">
        <x:v>79</x:v>
      </x:c>
      <x:c r="C88" s="136" t="str">
        <x:v>Circuits → Sequential Logic → Latches and Flip-Flops</x:v>
      </x:c>
      <x:c r="D88" s="136" t="str">
        <x:v>D flip-flop</x:v>
      </x:c>
      <x:c r="E88" s="132" t="str">
        <x:v>dff</x:v>
      </x:c>
      <x:c r="F88" s="132" t="str">
        <x:v>B06</x:v>
      </x:c>
      <x:c r="G88" s="64" t="n">
        <x:f>INDEX('Revision Plan'!$B$12:$B$28,MATCH(F88,'Revision Plan'!$A$12:$A$28,0))</x:f>
        <x:v>46223</x:v>
      </x:c>
      <x:c r="H88" s="132" t="str">
        <x:v>Not Started</x:v>
      </x:c>
      <x:c r="I88" s="64" t="n">
        <x:f>INDEX('Revision Plan'!$G$12:$G$28,MATCH(F88,'Revision Plan'!$A$12:$A$28,0))</x:f>
        <x:v>46225</x:v>
      </x:c>
      <x:c r="J88" s="132" t="str">
        <x:v>Not Started</x:v>
      </x:c>
      <x:c r="K88" s="64" t="n">
        <x:f>INDEX('Revision Plan'!$I$12:$I$28,MATCH(F88,'Revision Plan'!$A$12:$A$28,0))</x:f>
        <x:v>46230</x:v>
      </x:c>
      <x:c r="L88" s="132" t="str">
        <x:v>Not Started</x:v>
      </x:c>
      <x:c r="M88" s="64" t="n">
        <x:f>INDEX('Revision Plan'!$K$12:$K$28,MATCH(F88,'Revision Plan'!$A$12:$A$28,0))</x:f>
        <x:v>46244</x:v>
      </x:c>
      <x:c r="N88" s="132" t="str">
        <x:v>Not Started</x:v>
      </x:c>
      <x:c r="O88" s="132"/>
      <x:c r="P88" s="136"/>
      <x:c r="Q88" s="136"/>
    </x:row>
    <x:row r="89" ht="22.5" customHeight="1">
      <x:c r="A89" s="132" t="n">
        <x:v>82</x:v>
      </x:c>
      <x:c r="B89" s="132" t="n">
        <x:v>80</x:v>
      </x:c>
      <x:c r="C89" s="136" t="str">
        <x:v>Circuits → Sequential Logic → Latches and Flip-Flops</x:v>
      </x:c>
      <x:c r="D89" s="136" t="str">
        <x:v>D flip-flops</x:v>
      </x:c>
      <x:c r="E89" s="132" t="str">
        <x:v>dff8</x:v>
      </x:c>
      <x:c r="F89" s="132" t="str">
        <x:v>B06</x:v>
      </x:c>
      <x:c r="G89" s="64" t="n">
        <x:f>INDEX('Revision Plan'!$B$12:$B$28,MATCH(F89,'Revision Plan'!$A$12:$A$28,0))</x:f>
        <x:v>46223</x:v>
      </x:c>
      <x:c r="H89" s="132" t="str">
        <x:v>Not Started</x:v>
      </x:c>
      <x:c r="I89" s="64" t="n">
        <x:f>INDEX('Revision Plan'!$G$12:$G$28,MATCH(F89,'Revision Plan'!$A$12:$A$28,0))</x:f>
        <x:v>46225</x:v>
      </x:c>
      <x:c r="J89" s="132" t="str">
        <x:v>Not Started</x:v>
      </x:c>
      <x:c r="K89" s="64" t="n">
        <x:f>INDEX('Revision Plan'!$I$12:$I$28,MATCH(F89,'Revision Plan'!$A$12:$A$28,0))</x:f>
        <x:v>46230</x:v>
      </x:c>
      <x:c r="L89" s="132" t="str">
        <x:v>Not Started</x:v>
      </x:c>
      <x:c r="M89" s="64" t="n">
        <x:f>INDEX('Revision Plan'!$K$12:$K$28,MATCH(F89,'Revision Plan'!$A$12:$A$28,0))</x:f>
        <x:v>46244</x:v>
      </x:c>
      <x:c r="N89" s="132" t="str">
        <x:v>Not Started</x:v>
      </x:c>
      <x:c r="O89" s="132"/>
      <x:c r="P89" s="136"/>
      <x:c r="Q89" s="136"/>
    </x:row>
    <x:row r="90" ht="22.5" customHeight="1">
      <x:c r="A90" s="132" t="n">
        <x:v>83</x:v>
      </x:c>
      <x:c r="B90" s="132" t="n">
        <x:v>81</x:v>
      </x:c>
      <x:c r="C90" s="136" t="str">
        <x:v>Circuits → Sequential Logic → Latches and Flip-Flops</x:v>
      </x:c>
      <x:c r="D90" s="136" t="str">
        <x:v>DFF with reset</x:v>
      </x:c>
      <x:c r="E90" s="132" t="str">
        <x:v>dff8r</x:v>
      </x:c>
      <x:c r="F90" s="132" t="str">
        <x:v>B06</x:v>
      </x:c>
      <x:c r="G90" s="64" t="n">
        <x:f>INDEX('Revision Plan'!$B$12:$B$28,MATCH(F90,'Revision Plan'!$A$12:$A$28,0))</x:f>
        <x:v>46223</x:v>
      </x:c>
      <x:c r="H90" s="132" t="str">
        <x:v>Not Started</x:v>
      </x:c>
      <x:c r="I90" s="64" t="n">
        <x:f>INDEX('Revision Plan'!$G$12:$G$28,MATCH(F90,'Revision Plan'!$A$12:$A$28,0))</x:f>
        <x:v>46225</x:v>
      </x:c>
      <x:c r="J90" s="132" t="str">
        <x:v>Not Started</x:v>
      </x:c>
      <x:c r="K90" s="64" t="n">
        <x:f>INDEX('Revision Plan'!$I$12:$I$28,MATCH(F90,'Revision Plan'!$A$12:$A$28,0))</x:f>
        <x:v>46230</x:v>
      </x:c>
      <x:c r="L90" s="132" t="str">
        <x:v>Not Started</x:v>
      </x:c>
      <x:c r="M90" s="64" t="n">
        <x:f>INDEX('Revision Plan'!$K$12:$K$28,MATCH(F90,'Revision Plan'!$A$12:$A$28,0))</x:f>
        <x:v>46244</x:v>
      </x:c>
      <x:c r="N90" s="132" t="str">
        <x:v>Not Started</x:v>
      </x:c>
      <x:c r="O90" s="132"/>
      <x:c r="P90" s="136"/>
      <x:c r="Q90" s="136"/>
    </x:row>
    <x:row r="91" ht="22.5" customHeight="1">
      <x:c r="A91" s="132" t="n">
        <x:v>84</x:v>
      </x:c>
      <x:c r="B91" s="132" t="n">
        <x:v>82</x:v>
      </x:c>
      <x:c r="C91" s="136" t="str">
        <x:v>Circuits → Sequential Logic → Latches and Flip-Flops</x:v>
      </x:c>
      <x:c r="D91" s="136" t="str">
        <x:v>DFF with reset value</x:v>
      </x:c>
      <x:c r="E91" s="132" t="str">
        <x:v>dff8p</x:v>
      </x:c>
      <x:c r="F91" s="132" t="str">
        <x:v>B06</x:v>
      </x:c>
      <x:c r="G91" s="64" t="n">
        <x:f>INDEX('Revision Plan'!$B$12:$B$28,MATCH(F91,'Revision Plan'!$A$12:$A$28,0))</x:f>
        <x:v>46223</x:v>
      </x:c>
      <x:c r="H91" s="132" t="str">
        <x:v>Not Started</x:v>
      </x:c>
      <x:c r="I91" s="64" t="n">
        <x:f>INDEX('Revision Plan'!$G$12:$G$28,MATCH(F91,'Revision Plan'!$A$12:$A$28,0))</x:f>
        <x:v>46225</x:v>
      </x:c>
      <x:c r="J91" s="132" t="str">
        <x:v>Not Started</x:v>
      </x:c>
      <x:c r="K91" s="64" t="n">
        <x:f>INDEX('Revision Plan'!$I$12:$I$28,MATCH(F91,'Revision Plan'!$A$12:$A$28,0))</x:f>
        <x:v>46230</x:v>
      </x:c>
      <x:c r="L91" s="132" t="str">
        <x:v>Not Started</x:v>
      </x:c>
      <x:c r="M91" s="64" t="n">
        <x:f>INDEX('Revision Plan'!$K$12:$K$28,MATCH(F91,'Revision Plan'!$A$12:$A$28,0))</x:f>
        <x:v>46244</x:v>
      </x:c>
      <x:c r="N91" s="132" t="str">
        <x:v>Not Started</x:v>
      </x:c>
      <x:c r="O91" s="132"/>
      <x:c r="P91" s="136"/>
      <x:c r="Q91" s="136"/>
    </x:row>
    <x:row r="92" ht="22.5" customHeight="1">
      <x:c r="A92" s="132" t="n">
        <x:v>85</x:v>
      </x:c>
      <x:c r="B92" s="132" t="n">
        <x:v>83</x:v>
      </x:c>
      <x:c r="C92" s="136" t="str">
        <x:v>Circuits → Sequential Logic → Latches and Flip-Flops</x:v>
      </x:c>
      <x:c r="D92" s="136" t="str">
        <x:v>DFF with asynchronous reset</x:v>
      </x:c>
      <x:c r="E92" s="132" t="str">
        <x:v>dff8ar</x:v>
      </x:c>
      <x:c r="F92" s="132" t="str">
        <x:v>B06</x:v>
      </x:c>
      <x:c r="G92" s="64" t="n">
        <x:f>INDEX('Revision Plan'!$B$12:$B$28,MATCH(F92,'Revision Plan'!$A$12:$A$28,0))</x:f>
        <x:v>46223</x:v>
      </x:c>
      <x:c r="H92" s="132" t="str">
        <x:v>Not Started</x:v>
      </x:c>
      <x:c r="I92" s="64" t="n">
        <x:f>INDEX('Revision Plan'!$G$12:$G$28,MATCH(F92,'Revision Plan'!$A$12:$A$28,0))</x:f>
        <x:v>46225</x:v>
      </x:c>
      <x:c r="J92" s="132" t="str">
        <x:v>Not Started</x:v>
      </x:c>
      <x:c r="K92" s="64" t="n">
        <x:f>INDEX('Revision Plan'!$I$12:$I$28,MATCH(F92,'Revision Plan'!$A$12:$A$28,0))</x:f>
        <x:v>46230</x:v>
      </x:c>
      <x:c r="L92" s="132" t="str">
        <x:v>Not Started</x:v>
      </x:c>
      <x:c r="M92" s="64" t="n">
        <x:f>INDEX('Revision Plan'!$K$12:$K$28,MATCH(F92,'Revision Plan'!$A$12:$A$28,0))</x:f>
        <x:v>46244</x:v>
      </x:c>
      <x:c r="N92" s="132" t="str">
        <x:v>Not Started</x:v>
      </x:c>
      <x:c r="O92" s="132"/>
      <x:c r="P92" s="136"/>
      <x:c r="Q92" s="136"/>
    </x:row>
    <x:row r="93" ht="22.5" customHeight="1">
      <x:c r="A93" s="132" t="n">
        <x:v>86</x:v>
      </x:c>
      <x:c r="B93" s="132" t="n">
        <x:v>84</x:v>
      </x:c>
      <x:c r="C93" s="136" t="str">
        <x:v>Circuits → Sequential Logic → Latches and Flip-Flops</x:v>
      </x:c>
      <x:c r="D93" s="136" t="str">
        <x:v>DFF with byte enable</x:v>
      </x:c>
      <x:c r="E93" s="132" t="str">
        <x:v>dff16e</x:v>
      </x:c>
      <x:c r="F93" s="132" t="str">
        <x:v>B06</x:v>
      </x:c>
      <x:c r="G93" s="64" t="n">
        <x:f>INDEX('Revision Plan'!$B$12:$B$28,MATCH(F93,'Revision Plan'!$A$12:$A$28,0))</x:f>
        <x:v>46223</x:v>
      </x:c>
      <x:c r="H93" s="132" t="str">
        <x:v>Not Started</x:v>
      </x:c>
      <x:c r="I93" s="64" t="n">
        <x:f>INDEX('Revision Plan'!$G$12:$G$28,MATCH(F93,'Revision Plan'!$A$12:$A$28,0))</x:f>
        <x:v>46225</x:v>
      </x:c>
      <x:c r="J93" s="132" t="str">
        <x:v>Not Started</x:v>
      </x:c>
      <x:c r="K93" s="64" t="n">
        <x:f>INDEX('Revision Plan'!$I$12:$I$28,MATCH(F93,'Revision Plan'!$A$12:$A$28,0))</x:f>
        <x:v>46230</x:v>
      </x:c>
      <x:c r="L93" s="132" t="str">
        <x:v>Not Started</x:v>
      </x:c>
      <x:c r="M93" s="64" t="n">
        <x:f>INDEX('Revision Plan'!$K$12:$K$28,MATCH(F93,'Revision Plan'!$A$12:$A$28,0))</x:f>
        <x:v>46244</x:v>
      </x:c>
      <x:c r="N93" s="132" t="str">
        <x:v>Not Started</x:v>
      </x:c>
      <x:c r="O93" s="132"/>
      <x:c r="P93" s="136"/>
      <x:c r="Q93" s="136"/>
    </x:row>
    <x:row r="94" ht="22.5" customHeight="1">
      <x:c r="A94" s="132" t="n">
        <x:v>87</x:v>
      </x:c>
      <x:c r="B94" s="132" t="n">
        <x:v>85</x:v>
      </x:c>
      <x:c r="C94" s="136" t="str">
        <x:v>Circuits → Sequential Logic → Latches and Flip-Flops</x:v>
      </x:c>
      <x:c r="D94" s="136" t="str">
        <x:v>D Latch</x:v>
      </x:c>
      <x:c r="E94" s="132" t="str">
        <x:v>exams/m2014_q4a</x:v>
      </x:c>
      <x:c r="F94" s="132" t="str">
        <x:v>B06</x:v>
      </x:c>
      <x:c r="G94" s="64" t="n">
        <x:f>INDEX('Revision Plan'!$B$12:$B$28,MATCH(F94,'Revision Plan'!$A$12:$A$28,0))</x:f>
        <x:v>46223</x:v>
      </x:c>
      <x:c r="H94" s="132" t="str">
        <x:v>Not Started</x:v>
      </x:c>
      <x:c r="I94" s="64" t="n">
        <x:f>INDEX('Revision Plan'!$G$12:$G$28,MATCH(F94,'Revision Plan'!$A$12:$A$28,0))</x:f>
        <x:v>46225</x:v>
      </x:c>
      <x:c r="J94" s="132" t="str">
        <x:v>Not Started</x:v>
      </x:c>
      <x:c r="K94" s="64" t="n">
        <x:f>INDEX('Revision Plan'!$I$12:$I$28,MATCH(F94,'Revision Plan'!$A$12:$A$28,0))</x:f>
        <x:v>46230</x:v>
      </x:c>
      <x:c r="L94" s="132" t="str">
        <x:v>Not Started</x:v>
      </x:c>
      <x:c r="M94" s="64" t="n">
        <x:f>INDEX('Revision Plan'!$K$12:$K$28,MATCH(F94,'Revision Plan'!$A$12:$A$28,0))</x:f>
        <x:v>46244</x:v>
      </x:c>
      <x:c r="N94" s="132" t="str">
        <x:v>Not Started</x:v>
      </x:c>
      <x:c r="O94" s="132"/>
      <x:c r="P94" s="136"/>
      <x:c r="Q94" s="136"/>
    </x:row>
    <x:row r="95" ht="22.5" customHeight="1">
      <x:c r="A95" s="132" t="n">
        <x:v>88</x:v>
      </x:c>
      <x:c r="B95" s="132" t="n">
        <x:v>86</x:v>
      </x:c>
      <x:c r="C95" s="136" t="str">
        <x:v>Circuits → Sequential Logic → Latches and Flip-Flops</x:v>
      </x:c>
      <x:c r="D95" s="136" t="str">
        <x:v>DFF</x:v>
      </x:c>
      <x:c r="E95" s="132" t="str">
        <x:v>exams/m2014_q4b</x:v>
      </x:c>
      <x:c r="F95" s="132" t="str">
        <x:v>B06</x:v>
      </x:c>
      <x:c r="G95" s="64" t="n">
        <x:f>INDEX('Revision Plan'!$B$12:$B$28,MATCH(F95,'Revision Plan'!$A$12:$A$28,0))</x:f>
        <x:v>46223</x:v>
      </x:c>
      <x:c r="H95" s="132" t="str">
        <x:v>Not Started</x:v>
      </x:c>
      <x:c r="I95" s="64" t="n">
        <x:f>INDEX('Revision Plan'!$G$12:$G$28,MATCH(F95,'Revision Plan'!$A$12:$A$28,0))</x:f>
        <x:v>46225</x:v>
      </x:c>
      <x:c r="J95" s="132" t="str">
        <x:v>Not Started</x:v>
      </x:c>
      <x:c r="K95" s="64" t="n">
        <x:f>INDEX('Revision Plan'!$I$12:$I$28,MATCH(F95,'Revision Plan'!$A$12:$A$28,0))</x:f>
        <x:v>46230</x:v>
      </x:c>
      <x:c r="L95" s="132" t="str">
        <x:v>Not Started</x:v>
      </x:c>
      <x:c r="M95" s="64" t="n">
        <x:f>INDEX('Revision Plan'!$K$12:$K$28,MATCH(F95,'Revision Plan'!$A$12:$A$28,0))</x:f>
        <x:v>46244</x:v>
      </x:c>
      <x:c r="N95" s="132" t="str">
        <x:v>Not Started</x:v>
      </x:c>
      <x:c r="O95" s="132"/>
      <x:c r="P95" s="136"/>
      <x:c r="Q95" s="136"/>
    </x:row>
    <x:row r="96" ht="22.5" customHeight="1">
      <x:c r="A96" s="132" t="n">
        <x:v>89</x:v>
      </x:c>
      <x:c r="B96" s="132" t="n">
        <x:v>87</x:v>
      </x:c>
      <x:c r="C96" s="136" t="str">
        <x:v>Circuits → Sequential Logic → Latches and Flip-Flops</x:v>
      </x:c>
      <x:c r="D96" s="136" t="str">
        <x:v>DFF</x:v>
      </x:c>
      <x:c r="E96" s="132" t="str">
        <x:v>exams/m2014_q4c</x:v>
      </x:c>
      <x:c r="F96" s="132" t="str">
        <x:v>B06</x:v>
      </x:c>
      <x:c r="G96" s="64" t="n">
        <x:f>INDEX('Revision Plan'!$B$12:$B$28,MATCH(F96,'Revision Plan'!$A$12:$A$28,0))</x:f>
        <x:v>46223</x:v>
      </x:c>
      <x:c r="H96" s="132" t="str">
        <x:v>Not Started</x:v>
      </x:c>
      <x:c r="I96" s="64" t="n">
        <x:f>INDEX('Revision Plan'!$G$12:$G$28,MATCH(F96,'Revision Plan'!$A$12:$A$28,0))</x:f>
        <x:v>46225</x:v>
      </x:c>
      <x:c r="J96" s="132" t="str">
        <x:v>Not Started</x:v>
      </x:c>
      <x:c r="K96" s="64" t="n">
        <x:f>INDEX('Revision Plan'!$I$12:$I$28,MATCH(F96,'Revision Plan'!$A$12:$A$28,0))</x:f>
        <x:v>46230</x:v>
      </x:c>
      <x:c r="L96" s="132" t="str">
        <x:v>Not Started</x:v>
      </x:c>
      <x:c r="M96" s="64" t="n">
        <x:f>INDEX('Revision Plan'!$K$12:$K$28,MATCH(F96,'Revision Plan'!$A$12:$A$28,0))</x:f>
        <x:v>46244</x:v>
      </x:c>
      <x:c r="N96" s="132" t="str">
        <x:v>Not Started</x:v>
      </x:c>
      <x:c r="O96" s="132"/>
      <x:c r="P96" s="136"/>
      <x:c r="Q96" s="136"/>
    </x:row>
    <x:row r="97" ht="22.5" customHeight="1">
      <x:c r="A97" s="132" t="n">
        <x:v>90</x:v>
      </x:c>
      <x:c r="B97" s="132" t="n">
        <x:v>88</x:v>
      </x:c>
      <x:c r="C97" s="136" t="str">
        <x:v>Circuits → Sequential Logic → Latches and Flip-Flops</x:v>
      </x:c>
      <x:c r="D97" s="136" t="str">
        <x:v>DFF+gate</x:v>
      </x:c>
      <x:c r="E97" s="132" t="str">
        <x:v>exams/m2014_q4d</x:v>
      </x:c>
      <x:c r="F97" s="132" t="str">
        <x:v>B06</x:v>
      </x:c>
      <x:c r="G97" s="64" t="n">
        <x:f>INDEX('Revision Plan'!$B$12:$B$28,MATCH(F97,'Revision Plan'!$A$12:$A$28,0))</x:f>
        <x:v>46223</x:v>
      </x:c>
      <x:c r="H97" s="132" t="str">
        <x:v>Not Started</x:v>
      </x:c>
      <x:c r="I97" s="64" t="n">
        <x:f>INDEX('Revision Plan'!$G$12:$G$28,MATCH(F97,'Revision Plan'!$A$12:$A$28,0))</x:f>
        <x:v>46225</x:v>
      </x:c>
      <x:c r="J97" s="132" t="str">
        <x:v>Not Started</x:v>
      </x:c>
      <x:c r="K97" s="64" t="n">
        <x:f>INDEX('Revision Plan'!$I$12:$I$28,MATCH(F97,'Revision Plan'!$A$12:$A$28,0))</x:f>
        <x:v>46230</x:v>
      </x:c>
      <x:c r="L97" s="132" t="str">
        <x:v>Not Started</x:v>
      </x:c>
      <x:c r="M97" s="64" t="n">
        <x:f>INDEX('Revision Plan'!$K$12:$K$28,MATCH(F97,'Revision Plan'!$A$12:$A$28,0))</x:f>
        <x:v>46244</x:v>
      </x:c>
      <x:c r="N97" s="132" t="str">
        <x:v>Not Started</x:v>
      </x:c>
      <x:c r="O97" s="132"/>
      <x:c r="P97" s="136"/>
      <x:c r="Q97" s="136"/>
    </x:row>
    <x:row r="98" ht="22.5" customHeight="1">
      <x:c r="A98" s="132" t="n">
        <x:v>91</x:v>
      </x:c>
      <x:c r="B98" s="132" t="n">
        <x:v>89</x:v>
      </x:c>
      <x:c r="C98" s="136" t="str">
        <x:v>Circuits → Sequential Logic → Latches and Flip-Flops</x:v>
      </x:c>
      <x:c r="D98" s="136" t="str">
        <x:v>Mux and DFF</x:v>
      </x:c>
      <x:c r="E98" s="132" t="str">
        <x:v>mt2015_muxdff</x:v>
      </x:c>
      <x:c r="F98" s="132" t="str">
        <x:v>B07</x:v>
      </x:c>
      <x:c r="G98" s="64" t="n">
        <x:f>INDEX('Revision Plan'!$B$12:$B$28,MATCH(F98,'Revision Plan'!$A$12:$A$28,0))</x:f>
        <x:v>46224</x:v>
      </x:c>
      <x:c r="H98" s="132" t="str">
        <x:v>Not Started</x:v>
      </x:c>
      <x:c r="I98" s="64" t="n">
        <x:f>INDEX('Revision Plan'!$G$12:$G$28,MATCH(F98,'Revision Plan'!$A$12:$A$28,0))</x:f>
        <x:v>46226</x:v>
      </x:c>
      <x:c r="J98" s="132" t="str">
        <x:v>Not Started</x:v>
      </x:c>
      <x:c r="K98" s="64" t="n">
        <x:f>INDEX('Revision Plan'!$I$12:$I$28,MATCH(F98,'Revision Plan'!$A$12:$A$28,0))</x:f>
        <x:v>46231</x:v>
      </x:c>
      <x:c r="L98" s="132" t="str">
        <x:v>Not Started</x:v>
      </x:c>
      <x:c r="M98" s="64" t="n">
        <x:f>INDEX('Revision Plan'!$K$12:$K$28,MATCH(F98,'Revision Plan'!$A$12:$A$28,0))</x:f>
        <x:v>46245</x:v>
      </x:c>
      <x:c r="N98" s="132" t="str">
        <x:v>Not Started</x:v>
      </x:c>
      <x:c r="O98" s="132"/>
      <x:c r="P98" s="136"/>
      <x:c r="Q98" s="136"/>
    </x:row>
    <x:row r="99" ht="22.5" customHeight="1">
      <x:c r="A99" s="132" t="n">
        <x:v>92</x:v>
      </x:c>
      <x:c r="B99" s="132" t="n">
        <x:v>90</x:v>
      </x:c>
      <x:c r="C99" s="136" t="str">
        <x:v>Circuits → Sequential Logic → Latches and Flip-Flops</x:v>
      </x:c>
      <x:c r="D99" s="136" t="str">
        <x:v>Mux and DFF</x:v>
      </x:c>
      <x:c r="E99" s="132" t="str">
        <x:v>exams/2014_q4a</x:v>
      </x:c>
      <x:c r="F99" s="132" t="str">
        <x:v>B07</x:v>
      </x:c>
      <x:c r="G99" s="64" t="n">
        <x:f>INDEX('Revision Plan'!$B$12:$B$28,MATCH(F99,'Revision Plan'!$A$12:$A$28,0))</x:f>
        <x:v>46224</x:v>
      </x:c>
      <x:c r="H99" s="132" t="str">
        <x:v>Not Started</x:v>
      </x:c>
      <x:c r="I99" s="64" t="n">
        <x:f>INDEX('Revision Plan'!$G$12:$G$28,MATCH(F99,'Revision Plan'!$A$12:$A$28,0))</x:f>
        <x:v>46226</x:v>
      </x:c>
      <x:c r="J99" s="132" t="str">
        <x:v>Not Started</x:v>
      </x:c>
      <x:c r="K99" s="64" t="n">
        <x:f>INDEX('Revision Plan'!$I$12:$I$28,MATCH(F99,'Revision Plan'!$A$12:$A$28,0))</x:f>
        <x:v>46231</x:v>
      </x:c>
      <x:c r="L99" s="132" t="str">
        <x:v>Not Started</x:v>
      </x:c>
      <x:c r="M99" s="64" t="n">
        <x:f>INDEX('Revision Plan'!$K$12:$K$28,MATCH(F99,'Revision Plan'!$A$12:$A$28,0))</x:f>
        <x:v>46245</x:v>
      </x:c>
      <x:c r="N99" s="132" t="str">
        <x:v>Not Started</x:v>
      </x:c>
      <x:c r="O99" s="132"/>
      <x:c r="P99" s="136"/>
      <x:c r="Q99" s="136"/>
    </x:row>
    <x:row r="100" ht="22.5" customHeight="1">
      <x:c r="A100" s="132" t="n">
        <x:v>93</x:v>
      </x:c>
      <x:c r="B100" s="132" t="n">
        <x:v>91</x:v>
      </x:c>
      <x:c r="C100" s="136" t="str">
        <x:v>Circuits → Sequential Logic → Latches and Flip-Flops</x:v>
      </x:c>
      <x:c r="D100" s="136" t="str">
        <x:v>DFFs and gates</x:v>
      </x:c>
      <x:c r="E100" s="132" t="str">
        <x:v>exams/ece241_2014_q4</x:v>
      </x:c>
      <x:c r="F100" s="132" t="str">
        <x:v>B07</x:v>
      </x:c>
      <x:c r="G100" s="64" t="n">
        <x:f>INDEX('Revision Plan'!$B$12:$B$28,MATCH(F100,'Revision Plan'!$A$12:$A$28,0))</x:f>
        <x:v>46224</x:v>
      </x:c>
      <x:c r="H100" s="132" t="str">
        <x:v>Not Started</x:v>
      </x:c>
      <x:c r="I100" s="64" t="n">
        <x:f>INDEX('Revision Plan'!$G$12:$G$28,MATCH(F100,'Revision Plan'!$A$12:$A$28,0))</x:f>
        <x:v>46226</x:v>
      </x:c>
      <x:c r="J100" s="132" t="str">
        <x:v>Not Started</x:v>
      </x:c>
      <x:c r="K100" s="64" t="n">
        <x:f>INDEX('Revision Plan'!$I$12:$I$28,MATCH(F100,'Revision Plan'!$A$12:$A$28,0))</x:f>
        <x:v>46231</x:v>
      </x:c>
      <x:c r="L100" s="132" t="str">
        <x:v>Not Started</x:v>
      </x:c>
      <x:c r="M100" s="64" t="n">
        <x:f>INDEX('Revision Plan'!$K$12:$K$28,MATCH(F100,'Revision Plan'!$A$12:$A$28,0))</x:f>
        <x:v>46245</x:v>
      </x:c>
      <x:c r="N100" s="132" t="str">
        <x:v>Not Started</x:v>
      </x:c>
      <x:c r="O100" s="132"/>
      <x:c r="P100" s="136"/>
      <x:c r="Q100" s="136"/>
    </x:row>
    <x:row r="101" ht="22.5" customHeight="1">
      <x:c r="A101" s="132" t="n">
        <x:v>94</x:v>
      </x:c>
      <x:c r="B101" s="132" t="n">
        <x:v>92</x:v>
      </x:c>
      <x:c r="C101" s="136" t="str">
        <x:v>Circuits → Sequential Logic → Latches and Flip-Flops</x:v>
      </x:c>
      <x:c r="D101" s="136" t="str">
        <x:v>Create circuit from truth table</x:v>
      </x:c>
      <x:c r="E101" s="132" t="str">
        <x:v>exams/ece241_2013_q7</x:v>
      </x:c>
      <x:c r="F101" s="132" t="str">
        <x:v>B07</x:v>
      </x:c>
      <x:c r="G101" s="64" t="n">
        <x:f>INDEX('Revision Plan'!$B$12:$B$28,MATCH(F101,'Revision Plan'!$A$12:$A$28,0))</x:f>
        <x:v>46224</x:v>
      </x:c>
      <x:c r="H101" s="132" t="str">
        <x:v>Not Started</x:v>
      </x:c>
      <x:c r="I101" s="64" t="n">
        <x:f>INDEX('Revision Plan'!$G$12:$G$28,MATCH(F101,'Revision Plan'!$A$12:$A$28,0))</x:f>
        <x:v>46226</x:v>
      </x:c>
      <x:c r="J101" s="132" t="str">
        <x:v>Not Started</x:v>
      </x:c>
      <x:c r="K101" s="64" t="n">
        <x:f>INDEX('Revision Plan'!$I$12:$I$28,MATCH(F101,'Revision Plan'!$A$12:$A$28,0))</x:f>
        <x:v>46231</x:v>
      </x:c>
      <x:c r="L101" s="132" t="str">
        <x:v>Not Started</x:v>
      </x:c>
      <x:c r="M101" s="64" t="n">
        <x:f>INDEX('Revision Plan'!$K$12:$K$28,MATCH(F101,'Revision Plan'!$A$12:$A$28,0))</x:f>
        <x:v>46245</x:v>
      </x:c>
      <x:c r="N101" s="132" t="str">
        <x:v>Not Started</x:v>
      </x:c>
      <x:c r="O101" s="132"/>
      <x:c r="P101" s="136"/>
      <x:c r="Q101" s="136"/>
    </x:row>
    <x:row r="102" ht="22.5" customHeight="1">
      <x:c r="A102" s="132" t="n">
        <x:v>95</x:v>
      </x:c>
      <x:c r="B102" s="132" t="n">
        <x:v>93</x:v>
      </x:c>
      <x:c r="C102" s="136" t="str">
        <x:v>Circuits → Sequential Logic → Latches and Flip-Flops</x:v>
      </x:c>
      <x:c r="D102" s="136" t="str">
        <x:v>Detect an edge</x:v>
      </x:c>
      <x:c r="E102" s="132" t="str">
        <x:v>edgedetect</x:v>
      </x:c>
      <x:c r="F102" s="132" t="str">
        <x:v>B07</x:v>
      </x:c>
      <x:c r="G102" s="64" t="n">
        <x:f>INDEX('Revision Plan'!$B$12:$B$28,MATCH(F102,'Revision Plan'!$A$12:$A$28,0))</x:f>
        <x:v>46224</x:v>
      </x:c>
      <x:c r="H102" s="132" t="str">
        <x:v>Not Started</x:v>
      </x:c>
      <x:c r="I102" s="64" t="n">
        <x:f>INDEX('Revision Plan'!$G$12:$G$28,MATCH(F102,'Revision Plan'!$A$12:$A$28,0))</x:f>
        <x:v>46226</x:v>
      </x:c>
      <x:c r="J102" s="132" t="str">
        <x:v>Not Started</x:v>
      </x:c>
      <x:c r="K102" s="64" t="n">
        <x:f>INDEX('Revision Plan'!$I$12:$I$28,MATCH(F102,'Revision Plan'!$A$12:$A$28,0))</x:f>
        <x:v>46231</x:v>
      </x:c>
      <x:c r="L102" s="132" t="str">
        <x:v>Not Started</x:v>
      </x:c>
      <x:c r="M102" s="64" t="n">
        <x:f>INDEX('Revision Plan'!$K$12:$K$28,MATCH(F102,'Revision Plan'!$A$12:$A$28,0))</x:f>
        <x:v>46245</x:v>
      </x:c>
      <x:c r="N102" s="132" t="str">
        <x:v>Not Started</x:v>
      </x:c>
      <x:c r="O102" s="132"/>
      <x:c r="P102" s="136"/>
      <x:c r="Q102" s="136"/>
    </x:row>
    <x:row r="103" ht="22.5" customHeight="1">
      <x:c r="A103" s="132" t="n">
        <x:v>96</x:v>
      </x:c>
      <x:c r="B103" s="132" t="n">
        <x:v>94</x:v>
      </x:c>
      <x:c r="C103" s="136" t="str">
        <x:v>Circuits → Sequential Logic → Latches and Flip-Flops</x:v>
      </x:c>
      <x:c r="D103" s="136" t="str">
        <x:v>Detect both edges</x:v>
      </x:c>
      <x:c r="E103" s="132" t="str">
        <x:v>edgedetect2</x:v>
      </x:c>
      <x:c r="F103" s="132" t="str">
        <x:v>B07</x:v>
      </x:c>
      <x:c r="G103" s="64" t="n">
        <x:f>INDEX('Revision Plan'!$B$12:$B$28,MATCH(F103,'Revision Plan'!$A$12:$A$28,0))</x:f>
        <x:v>46224</x:v>
      </x:c>
      <x:c r="H103" s="132" t="str">
        <x:v>Not Started</x:v>
      </x:c>
      <x:c r="I103" s="64" t="n">
        <x:f>INDEX('Revision Plan'!$G$12:$G$28,MATCH(F103,'Revision Plan'!$A$12:$A$28,0))</x:f>
        <x:v>46226</x:v>
      </x:c>
      <x:c r="J103" s="132" t="str">
        <x:v>Not Started</x:v>
      </x:c>
      <x:c r="K103" s="64" t="n">
        <x:f>INDEX('Revision Plan'!$I$12:$I$28,MATCH(F103,'Revision Plan'!$A$12:$A$28,0))</x:f>
        <x:v>46231</x:v>
      </x:c>
      <x:c r="L103" s="132" t="str">
        <x:v>Not Started</x:v>
      </x:c>
      <x:c r="M103" s="64" t="n">
        <x:f>INDEX('Revision Plan'!$K$12:$K$28,MATCH(F103,'Revision Plan'!$A$12:$A$28,0))</x:f>
        <x:v>46245</x:v>
      </x:c>
      <x:c r="N103" s="132" t="str">
        <x:v>Not Started</x:v>
      </x:c>
      <x:c r="O103" s="132"/>
      <x:c r="P103" s="136"/>
      <x:c r="Q103" s="136"/>
    </x:row>
    <x:row r="104" ht="22.5" customHeight="1">
      <x:c r="A104" s="132" t="n">
        <x:v>97</x:v>
      </x:c>
      <x:c r="B104" s="132" t="n">
        <x:v>95</x:v>
      </x:c>
      <x:c r="C104" s="136" t="str">
        <x:v>Circuits → Sequential Logic → Latches and Flip-Flops</x:v>
      </x:c>
      <x:c r="D104" s="136" t="str">
        <x:v>Edge capture register</x:v>
      </x:c>
      <x:c r="E104" s="132" t="str">
        <x:v>edgecapture</x:v>
      </x:c>
      <x:c r="F104" s="132" t="str">
        <x:v>B07</x:v>
      </x:c>
      <x:c r="G104" s="64" t="n">
        <x:f>INDEX('Revision Plan'!$B$12:$B$28,MATCH(F104,'Revision Plan'!$A$12:$A$28,0))</x:f>
        <x:v>46224</x:v>
      </x:c>
      <x:c r="H104" s="132" t="str">
        <x:v>Not Started</x:v>
      </x:c>
      <x:c r="I104" s="64" t="n">
        <x:f>INDEX('Revision Plan'!$G$12:$G$28,MATCH(F104,'Revision Plan'!$A$12:$A$28,0))</x:f>
        <x:v>46226</x:v>
      </x:c>
      <x:c r="J104" s="132" t="str">
        <x:v>Not Started</x:v>
      </x:c>
      <x:c r="K104" s="64" t="n">
        <x:f>INDEX('Revision Plan'!$I$12:$I$28,MATCH(F104,'Revision Plan'!$A$12:$A$28,0))</x:f>
        <x:v>46231</x:v>
      </x:c>
      <x:c r="L104" s="132" t="str">
        <x:v>Not Started</x:v>
      </x:c>
      <x:c r="M104" s="64" t="n">
        <x:f>INDEX('Revision Plan'!$K$12:$K$28,MATCH(F104,'Revision Plan'!$A$12:$A$28,0))</x:f>
        <x:v>46245</x:v>
      </x:c>
      <x:c r="N104" s="132" t="str">
        <x:v>Not Started</x:v>
      </x:c>
      <x:c r="O104" s="132"/>
      <x:c r="P104" s="136"/>
      <x:c r="Q104" s="136"/>
    </x:row>
    <x:row r="105" ht="22.5" customHeight="1">
      <x:c r="A105" s="132" t="n">
        <x:v>98</x:v>
      </x:c>
      <x:c r="B105" s="132" t="n">
        <x:v>96</x:v>
      </x:c>
      <x:c r="C105" s="136" t="str">
        <x:v>Circuits → Sequential Logic → Latches and Flip-Flops</x:v>
      </x:c>
      <x:c r="D105" s="136" t="str">
        <x:v>Dual-edge triggered flip-flop</x:v>
      </x:c>
      <x:c r="E105" s="132" t="str">
        <x:v>dualedge</x:v>
      </x:c>
      <x:c r="F105" s="132" t="str">
        <x:v>B07</x:v>
      </x:c>
      <x:c r="G105" s="64" t="n">
        <x:f>INDEX('Revision Plan'!$B$12:$B$28,MATCH(F105,'Revision Plan'!$A$12:$A$28,0))</x:f>
        <x:v>46224</x:v>
      </x:c>
      <x:c r="H105" s="132" t="str">
        <x:v>Not Started</x:v>
      </x:c>
      <x:c r="I105" s="64" t="n">
        <x:f>INDEX('Revision Plan'!$G$12:$G$28,MATCH(F105,'Revision Plan'!$A$12:$A$28,0))</x:f>
        <x:v>46226</x:v>
      </x:c>
      <x:c r="J105" s="132" t="str">
        <x:v>Not Started</x:v>
      </x:c>
      <x:c r="K105" s="64" t="n">
        <x:f>INDEX('Revision Plan'!$I$12:$I$28,MATCH(F105,'Revision Plan'!$A$12:$A$28,0))</x:f>
        <x:v>46231</x:v>
      </x:c>
      <x:c r="L105" s="132" t="str">
        <x:v>Not Started</x:v>
      </x:c>
      <x:c r="M105" s="64" t="n">
        <x:f>INDEX('Revision Plan'!$K$12:$K$28,MATCH(F105,'Revision Plan'!$A$12:$A$28,0))</x:f>
        <x:v>46245</x:v>
      </x:c>
      <x:c r="N105" s="132" t="str">
        <x:v>Not Started</x:v>
      </x:c>
      <x:c r="O105" s="132"/>
      <x:c r="P105" s="136"/>
      <x:c r="Q105" s="136"/>
    </x:row>
    <x:row r="106" ht="22.5" customHeight="1">
      <x:c r="A106" s="132" t="n">
        <x:v>99</x:v>
      </x:c>
      <x:c r="B106" s="132" t="n">
        <x:v>97</x:v>
      </x:c>
      <x:c r="C106" s="136" t="str">
        <x:v>Circuits → Sequential Logic → Counters</x:v>
      </x:c>
      <x:c r="D106" s="136" t="str">
        <x:v>Four-bit binary counter</x:v>
      </x:c>
      <x:c r="E106" s="132" t="str">
        <x:v>count15</x:v>
      </x:c>
      <x:c r="F106" s="132" t="str">
        <x:v>B07</x:v>
      </x:c>
      <x:c r="G106" s="64" t="n">
        <x:f>INDEX('Revision Plan'!$B$12:$B$28,MATCH(F106,'Revision Plan'!$A$12:$A$28,0))</x:f>
        <x:v>46224</x:v>
      </x:c>
      <x:c r="H106" s="132" t="str">
        <x:v>Not Started</x:v>
      </x:c>
      <x:c r="I106" s="64" t="n">
        <x:f>INDEX('Revision Plan'!$G$12:$G$28,MATCH(F106,'Revision Plan'!$A$12:$A$28,0))</x:f>
        <x:v>46226</x:v>
      </x:c>
      <x:c r="J106" s="132" t="str">
        <x:v>Not Started</x:v>
      </x:c>
      <x:c r="K106" s="64" t="n">
        <x:f>INDEX('Revision Plan'!$I$12:$I$28,MATCH(F106,'Revision Plan'!$A$12:$A$28,0))</x:f>
        <x:v>46231</x:v>
      </x:c>
      <x:c r="L106" s="132" t="str">
        <x:v>Not Started</x:v>
      </x:c>
      <x:c r="M106" s="64" t="n">
        <x:f>INDEX('Revision Plan'!$K$12:$K$28,MATCH(F106,'Revision Plan'!$A$12:$A$28,0))</x:f>
        <x:v>46245</x:v>
      </x:c>
      <x:c r="N106" s="132" t="str">
        <x:v>Not Started</x:v>
      </x:c>
      <x:c r="O106" s="132"/>
      <x:c r="P106" s="136"/>
      <x:c r="Q106" s="136"/>
    </x:row>
    <x:row r="107" ht="22.5" customHeight="1">
      <x:c r="A107" s="132" t="n">
        <x:v>100</x:v>
      </x:c>
      <x:c r="B107" s="132" t="n">
        <x:v>98</x:v>
      </x:c>
      <x:c r="C107" s="136" t="str">
        <x:v>Circuits → Sequential Logic → Counters</x:v>
      </x:c>
      <x:c r="D107" s="136" t="str">
        <x:v>Decade counter</x:v>
      </x:c>
      <x:c r="E107" s="132" t="str">
        <x:v>count10</x:v>
      </x:c>
      <x:c r="F107" s="132" t="str">
        <x:v>B07</x:v>
      </x:c>
      <x:c r="G107" s="64" t="n">
        <x:f>INDEX('Revision Plan'!$B$12:$B$28,MATCH(F107,'Revision Plan'!$A$12:$A$28,0))</x:f>
        <x:v>46224</x:v>
      </x:c>
      <x:c r="H107" s="132" t="str">
        <x:v>Not Started</x:v>
      </x:c>
      <x:c r="I107" s="64" t="n">
        <x:f>INDEX('Revision Plan'!$G$12:$G$28,MATCH(F107,'Revision Plan'!$A$12:$A$28,0))</x:f>
        <x:v>46226</x:v>
      </x:c>
      <x:c r="J107" s="132" t="str">
        <x:v>Not Started</x:v>
      </x:c>
      <x:c r="K107" s="64" t="n">
        <x:f>INDEX('Revision Plan'!$I$12:$I$28,MATCH(F107,'Revision Plan'!$A$12:$A$28,0))</x:f>
        <x:v>46231</x:v>
      </x:c>
      <x:c r="L107" s="132" t="str">
        <x:v>Not Started</x:v>
      </x:c>
      <x:c r="M107" s="64" t="n">
        <x:f>INDEX('Revision Plan'!$K$12:$K$28,MATCH(F107,'Revision Plan'!$A$12:$A$28,0))</x:f>
        <x:v>46245</x:v>
      </x:c>
      <x:c r="N107" s="132" t="str">
        <x:v>Not Started</x:v>
      </x:c>
      <x:c r="O107" s="132"/>
      <x:c r="P107" s="136"/>
      <x:c r="Q107" s="136"/>
    </x:row>
    <x:row r="108" ht="22.5" customHeight="1">
      <x:c r="A108" s="132" t="n">
        <x:v>101</x:v>
      </x:c>
      <x:c r="B108" s="132" t="n">
        <x:v>99</x:v>
      </x:c>
      <x:c r="C108" s="136" t="str">
        <x:v>Circuits → Sequential Logic → Counters</x:v>
      </x:c>
      <x:c r="D108" s="136" t="str">
        <x:v>Decade counter again</x:v>
      </x:c>
      <x:c r="E108" s="132" t="str">
        <x:v>count1to10</x:v>
      </x:c>
      <x:c r="F108" s="132" t="str">
        <x:v>B07</x:v>
      </x:c>
      <x:c r="G108" s="64" t="n">
        <x:f>INDEX('Revision Plan'!$B$12:$B$28,MATCH(F108,'Revision Plan'!$A$12:$A$28,0))</x:f>
        <x:v>46224</x:v>
      </x:c>
      <x:c r="H108" s="132" t="str">
        <x:v>Not Started</x:v>
      </x:c>
      <x:c r="I108" s="64" t="n">
        <x:f>INDEX('Revision Plan'!$G$12:$G$28,MATCH(F108,'Revision Plan'!$A$12:$A$28,0))</x:f>
        <x:v>46226</x:v>
      </x:c>
      <x:c r="J108" s="132" t="str">
        <x:v>Not Started</x:v>
      </x:c>
      <x:c r="K108" s="64" t="n">
        <x:f>INDEX('Revision Plan'!$I$12:$I$28,MATCH(F108,'Revision Plan'!$A$12:$A$28,0))</x:f>
        <x:v>46231</x:v>
      </x:c>
      <x:c r="L108" s="132" t="str">
        <x:v>Not Started</x:v>
      </x:c>
      <x:c r="M108" s="64" t="n">
        <x:f>INDEX('Revision Plan'!$K$12:$K$28,MATCH(F108,'Revision Plan'!$A$12:$A$28,0))</x:f>
        <x:v>46245</x:v>
      </x:c>
      <x:c r="N108" s="132" t="str">
        <x:v>Not Started</x:v>
      </x:c>
      <x:c r="O108" s="132"/>
      <x:c r="P108" s="136"/>
      <x:c r="Q108" s="136"/>
    </x:row>
    <x:row r="109" ht="22.5" customHeight="1">
      <x:c r="A109" s="132" t="n">
        <x:v>102</x:v>
      </x:c>
      <x:c r="B109" s="132" t="n">
        <x:v>100</x:v>
      </x:c>
      <x:c r="C109" s="136" t="str">
        <x:v>Circuits → Sequential Logic → Counters</x:v>
      </x:c>
      <x:c r="D109" s="136" t="str">
        <x:v>Slow decade counter</x:v>
      </x:c>
      <x:c r="E109" s="132" t="str">
        <x:v>countslow</x:v>
      </x:c>
      <x:c r="F109" s="132" t="str">
        <x:v>B07</x:v>
      </x:c>
      <x:c r="G109" s="64" t="n">
        <x:f>INDEX('Revision Plan'!$B$12:$B$28,MATCH(F109,'Revision Plan'!$A$12:$A$28,0))</x:f>
        <x:v>46224</x:v>
      </x:c>
      <x:c r="H109" s="132" t="str">
        <x:v>Not Started</x:v>
      </x:c>
      <x:c r="I109" s="64" t="n">
        <x:f>INDEX('Revision Plan'!$G$12:$G$28,MATCH(F109,'Revision Plan'!$A$12:$A$28,0))</x:f>
        <x:v>46226</x:v>
      </x:c>
      <x:c r="J109" s="132" t="str">
        <x:v>Not Started</x:v>
      </x:c>
      <x:c r="K109" s="64" t="n">
        <x:f>INDEX('Revision Plan'!$I$12:$I$28,MATCH(F109,'Revision Plan'!$A$12:$A$28,0))</x:f>
        <x:v>46231</x:v>
      </x:c>
      <x:c r="L109" s="132" t="str">
        <x:v>Not Started</x:v>
      </x:c>
      <x:c r="M109" s="64" t="n">
        <x:f>INDEX('Revision Plan'!$K$12:$K$28,MATCH(F109,'Revision Plan'!$A$12:$A$28,0))</x:f>
        <x:v>46245</x:v>
      </x:c>
      <x:c r="N109" s="132" t="str">
        <x:v>Not Started</x:v>
      </x:c>
      <x:c r="O109" s="132"/>
      <x:c r="P109" s="136"/>
      <x:c r="Q109" s="136"/>
    </x:row>
    <x:row r="110" ht="22.5" customHeight="1">
      <x:c r="A110" s="132" t="n">
        <x:v>103</x:v>
      </x:c>
      <x:c r="B110" s="132" t="n">
        <x:v>143</x:v>
      </x:c>
      <x:c r="C110" s="136" t="str">
        <x:v>Circuits → Sequential Logic → Counters</x:v>
      </x:c>
      <x:c r="D110" s="136" t="str">
        <x:v>Counter 1-12</x:v>
      </x:c>
      <x:c r="E110" s="132" t="str">
        <x:v>exams/ece241_2014_q7a</x:v>
      </x:c>
      <x:c r="F110" s="132" t="str">
        <x:v>B12</x:v>
      </x:c>
      <x:c r="G110" s="64" t="n">
        <x:f>INDEX('Revision Plan'!$B$12:$B$28,MATCH(F110,'Revision Plan'!$A$12:$A$28,0))</x:f>
        <x:v>46229</x:v>
      </x:c>
      <x:c r="H110" s="132" t="str">
        <x:v>Not Started</x:v>
      </x:c>
      <x:c r="I110" s="64" t="n">
        <x:f>INDEX('Revision Plan'!$G$12:$G$28,MATCH(F110,'Revision Plan'!$A$12:$A$28,0))</x:f>
        <x:v>46231</x:v>
      </x:c>
      <x:c r="J110" s="132" t="str">
        <x:v>Not Started</x:v>
      </x:c>
      <x:c r="K110" s="64" t="n">
        <x:f>INDEX('Revision Plan'!$I$12:$I$28,MATCH(F110,'Revision Plan'!$A$12:$A$28,0))</x:f>
        <x:v>46236</x:v>
      </x:c>
      <x:c r="L110" s="132" t="str">
        <x:v>Not Started</x:v>
      </x:c>
      <x:c r="M110" s="64" t="n">
        <x:f>INDEX('Revision Plan'!$K$12:$K$28,MATCH(F110,'Revision Plan'!$A$12:$A$28,0))</x:f>
        <x:v>46250</x:v>
      </x:c>
      <x:c r="N110" s="132" t="str">
        <x:v>Not Started</x:v>
      </x:c>
      <x:c r="O110" s="132"/>
      <x:c r="P110" s="136"/>
      <x:c r="Q110" s="136"/>
    </x:row>
    <x:row r="111" ht="22.5" customHeight="1">
      <x:c r="A111" s="132" t="n">
        <x:v>104</x:v>
      </x:c>
      <x:c r="B111" s="132" t="n">
        <x:v>144</x:v>
      </x:c>
      <x:c r="C111" s="136" t="str">
        <x:v>Circuits → Sequential Logic → Counters</x:v>
      </x:c>
      <x:c r="D111" s="136" t="str">
        <x:v>Counter 1000</x:v>
      </x:c>
      <x:c r="E111" s="132" t="str">
        <x:v>exams/ece241_2014_q7b</x:v>
      </x:c>
      <x:c r="F111" s="132" t="str">
        <x:v>B12</x:v>
      </x:c>
      <x:c r="G111" s="64" t="n">
        <x:f>INDEX('Revision Plan'!$B$12:$B$28,MATCH(F111,'Revision Plan'!$A$12:$A$28,0))</x:f>
        <x:v>46229</x:v>
      </x:c>
      <x:c r="H111" s="132" t="str">
        <x:v>Not Started</x:v>
      </x:c>
      <x:c r="I111" s="64" t="n">
        <x:f>INDEX('Revision Plan'!$G$12:$G$28,MATCH(F111,'Revision Plan'!$A$12:$A$28,0))</x:f>
        <x:v>46231</x:v>
      </x:c>
      <x:c r="J111" s="132" t="str">
        <x:v>Not Started</x:v>
      </x:c>
      <x:c r="K111" s="64" t="n">
        <x:f>INDEX('Revision Plan'!$I$12:$I$28,MATCH(F111,'Revision Plan'!$A$12:$A$28,0))</x:f>
        <x:v>46236</x:v>
      </x:c>
      <x:c r="L111" s="132" t="str">
        <x:v>Not Started</x:v>
      </x:c>
      <x:c r="M111" s="64" t="n">
        <x:f>INDEX('Revision Plan'!$K$12:$K$28,MATCH(F111,'Revision Plan'!$A$12:$A$28,0))</x:f>
        <x:v>46250</x:v>
      </x:c>
      <x:c r="N111" s="132" t="str">
        <x:v>Not Started</x:v>
      </x:c>
      <x:c r="O111" s="132"/>
      <x:c r="P111" s="136"/>
      <x:c r="Q111" s="136"/>
    </x:row>
    <x:row r="112" ht="22.5" customHeight="1">
      <x:c r="A112" s="132" t="n">
        <x:v>105</x:v>
      </x:c>
      <x:c r="B112" s="132" t="n">
        <x:v>145</x:v>
      </x:c>
      <x:c r="C112" s="136" t="str">
        <x:v>Circuits → Sequential Logic → Counters</x:v>
      </x:c>
      <x:c r="D112" s="136" t="str">
        <x:v>4-digit decimal counter</x:v>
      </x:c>
      <x:c r="E112" s="132" t="str">
        <x:v>countbcd</x:v>
      </x:c>
      <x:c r="F112" s="132" t="str">
        <x:v>B12</x:v>
      </x:c>
      <x:c r="G112" s="64" t="n">
        <x:f>INDEX('Revision Plan'!$B$12:$B$28,MATCH(F112,'Revision Plan'!$A$12:$A$28,0))</x:f>
        <x:v>46229</x:v>
      </x:c>
      <x:c r="H112" s="132" t="str">
        <x:v>Not Started</x:v>
      </x:c>
      <x:c r="I112" s="64" t="n">
        <x:f>INDEX('Revision Plan'!$G$12:$G$28,MATCH(F112,'Revision Plan'!$A$12:$A$28,0))</x:f>
        <x:v>46231</x:v>
      </x:c>
      <x:c r="J112" s="132" t="str">
        <x:v>Not Started</x:v>
      </x:c>
      <x:c r="K112" s="64" t="n">
        <x:f>INDEX('Revision Plan'!$I$12:$I$28,MATCH(F112,'Revision Plan'!$A$12:$A$28,0))</x:f>
        <x:v>46236</x:v>
      </x:c>
      <x:c r="L112" s="132" t="str">
        <x:v>Not Started</x:v>
      </x:c>
      <x:c r="M112" s="64" t="n">
        <x:f>INDEX('Revision Plan'!$K$12:$K$28,MATCH(F112,'Revision Plan'!$A$12:$A$28,0))</x:f>
        <x:v>46250</x:v>
      </x:c>
      <x:c r="N112" s="132" t="str">
        <x:v>Not Started</x:v>
      </x:c>
      <x:c r="O112" s="132"/>
      <x:c r="P112" s="136"/>
      <x:c r="Q112" s="136"/>
    </x:row>
    <x:row r="113" ht="22.5" customHeight="1">
      <x:c r="A113" s="132" t="n">
        <x:v>106</x:v>
      </x:c>
      <x:c r="B113" s="132" t="n">
        <x:v>146</x:v>
      </x:c>
      <x:c r="C113" s="136" t="str">
        <x:v>Circuits → Sequential Logic → Counters</x:v>
      </x:c>
      <x:c r="D113" s="136" t="str">
        <x:v>12-hour clock</x:v>
      </x:c>
      <x:c r="E113" s="132" t="str">
        <x:v>count_clock</x:v>
      </x:c>
      <x:c r="F113" s="132" t="str">
        <x:v>B12</x:v>
      </x:c>
      <x:c r="G113" s="64" t="n">
        <x:f>INDEX('Revision Plan'!$B$12:$B$28,MATCH(F113,'Revision Plan'!$A$12:$A$28,0))</x:f>
        <x:v>46229</x:v>
      </x:c>
      <x:c r="H113" s="132" t="str">
        <x:v>Not Started</x:v>
      </x:c>
      <x:c r="I113" s="64" t="n">
        <x:f>INDEX('Revision Plan'!$G$12:$G$28,MATCH(F113,'Revision Plan'!$A$12:$A$28,0))</x:f>
        <x:v>46231</x:v>
      </x:c>
      <x:c r="J113" s="132" t="str">
        <x:v>Not Started</x:v>
      </x:c>
      <x:c r="K113" s="64" t="n">
        <x:f>INDEX('Revision Plan'!$I$12:$I$28,MATCH(F113,'Revision Plan'!$A$12:$A$28,0))</x:f>
        <x:v>46236</x:v>
      </x:c>
      <x:c r="L113" s="132" t="str">
        <x:v>Not Started</x:v>
      </x:c>
      <x:c r="M113" s="64" t="n">
        <x:f>INDEX('Revision Plan'!$K$12:$K$28,MATCH(F113,'Revision Plan'!$A$12:$A$28,0))</x:f>
        <x:v>46250</x:v>
      </x:c>
      <x:c r="N113" s="132" t="str">
        <x:v>Not Started</x:v>
      </x:c>
      <x:c r="O113" s="132"/>
      <x:c r="P113" s="136"/>
      <x:c r="Q113" s="136"/>
    </x:row>
    <x:row r="114" ht="22.5" customHeight="1">
      <x:c r="A114" s="132" t="n">
        <x:v>107</x:v>
      </x:c>
      <x:c r="B114" s="132" t="n">
        <x:v>101</x:v>
      </x:c>
      <x:c r="C114" s="136" t="str">
        <x:v>Circuits → Sequential Logic → Shift Registers</x:v>
      </x:c>
      <x:c r="D114" s="136" t="str">
        <x:v>4-bit shift register</x:v>
      </x:c>
      <x:c r="E114" s="132" t="str">
        <x:v>shift4</x:v>
      </x:c>
      <x:c r="F114" s="132" t="str">
        <x:v>B08</x:v>
      </x:c>
      <x:c r="G114" s="64" t="n">
        <x:f>INDEX('Revision Plan'!$B$12:$B$28,MATCH(F114,'Revision Plan'!$A$12:$A$28,0))</x:f>
        <x:v>46225</x:v>
      </x:c>
      <x:c r="H114" s="132" t="str">
        <x:v>Not Started</x:v>
      </x:c>
      <x:c r="I114" s="64" t="n">
        <x:f>INDEX('Revision Plan'!$G$12:$G$28,MATCH(F114,'Revision Plan'!$A$12:$A$28,0))</x:f>
        <x:v>46227</x:v>
      </x:c>
      <x:c r="J114" s="132" t="str">
        <x:v>Not Started</x:v>
      </x:c>
      <x:c r="K114" s="64" t="n">
        <x:f>INDEX('Revision Plan'!$I$12:$I$28,MATCH(F114,'Revision Plan'!$A$12:$A$28,0))</x:f>
        <x:v>46232</x:v>
      </x:c>
      <x:c r="L114" s="132" t="str">
        <x:v>Not Started</x:v>
      </x:c>
      <x:c r="M114" s="64" t="n">
        <x:f>INDEX('Revision Plan'!$K$12:$K$28,MATCH(F114,'Revision Plan'!$A$12:$A$28,0))</x:f>
        <x:v>46246</x:v>
      </x:c>
      <x:c r="N114" s="132" t="str">
        <x:v>Not Started</x:v>
      </x:c>
      <x:c r="O114" s="132"/>
      <x:c r="P114" s="136"/>
      <x:c r="Q114" s="136"/>
    </x:row>
    <x:row r="115" ht="22.5" customHeight="1">
      <x:c r="A115" s="132" t="n">
        <x:v>108</x:v>
      </x:c>
      <x:c r="B115" s="132" t="n">
        <x:v>102</x:v>
      </x:c>
      <x:c r="C115" s="136" t="str">
        <x:v>Circuits → Sequential Logic → Shift Registers</x:v>
      </x:c>
      <x:c r="D115" s="136" t="str">
        <x:v>Left/right rotator</x:v>
      </x:c>
      <x:c r="E115" s="132" t="str">
        <x:v>rotate100</x:v>
      </x:c>
      <x:c r="F115" s="132" t="str">
        <x:v>B08</x:v>
      </x:c>
      <x:c r="G115" s="64" t="n">
        <x:f>INDEX('Revision Plan'!$B$12:$B$28,MATCH(F115,'Revision Plan'!$A$12:$A$28,0))</x:f>
        <x:v>46225</x:v>
      </x:c>
      <x:c r="H115" s="132" t="str">
        <x:v>Not Started</x:v>
      </x:c>
      <x:c r="I115" s="64" t="n">
        <x:f>INDEX('Revision Plan'!$G$12:$G$28,MATCH(F115,'Revision Plan'!$A$12:$A$28,0))</x:f>
        <x:v>46227</x:v>
      </x:c>
      <x:c r="J115" s="132" t="str">
        <x:v>Not Started</x:v>
      </x:c>
      <x:c r="K115" s="64" t="n">
        <x:f>INDEX('Revision Plan'!$I$12:$I$28,MATCH(F115,'Revision Plan'!$A$12:$A$28,0))</x:f>
        <x:v>46232</x:v>
      </x:c>
      <x:c r="L115" s="132" t="str">
        <x:v>Not Started</x:v>
      </x:c>
      <x:c r="M115" s="64" t="n">
        <x:f>INDEX('Revision Plan'!$K$12:$K$28,MATCH(F115,'Revision Plan'!$A$12:$A$28,0))</x:f>
        <x:v>46246</x:v>
      </x:c>
      <x:c r="N115" s="132" t="str">
        <x:v>Not Started</x:v>
      </x:c>
      <x:c r="O115" s="132"/>
      <x:c r="P115" s="136"/>
      <x:c r="Q115" s="136"/>
    </x:row>
    <x:row r="116" ht="22.5" customHeight="1">
      <x:c r="A116" s="132" t="n">
        <x:v>109</x:v>
      </x:c>
      <x:c r="B116" s="132" t="n">
        <x:v>103</x:v>
      </x:c>
      <x:c r="C116" s="136" t="str">
        <x:v>Circuits → Sequential Logic → Shift Registers</x:v>
      </x:c>
      <x:c r="D116" s="136" t="str">
        <x:v>Left/right arithmetic shift by 1 or 8</x:v>
      </x:c>
      <x:c r="E116" s="132" t="str">
        <x:v>shift18</x:v>
      </x:c>
      <x:c r="F116" s="132" t="str">
        <x:v>B08</x:v>
      </x:c>
      <x:c r="G116" s="64" t="n">
        <x:f>INDEX('Revision Plan'!$B$12:$B$28,MATCH(F116,'Revision Plan'!$A$12:$A$28,0))</x:f>
        <x:v>46225</x:v>
      </x:c>
      <x:c r="H116" s="132" t="str">
        <x:v>Not Started</x:v>
      </x:c>
      <x:c r="I116" s="64" t="n">
        <x:f>INDEX('Revision Plan'!$G$12:$G$28,MATCH(F116,'Revision Plan'!$A$12:$A$28,0))</x:f>
        <x:v>46227</x:v>
      </x:c>
      <x:c r="J116" s="132" t="str">
        <x:v>Not Started</x:v>
      </x:c>
      <x:c r="K116" s="64" t="n">
        <x:f>INDEX('Revision Plan'!$I$12:$I$28,MATCH(F116,'Revision Plan'!$A$12:$A$28,0))</x:f>
        <x:v>46232</x:v>
      </x:c>
      <x:c r="L116" s="132" t="str">
        <x:v>Not Started</x:v>
      </x:c>
      <x:c r="M116" s="64" t="n">
        <x:f>INDEX('Revision Plan'!$K$12:$K$28,MATCH(F116,'Revision Plan'!$A$12:$A$28,0))</x:f>
        <x:v>46246</x:v>
      </x:c>
      <x:c r="N116" s="132" t="str">
        <x:v>Not Started</x:v>
      </x:c>
      <x:c r="O116" s="132"/>
      <x:c r="P116" s="136"/>
      <x:c r="Q116" s="136"/>
    </x:row>
    <x:row r="117" ht="22.5" customHeight="1">
      <x:c r="A117" s="132" t="n">
        <x:v>110</x:v>
      </x:c>
      <x:c r="B117" s="132" t="n">
        <x:v>104</x:v>
      </x:c>
      <x:c r="C117" s="136" t="str">
        <x:v>Circuits → Sequential Logic → Shift Registers</x:v>
      </x:c>
      <x:c r="D117" s="136" t="str">
        <x:v>5-bit LFSR</x:v>
      </x:c>
      <x:c r="E117" s="132" t="str">
        <x:v>lfsr5</x:v>
      </x:c>
      <x:c r="F117" s="132" t="str">
        <x:v>B08</x:v>
      </x:c>
      <x:c r="G117" s="64" t="n">
        <x:f>INDEX('Revision Plan'!$B$12:$B$28,MATCH(F117,'Revision Plan'!$A$12:$A$28,0))</x:f>
        <x:v>46225</x:v>
      </x:c>
      <x:c r="H117" s="132" t="str">
        <x:v>Not Started</x:v>
      </x:c>
      <x:c r="I117" s="64" t="n">
        <x:f>INDEX('Revision Plan'!$G$12:$G$28,MATCH(F117,'Revision Plan'!$A$12:$A$28,0))</x:f>
        <x:v>46227</x:v>
      </x:c>
      <x:c r="J117" s="132" t="str">
        <x:v>Not Started</x:v>
      </x:c>
      <x:c r="K117" s="64" t="n">
        <x:f>INDEX('Revision Plan'!$I$12:$I$28,MATCH(F117,'Revision Plan'!$A$12:$A$28,0))</x:f>
        <x:v>46232</x:v>
      </x:c>
      <x:c r="L117" s="132" t="str">
        <x:v>Not Started</x:v>
      </x:c>
      <x:c r="M117" s="64" t="n">
        <x:f>INDEX('Revision Plan'!$K$12:$K$28,MATCH(F117,'Revision Plan'!$A$12:$A$28,0))</x:f>
        <x:v>46246</x:v>
      </x:c>
      <x:c r="N117" s="132" t="str">
        <x:v>Not Started</x:v>
      </x:c>
      <x:c r="O117" s="132"/>
      <x:c r="P117" s="136"/>
      <x:c r="Q117" s="136"/>
    </x:row>
    <x:row r="118" ht="22.5" customHeight="1">
      <x:c r="A118" s="132" t="n">
        <x:v>111</x:v>
      </x:c>
      <x:c r="B118" s="132" t="n">
        <x:v>105</x:v>
      </x:c>
      <x:c r="C118" s="136" t="str">
        <x:v>Circuits → Sequential Logic → Shift Registers</x:v>
      </x:c>
      <x:c r="D118" s="136" t="str">
        <x:v>3-bit LFSR</x:v>
      </x:c>
      <x:c r="E118" s="132" t="str">
        <x:v>mt2015_lfsr</x:v>
      </x:c>
      <x:c r="F118" s="132" t="str">
        <x:v>B08</x:v>
      </x:c>
      <x:c r="G118" s="64" t="n">
        <x:f>INDEX('Revision Plan'!$B$12:$B$28,MATCH(F118,'Revision Plan'!$A$12:$A$28,0))</x:f>
        <x:v>46225</x:v>
      </x:c>
      <x:c r="H118" s="132" t="str">
        <x:v>Not Started</x:v>
      </x:c>
      <x:c r="I118" s="64" t="n">
        <x:f>INDEX('Revision Plan'!$G$12:$G$28,MATCH(F118,'Revision Plan'!$A$12:$A$28,0))</x:f>
        <x:v>46227</x:v>
      </x:c>
      <x:c r="J118" s="132" t="str">
        <x:v>Not Started</x:v>
      </x:c>
      <x:c r="K118" s="64" t="n">
        <x:f>INDEX('Revision Plan'!$I$12:$I$28,MATCH(F118,'Revision Plan'!$A$12:$A$28,0))</x:f>
        <x:v>46232</x:v>
      </x:c>
      <x:c r="L118" s="132" t="str">
        <x:v>Not Started</x:v>
      </x:c>
      <x:c r="M118" s="64" t="n">
        <x:f>INDEX('Revision Plan'!$K$12:$K$28,MATCH(F118,'Revision Plan'!$A$12:$A$28,0))</x:f>
        <x:v>46246</x:v>
      </x:c>
      <x:c r="N118" s="132" t="str">
        <x:v>Not Started</x:v>
      </x:c>
      <x:c r="O118" s="132"/>
      <x:c r="P118" s="136"/>
      <x:c r="Q118" s="136"/>
    </x:row>
    <x:row r="119" ht="22.5" customHeight="1">
      <x:c r="A119" s="132" t="n">
        <x:v>112</x:v>
      </x:c>
      <x:c r="B119" s="132" t="n">
        <x:v>106</x:v>
      </x:c>
      <x:c r="C119" s="136" t="str">
        <x:v>Circuits → Sequential Logic → Shift Registers</x:v>
      </x:c>
      <x:c r="D119" s="136" t="str">
        <x:v>32-bit LFSR</x:v>
      </x:c>
      <x:c r="E119" s="132" t="str">
        <x:v>lfsr32</x:v>
      </x:c>
      <x:c r="F119" s="132" t="str">
        <x:v>B08</x:v>
      </x:c>
      <x:c r="G119" s="64" t="n">
        <x:f>INDEX('Revision Plan'!$B$12:$B$28,MATCH(F119,'Revision Plan'!$A$12:$A$28,0))</x:f>
        <x:v>46225</x:v>
      </x:c>
      <x:c r="H119" s="132" t="str">
        <x:v>Not Started</x:v>
      </x:c>
      <x:c r="I119" s="64" t="n">
        <x:f>INDEX('Revision Plan'!$G$12:$G$28,MATCH(F119,'Revision Plan'!$A$12:$A$28,0))</x:f>
        <x:v>46227</x:v>
      </x:c>
      <x:c r="J119" s="132" t="str">
        <x:v>Not Started</x:v>
      </x:c>
      <x:c r="K119" s="64" t="n">
        <x:f>INDEX('Revision Plan'!$I$12:$I$28,MATCH(F119,'Revision Plan'!$A$12:$A$28,0))</x:f>
        <x:v>46232</x:v>
      </x:c>
      <x:c r="L119" s="132" t="str">
        <x:v>Not Started</x:v>
      </x:c>
      <x:c r="M119" s="64" t="n">
        <x:f>INDEX('Revision Plan'!$K$12:$K$28,MATCH(F119,'Revision Plan'!$A$12:$A$28,0))</x:f>
        <x:v>46246</x:v>
      </x:c>
      <x:c r="N119" s="132" t="str">
        <x:v>Not Started</x:v>
      </x:c>
      <x:c r="O119" s="132"/>
      <x:c r="P119" s="136"/>
      <x:c r="Q119" s="136"/>
    </x:row>
    <x:row r="120" ht="22.5" customHeight="1">
      <x:c r="A120" s="132" t="n">
        <x:v>113</x:v>
      </x:c>
      <x:c r="B120" s="132" t="n">
        <x:v>107</x:v>
      </x:c>
      <x:c r="C120" s="136" t="str">
        <x:v>Circuits → Sequential Logic → Shift Registers</x:v>
      </x:c>
      <x:c r="D120" s="136" t="str">
        <x:v>Shift register</x:v>
      </x:c>
      <x:c r="E120" s="132" t="str">
        <x:v>exams/m2014_q4k</x:v>
      </x:c>
      <x:c r="F120" s="132" t="str">
        <x:v>B08</x:v>
      </x:c>
      <x:c r="G120" s="64" t="n">
        <x:f>INDEX('Revision Plan'!$B$12:$B$28,MATCH(F120,'Revision Plan'!$A$12:$A$28,0))</x:f>
        <x:v>46225</x:v>
      </x:c>
      <x:c r="H120" s="132" t="str">
        <x:v>Not Started</x:v>
      </x:c>
      <x:c r="I120" s="64" t="n">
        <x:f>INDEX('Revision Plan'!$G$12:$G$28,MATCH(F120,'Revision Plan'!$A$12:$A$28,0))</x:f>
        <x:v>46227</x:v>
      </x:c>
      <x:c r="J120" s="132" t="str">
        <x:v>Not Started</x:v>
      </x:c>
      <x:c r="K120" s="64" t="n">
        <x:f>INDEX('Revision Plan'!$I$12:$I$28,MATCH(F120,'Revision Plan'!$A$12:$A$28,0))</x:f>
        <x:v>46232</x:v>
      </x:c>
      <x:c r="L120" s="132" t="str">
        <x:v>Not Started</x:v>
      </x:c>
      <x:c r="M120" s="64" t="n">
        <x:f>INDEX('Revision Plan'!$K$12:$K$28,MATCH(F120,'Revision Plan'!$A$12:$A$28,0))</x:f>
        <x:v>46246</x:v>
      </x:c>
      <x:c r="N120" s="132" t="str">
        <x:v>Not Started</x:v>
      </x:c>
      <x:c r="O120" s="132"/>
      <x:c r="P120" s="136"/>
      <x:c r="Q120" s="136"/>
    </x:row>
    <x:row r="121" ht="22.5" customHeight="1">
      <x:c r="A121" s="132" t="n">
        <x:v>114</x:v>
      </x:c>
      <x:c r="B121" s="132" t="n">
        <x:v>108</x:v>
      </x:c>
      <x:c r="C121" s="136" t="str">
        <x:v>Circuits → Sequential Logic → Shift Registers</x:v>
      </x:c>
      <x:c r="D121" s="136" t="str">
        <x:v>Shift register</x:v>
      </x:c>
      <x:c r="E121" s="132" t="str">
        <x:v>exams/2014_q4b</x:v>
      </x:c>
      <x:c r="F121" s="132" t="str">
        <x:v>B08</x:v>
      </x:c>
      <x:c r="G121" s="64" t="n">
        <x:f>INDEX('Revision Plan'!$B$12:$B$28,MATCH(F121,'Revision Plan'!$A$12:$A$28,0))</x:f>
        <x:v>46225</x:v>
      </x:c>
      <x:c r="H121" s="132" t="str">
        <x:v>Not Started</x:v>
      </x:c>
      <x:c r="I121" s="64" t="n">
        <x:f>INDEX('Revision Plan'!$G$12:$G$28,MATCH(F121,'Revision Plan'!$A$12:$A$28,0))</x:f>
        <x:v>46227</x:v>
      </x:c>
      <x:c r="J121" s="132" t="str">
        <x:v>Not Started</x:v>
      </x:c>
      <x:c r="K121" s="64" t="n">
        <x:f>INDEX('Revision Plan'!$I$12:$I$28,MATCH(F121,'Revision Plan'!$A$12:$A$28,0))</x:f>
        <x:v>46232</x:v>
      </x:c>
      <x:c r="L121" s="132" t="str">
        <x:v>Not Started</x:v>
      </x:c>
      <x:c r="M121" s="64" t="n">
        <x:f>INDEX('Revision Plan'!$K$12:$K$28,MATCH(F121,'Revision Plan'!$A$12:$A$28,0))</x:f>
        <x:v>46246</x:v>
      </x:c>
      <x:c r="N121" s="132" t="str">
        <x:v>Not Started</x:v>
      </x:c>
      <x:c r="O121" s="132"/>
      <x:c r="P121" s="136"/>
      <x:c r="Q121" s="136"/>
    </x:row>
    <x:row r="122" ht="22.5" customHeight="1">
      <x:c r="A122" s="132" t="n">
        <x:v>115</x:v>
      </x:c>
      <x:c r="B122" s="132" t="n">
        <x:v>109</x:v>
      </x:c>
      <x:c r="C122" s="136" t="str">
        <x:v>Circuits → Sequential Logic → Shift Registers</x:v>
      </x:c>
      <x:c r="D122" s="136" t="str">
        <x:v>3-input LUT</x:v>
      </x:c>
      <x:c r="E122" s="132" t="str">
        <x:v>exams/ece241_2013_q12</x:v>
      </x:c>
      <x:c r="F122" s="132" t="str">
        <x:v>B08</x:v>
      </x:c>
      <x:c r="G122" s="64" t="n">
        <x:f>INDEX('Revision Plan'!$B$12:$B$28,MATCH(F122,'Revision Plan'!$A$12:$A$28,0))</x:f>
        <x:v>46225</x:v>
      </x:c>
      <x:c r="H122" s="132" t="str">
        <x:v>Not Started</x:v>
      </x:c>
      <x:c r="I122" s="64" t="n">
        <x:f>INDEX('Revision Plan'!$G$12:$G$28,MATCH(F122,'Revision Plan'!$A$12:$A$28,0))</x:f>
        <x:v>46227</x:v>
      </x:c>
      <x:c r="J122" s="132" t="str">
        <x:v>Not Started</x:v>
      </x:c>
      <x:c r="K122" s="64" t="n">
        <x:f>INDEX('Revision Plan'!$I$12:$I$28,MATCH(F122,'Revision Plan'!$A$12:$A$28,0))</x:f>
        <x:v>46232</x:v>
      </x:c>
      <x:c r="L122" s="132" t="str">
        <x:v>Not Started</x:v>
      </x:c>
      <x:c r="M122" s="64" t="n">
        <x:f>INDEX('Revision Plan'!$K$12:$K$28,MATCH(F122,'Revision Plan'!$A$12:$A$28,0))</x:f>
        <x:v>46246</x:v>
      </x:c>
      <x:c r="N122" s="132" t="str">
        <x:v>Not Started</x:v>
      </x:c>
      <x:c r="O122" s="132"/>
      <x:c r="P122" s="136"/>
      <x:c r="Q122" s="136"/>
    </x:row>
    <x:row r="123" ht="22.5" customHeight="1">
      <x:c r="A123" s="132" t="n">
        <x:v>116</x:v>
      </x:c>
      <x:c r="B123" s="132" t="n">
        <x:v>175</x:v>
      </x:c>
      <x:c r="C123" s="136" t="str">
        <x:v>Circuits → Sequential Logic → More Circuits</x:v>
      </x:c>
      <x:c r="D123" s="136" t="str">
        <x:v>Rule 90</x:v>
      </x:c>
      <x:c r="E123" s="132" t="str">
        <x:v>rule90</x:v>
      </x:c>
      <x:c r="F123" s="132" t="str">
        <x:v>B17</x:v>
      </x:c>
      <x:c r="G123" s="64" t="n">
        <x:f>INDEX('Revision Plan'!$B$12:$B$28,MATCH(F123,'Revision Plan'!$A$12:$A$28,0))</x:f>
        <x:v>46234</x:v>
      </x:c>
      <x:c r="H123" s="132" t="str">
        <x:v>Not Started</x:v>
      </x:c>
      <x:c r="I123" s="64" t="n">
        <x:f>INDEX('Revision Plan'!$G$12:$G$28,MATCH(F123,'Revision Plan'!$A$12:$A$28,0))</x:f>
        <x:v>46236</x:v>
      </x:c>
      <x:c r="J123" s="132" t="str">
        <x:v>Not Started</x:v>
      </x:c>
      <x:c r="K123" s="64" t="n">
        <x:f>INDEX('Revision Plan'!$I$12:$I$28,MATCH(F123,'Revision Plan'!$A$12:$A$28,0))</x:f>
        <x:v>46241</x:v>
      </x:c>
      <x:c r="L123" s="132" t="str">
        <x:v>Not Started</x:v>
      </x:c>
      <x:c r="M123" s="64" t="n">
        <x:f>INDEX('Revision Plan'!$K$12:$K$28,MATCH(F123,'Revision Plan'!$A$12:$A$28,0))</x:f>
        <x:v>46255</x:v>
      </x:c>
      <x:c r="N123" s="132" t="str">
        <x:v>Not Started</x:v>
      </x:c>
      <x:c r="O123" s="132"/>
      <x:c r="P123" s="136"/>
      <x:c r="Q123" s="136"/>
    </x:row>
    <x:row r="124" ht="22.5" customHeight="1">
      <x:c r="A124" s="132" t="n">
        <x:v>117</x:v>
      </x:c>
      <x:c r="B124" s="132" t="n">
        <x:v>176</x:v>
      </x:c>
      <x:c r="C124" s="136" t="str">
        <x:v>Circuits → Sequential Logic → More Circuits</x:v>
      </x:c>
      <x:c r="D124" s="136" t="str">
        <x:v>Rule 110</x:v>
      </x:c>
      <x:c r="E124" s="132" t="str">
        <x:v>rule110</x:v>
      </x:c>
      <x:c r="F124" s="132" t="str">
        <x:v>B17</x:v>
      </x:c>
      <x:c r="G124" s="64" t="n">
        <x:f>INDEX('Revision Plan'!$B$12:$B$28,MATCH(F124,'Revision Plan'!$A$12:$A$28,0))</x:f>
        <x:v>46234</x:v>
      </x:c>
      <x:c r="H124" s="132" t="str">
        <x:v>Not Started</x:v>
      </x:c>
      <x:c r="I124" s="64" t="n">
        <x:f>INDEX('Revision Plan'!$G$12:$G$28,MATCH(F124,'Revision Plan'!$A$12:$A$28,0))</x:f>
        <x:v>46236</x:v>
      </x:c>
      <x:c r="J124" s="132" t="str">
        <x:v>Not Started</x:v>
      </x:c>
      <x:c r="K124" s="64" t="n">
        <x:f>INDEX('Revision Plan'!$I$12:$I$28,MATCH(F124,'Revision Plan'!$A$12:$A$28,0))</x:f>
        <x:v>46241</x:v>
      </x:c>
      <x:c r="L124" s="132" t="str">
        <x:v>Not Started</x:v>
      </x:c>
      <x:c r="M124" s="64" t="n">
        <x:f>INDEX('Revision Plan'!$K$12:$K$28,MATCH(F124,'Revision Plan'!$A$12:$A$28,0))</x:f>
        <x:v>46255</x:v>
      </x:c>
      <x:c r="N124" s="132" t="str">
        <x:v>Not Started</x:v>
      </x:c>
      <x:c r="O124" s="132"/>
      <x:c r="P124" s="136"/>
      <x:c r="Q124" s="136"/>
    </x:row>
    <x:row r="125" ht="22.5" customHeight="1">
      <x:c r="A125" s="132" t="n">
        <x:v>118</x:v>
      </x:c>
      <x:c r="B125" s="132" t="n">
        <x:v>179</x:v>
      </x:c>
      <x:c r="C125" s="136" t="str">
        <x:v>Circuits → Sequential Logic → More Circuits</x:v>
      </x:c>
      <x:c r="D125" s="136" t="str">
        <x:v>Conway's Game of Life 16x16</x:v>
      </x:c>
      <x:c r="E125" s="132" t="str">
        <x:v>conwaylife</x:v>
      </x:c>
      <x:c r="F125" s="132" t="str">
        <x:v>B17</x:v>
      </x:c>
      <x:c r="G125" s="64" t="n">
        <x:f>INDEX('Revision Plan'!$B$12:$B$28,MATCH(F125,'Revision Plan'!$A$12:$A$28,0))</x:f>
        <x:v>46234</x:v>
      </x:c>
      <x:c r="H125" s="132" t="str">
        <x:v>Not Started</x:v>
      </x:c>
      <x:c r="I125" s="64" t="n">
        <x:f>INDEX('Revision Plan'!$G$12:$G$28,MATCH(F125,'Revision Plan'!$A$12:$A$28,0))</x:f>
        <x:v>46236</x:v>
      </x:c>
      <x:c r="J125" s="132" t="str">
        <x:v>Not Started</x:v>
      </x:c>
      <x:c r="K125" s="64" t="n">
        <x:f>INDEX('Revision Plan'!$I$12:$I$28,MATCH(F125,'Revision Plan'!$A$12:$A$28,0))</x:f>
        <x:v>46241</x:v>
      </x:c>
      <x:c r="L125" s="132" t="str">
        <x:v>Not Started</x:v>
      </x:c>
      <x:c r="M125" s="64" t="n">
        <x:f>INDEX('Revision Plan'!$K$12:$K$28,MATCH(F125,'Revision Plan'!$A$12:$A$28,0))</x:f>
        <x:v>46255</x:v>
      </x:c>
      <x:c r="N125" s="132" t="str">
        <x:v>Not Started</x:v>
      </x:c>
      <x:c r="O125" s="132"/>
      <x:c r="P125" s="136"/>
      <x:c r="Q125" s="136"/>
    </x:row>
    <x:row r="126" ht="22.5" customHeight="1">
      <x:c r="A126" s="132" t="n">
        <x:v>119</x:v>
      </x:c>
      <x:c r="B126" s="132" t="n">
        <x:v>110</x:v>
      </x:c>
      <x:c r="C126" s="136" t="str">
        <x:v>Circuits → Sequential Logic → Finite State Machines</x:v>
      </x:c>
      <x:c r="D126" s="136" t="str">
        <x:v>Simple FSM 1 (asynchronous reset)</x:v>
      </x:c>
      <x:c r="E126" s="132" t="str">
        <x:v>fsm1</x:v>
      </x:c>
      <x:c r="F126" s="132" t="str">
        <x:v>B09</x:v>
      </x:c>
      <x:c r="G126" s="64" t="n">
        <x:f>INDEX('Revision Plan'!$B$12:$B$28,MATCH(F126,'Revision Plan'!$A$12:$A$28,0))</x:f>
        <x:v>46226</x:v>
      </x:c>
      <x:c r="H126" s="132" t="str">
        <x:v>Not Started</x:v>
      </x:c>
      <x:c r="I126" s="64" t="n">
        <x:f>INDEX('Revision Plan'!$G$12:$G$28,MATCH(F126,'Revision Plan'!$A$12:$A$28,0))</x:f>
        <x:v>46228</x:v>
      </x:c>
      <x:c r="J126" s="132" t="str">
        <x:v>Not Started</x:v>
      </x:c>
      <x:c r="K126" s="64" t="n">
        <x:f>INDEX('Revision Plan'!$I$12:$I$28,MATCH(F126,'Revision Plan'!$A$12:$A$28,0))</x:f>
        <x:v>46233</x:v>
      </x:c>
      <x:c r="L126" s="132" t="str">
        <x:v>Not Started</x:v>
      </x:c>
      <x:c r="M126" s="64" t="n">
        <x:f>INDEX('Revision Plan'!$K$12:$K$28,MATCH(F126,'Revision Plan'!$A$12:$A$28,0))</x:f>
        <x:v>46247</x:v>
      </x:c>
      <x:c r="N126" s="132" t="str">
        <x:v>Not Started</x:v>
      </x:c>
      <x:c r="O126" s="132"/>
      <x:c r="P126" s="136"/>
      <x:c r="Q126" s="136"/>
    </x:row>
    <x:row r="127" ht="22.5" customHeight="1">
      <x:c r="A127" s="132" t="n">
        <x:v>120</x:v>
      </x:c>
      <x:c r="B127" s="132" t="n">
        <x:v>111</x:v>
      </x:c>
      <x:c r="C127" s="136" t="str">
        <x:v>Circuits → Sequential Logic → Finite State Machines</x:v>
      </x:c>
      <x:c r="D127" s="136" t="str">
        <x:v>Simple FSM 1 (synchronous reset)</x:v>
      </x:c>
      <x:c r="E127" s="132" t="str">
        <x:v>fsm1s</x:v>
      </x:c>
      <x:c r="F127" s="132" t="str">
        <x:v>B09</x:v>
      </x:c>
      <x:c r="G127" s="64" t="n">
        <x:f>INDEX('Revision Plan'!$B$12:$B$28,MATCH(F127,'Revision Plan'!$A$12:$A$28,0))</x:f>
        <x:v>46226</x:v>
      </x:c>
      <x:c r="H127" s="132" t="str">
        <x:v>Not Started</x:v>
      </x:c>
      <x:c r="I127" s="64" t="n">
        <x:f>INDEX('Revision Plan'!$G$12:$G$28,MATCH(F127,'Revision Plan'!$A$12:$A$28,0))</x:f>
        <x:v>46228</x:v>
      </x:c>
      <x:c r="J127" s="132" t="str">
        <x:v>Not Started</x:v>
      </x:c>
      <x:c r="K127" s="64" t="n">
        <x:f>INDEX('Revision Plan'!$I$12:$I$28,MATCH(F127,'Revision Plan'!$A$12:$A$28,0))</x:f>
        <x:v>46233</x:v>
      </x:c>
      <x:c r="L127" s="132" t="str">
        <x:v>Not Started</x:v>
      </x:c>
      <x:c r="M127" s="64" t="n">
        <x:f>INDEX('Revision Plan'!$K$12:$K$28,MATCH(F127,'Revision Plan'!$A$12:$A$28,0))</x:f>
        <x:v>46247</x:v>
      </x:c>
      <x:c r="N127" s="132" t="str">
        <x:v>Not Started</x:v>
      </x:c>
      <x:c r="O127" s="132"/>
      <x:c r="P127" s="136"/>
      <x:c r="Q127" s="136"/>
    </x:row>
    <x:row r="128" ht="22.5" customHeight="1">
      <x:c r="A128" s="132" t="n">
        <x:v>121</x:v>
      </x:c>
      <x:c r="B128" s="132" t="n">
        <x:v>112</x:v>
      </x:c>
      <x:c r="C128" s="136" t="str">
        <x:v>Circuits → Sequential Logic → Finite State Machines</x:v>
      </x:c>
      <x:c r="D128" s="136" t="str">
        <x:v>Simple FSM 2 (asynchronous reset)</x:v>
      </x:c>
      <x:c r="E128" s="132" t="str">
        <x:v>fsm2</x:v>
      </x:c>
      <x:c r="F128" s="132" t="str">
        <x:v>B09</x:v>
      </x:c>
      <x:c r="G128" s="64" t="n">
        <x:f>INDEX('Revision Plan'!$B$12:$B$28,MATCH(F128,'Revision Plan'!$A$12:$A$28,0))</x:f>
        <x:v>46226</x:v>
      </x:c>
      <x:c r="H128" s="132" t="str">
        <x:v>Not Started</x:v>
      </x:c>
      <x:c r="I128" s="64" t="n">
        <x:f>INDEX('Revision Plan'!$G$12:$G$28,MATCH(F128,'Revision Plan'!$A$12:$A$28,0))</x:f>
        <x:v>46228</x:v>
      </x:c>
      <x:c r="J128" s="132" t="str">
        <x:v>Not Started</x:v>
      </x:c>
      <x:c r="K128" s="64" t="n">
        <x:f>INDEX('Revision Plan'!$I$12:$I$28,MATCH(F128,'Revision Plan'!$A$12:$A$28,0))</x:f>
        <x:v>46233</x:v>
      </x:c>
      <x:c r="L128" s="132" t="str">
        <x:v>Not Started</x:v>
      </x:c>
      <x:c r="M128" s="64" t="n">
        <x:f>INDEX('Revision Plan'!$K$12:$K$28,MATCH(F128,'Revision Plan'!$A$12:$A$28,0))</x:f>
        <x:v>46247</x:v>
      </x:c>
      <x:c r="N128" s="132" t="str">
        <x:v>Not Started</x:v>
      </x:c>
      <x:c r="O128" s="132"/>
      <x:c r="P128" s="136"/>
      <x:c r="Q128" s="136"/>
    </x:row>
    <x:row r="129" ht="22.5" customHeight="1">
      <x:c r="A129" s="132" t="n">
        <x:v>122</x:v>
      </x:c>
      <x:c r="B129" s="132" t="n">
        <x:v>113</x:v>
      </x:c>
      <x:c r="C129" s="136" t="str">
        <x:v>Circuits → Sequential Logic → Finite State Machines</x:v>
      </x:c>
      <x:c r="D129" s="136" t="str">
        <x:v>Simple FSM 2 (synchronous reset)</x:v>
      </x:c>
      <x:c r="E129" s="132" t="str">
        <x:v>fsm2s</x:v>
      </x:c>
      <x:c r="F129" s="132" t="str">
        <x:v>B09</x:v>
      </x:c>
      <x:c r="G129" s="64" t="n">
        <x:f>INDEX('Revision Plan'!$B$12:$B$28,MATCH(F129,'Revision Plan'!$A$12:$A$28,0))</x:f>
        <x:v>46226</x:v>
      </x:c>
      <x:c r="H129" s="132" t="str">
        <x:v>Not Started</x:v>
      </x:c>
      <x:c r="I129" s="64" t="n">
        <x:f>INDEX('Revision Plan'!$G$12:$G$28,MATCH(F129,'Revision Plan'!$A$12:$A$28,0))</x:f>
        <x:v>46228</x:v>
      </x:c>
      <x:c r="J129" s="132" t="str">
        <x:v>Not Started</x:v>
      </x:c>
      <x:c r="K129" s="64" t="n">
        <x:f>INDEX('Revision Plan'!$I$12:$I$28,MATCH(F129,'Revision Plan'!$A$12:$A$28,0))</x:f>
        <x:v>46233</x:v>
      </x:c>
      <x:c r="L129" s="132" t="str">
        <x:v>Not Started</x:v>
      </x:c>
      <x:c r="M129" s="64" t="n">
        <x:f>INDEX('Revision Plan'!$K$12:$K$28,MATCH(F129,'Revision Plan'!$A$12:$A$28,0))</x:f>
        <x:v>46247</x:v>
      </x:c>
      <x:c r="N129" s="132" t="str">
        <x:v>Not Started</x:v>
      </x:c>
      <x:c r="O129" s="132"/>
      <x:c r="P129" s="136"/>
      <x:c r="Q129" s="136"/>
    </x:row>
    <x:row r="130" ht="22.5" customHeight="1">
      <x:c r="A130" s="132" t="n">
        <x:v>123</x:v>
      </x:c>
      <x:c r="B130" s="132" t="n">
        <x:v>114</x:v>
      </x:c>
      <x:c r="C130" s="136" t="str">
        <x:v>Circuits → Sequential Logic → Finite State Machines</x:v>
      </x:c>
      <x:c r="D130" s="136" t="str">
        <x:v>Simple state transitions 3</x:v>
      </x:c>
      <x:c r="E130" s="132" t="str">
        <x:v>fsm3comb</x:v>
      </x:c>
      <x:c r="F130" s="132" t="str">
        <x:v>B09</x:v>
      </x:c>
      <x:c r="G130" s="64" t="n">
        <x:f>INDEX('Revision Plan'!$B$12:$B$28,MATCH(F130,'Revision Plan'!$A$12:$A$28,0))</x:f>
        <x:v>46226</x:v>
      </x:c>
      <x:c r="H130" s="132" t="str">
        <x:v>Not Started</x:v>
      </x:c>
      <x:c r="I130" s="64" t="n">
        <x:f>INDEX('Revision Plan'!$G$12:$G$28,MATCH(F130,'Revision Plan'!$A$12:$A$28,0))</x:f>
        <x:v>46228</x:v>
      </x:c>
      <x:c r="J130" s="132" t="str">
        <x:v>Not Started</x:v>
      </x:c>
      <x:c r="K130" s="64" t="n">
        <x:f>INDEX('Revision Plan'!$I$12:$I$28,MATCH(F130,'Revision Plan'!$A$12:$A$28,0))</x:f>
        <x:v>46233</x:v>
      </x:c>
      <x:c r="L130" s="132" t="str">
        <x:v>Not Started</x:v>
      </x:c>
      <x:c r="M130" s="64" t="n">
        <x:f>INDEX('Revision Plan'!$K$12:$K$28,MATCH(F130,'Revision Plan'!$A$12:$A$28,0))</x:f>
        <x:v>46247</x:v>
      </x:c>
      <x:c r="N130" s="132" t="str">
        <x:v>Not Started</x:v>
      </x:c>
      <x:c r="O130" s="132"/>
      <x:c r="P130" s="136"/>
      <x:c r="Q130" s="136"/>
    </x:row>
    <x:row r="131" ht="22.5" customHeight="1">
      <x:c r="A131" s="132" t="n">
        <x:v>124</x:v>
      </x:c>
      <x:c r="B131" s="132" t="n">
        <x:v>115</x:v>
      </x:c>
      <x:c r="C131" s="136" t="str">
        <x:v>Circuits → Sequential Logic → Finite State Machines</x:v>
      </x:c>
      <x:c r="D131" s="136" t="str">
        <x:v>Simple one-hot state transitions 3</x:v>
      </x:c>
      <x:c r="E131" s="132" t="str">
        <x:v>fsm3onehot</x:v>
      </x:c>
      <x:c r="F131" s="132" t="str">
        <x:v>B09</x:v>
      </x:c>
      <x:c r="G131" s="64" t="n">
        <x:f>INDEX('Revision Plan'!$B$12:$B$28,MATCH(F131,'Revision Plan'!$A$12:$A$28,0))</x:f>
        <x:v>46226</x:v>
      </x:c>
      <x:c r="H131" s="132" t="str">
        <x:v>Not Started</x:v>
      </x:c>
      <x:c r="I131" s="64" t="n">
        <x:f>INDEX('Revision Plan'!$G$12:$G$28,MATCH(F131,'Revision Plan'!$A$12:$A$28,0))</x:f>
        <x:v>46228</x:v>
      </x:c>
      <x:c r="J131" s="132" t="str">
        <x:v>Not Started</x:v>
      </x:c>
      <x:c r="K131" s="64" t="n">
        <x:f>INDEX('Revision Plan'!$I$12:$I$28,MATCH(F131,'Revision Plan'!$A$12:$A$28,0))</x:f>
        <x:v>46233</x:v>
      </x:c>
      <x:c r="L131" s="132" t="str">
        <x:v>Not Started</x:v>
      </x:c>
      <x:c r="M131" s="64" t="n">
        <x:f>INDEX('Revision Plan'!$K$12:$K$28,MATCH(F131,'Revision Plan'!$A$12:$A$28,0))</x:f>
        <x:v>46247</x:v>
      </x:c>
      <x:c r="N131" s="132" t="str">
        <x:v>Not Started</x:v>
      </x:c>
      <x:c r="O131" s="132"/>
      <x:c r="P131" s="136"/>
      <x:c r="Q131" s="136"/>
    </x:row>
    <x:row r="132" ht="22.5" customHeight="1">
      <x:c r="A132" s="132" t="n">
        <x:v>125</x:v>
      </x:c>
      <x:c r="B132" s="132" t="n">
        <x:v>116</x:v>
      </x:c>
      <x:c r="C132" s="136" t="str">
        <x:v>Circuits → Sequential Logic → Finite State Machines</x:v>
      </x:c>
      <x:c r="D132" s="136" t="str">
        <x:v>Simple FSM 3 (asynchronous reset)</x:v>
      </x:c>
      <x:c r="E132" s="132" t="str">
        <x:v>fsm3</x:v>
      </x:c>
      <x:c r="F132" s="132" t="str">
        <x:v>B09</x:v>
      </x:c>
      <x:c r="G132" s="64" t="n">
        <x:f>INDEX('Revision Plan'!$B$12:$B$28,MATCH(F132,'Revision Plan'!$A$12:$A$28,0))</x:f>
        <x:v>46226</x:v>
      </x:c>
      <x:c r="H132" s="132" t="str">
        <x:v>Not Started</x:v>
      </x:c>
      <x:c r="I132" s="64" t="n">
        <x:f>INDEX('Revision Plan'!$G$12:$G$28,MATCH(F132,'Revision Plan'!$A$12:$A$28,0))</x:f>
        <x:v>46228</x:v>
      </x:c>
      <x:c r="J132" s="132" t="str">
        <x:v>Not Started</x:v>
      </x:c>
      <x:c r="K132" s="64" t="n">
        <x:f>INDEX('Revision Plan'!$I$12:$I$28,MATCH(F132,'Revision Plan'!$A$12:$A$28,0))</x:f>
        <x:v>46233</x:v>
      </x:c>
      <x:c r="L132" s="132" t="str">
        <x:v>Not Started</x:v>
      </x:c>
      <x:c r="M132" s="64" t="n">
        <x:f>INDEX('Revision Plan'!$K$12:$K$28,MATCH(F132,'Revision Plan'!$A$12:$A$28,0))</x:f>
        <x:v>46247</x:v>
      </x:c>
      <x:c r="N132" s="132" t="str">
        <x:v>Not Started</x:v>
      </x:c>
      <x:c r="O132" s="132"/>
      <x:c r="P132" s="136"/>
      <x:c r="Q132" s="136"/>
    </x:row>
    <x:row r="133" ht="22.5" customHeight="1">
      <x:c r="A133" s="132" t="n">
        <x:v>126</x:v>
      </x:c>
      <x:c r="B133" s="132" t="n">
        <x:v>117</x:v>
      </x:c>
      <x:c r="C133" s="136" t="str">
        <x:v>Circuits → Sequential Logic → Finite State Machines</x:v>
      </x:c>
      <x:c r="D133" s="136" t="str">
        <x:v>Simple FSM 3 (synchronous reset)</x:v>
      </x:c>
      <x:c r="E133" s="132" t="str">
        <x:v>fsm3s</x:v>
      </x:c>
      <x:c r="F133" s="132" t="str">
        <x:v>B09</x:v>
      </x:c>
      <x:c r="G133" s="64" t="n">
        <x:f>INDEX('Revision Plan'!$B$12:$B$28,MATCH(F133,'Revision Plan'!$A$12:$A$28,0))</x:f>
        <x:v>46226</x:v>
      </x:c>
      <x:c r="H133" s="132" t="str">
        <x:v>Not Started</x:v>
      </x:c>
      <x:c r="I133" s="64" t="n">
        <x:f>INDEX('Revision Plan'!$G$12:$G$28,MATCH(F133,'Revision Plan'!$A$12:$A$28,0))</x:f>
        <x:v>46228</x:v>
      </x:c>
      <x:c r="J133" s="132" t="str">
        <x:v>Not Started</x:v>
      </x:c>
      <x:c r="K133" s="64" t="n">
        <x:f>INDEX('Revision Plan'!$I$12:$I$28,MATCH(F133,'Revision Plan'!$A$12:$A$28,0))</x:f>
        <x:v>46233</x:v>
      </x:c>
      <x:c r="L133" s="132" t="str">
        <x:v>Not Started</x:v>
      </x:c>
      <x:c r="M133" s="64" t="n">
        <x:f>INDEX('Revision Plan'!$K$12:$K$28,MATCH(F133,'Revision Plan'!$A$12:$A$28,0))</x:f>
        <x:v>46247</x:v>
      </x:c>
      <x:c r="N133" s="132" t="str">
        <x:v>Not Started</x:v>
      </x:c>
      <x:c r="O133" s="132"/>
      <x:c r="P133" s="136"/>
      <x:c r="Q133" s="136"/>
    </x:row>
    <x:row r="134" ht="22.5" customHeight="1">
      <x:c r="A134" s="132" t="n">
        <x:v>127</x:v>
      </x:c>
      <x:c r="B134" s="132" t="n">
        <x:v>118</x:v>
      </x:c>
      <x:c r="C134" s="136" t="str">
        <x:v>Circuits → Sequential Logic → Finite State Machines</x:v>
      </x:c>
      <x:c r="D134" s="136" t="str">
        <x:v>Design a Moore FSM</x:v>
      </x:c>
      <x:c r="E134" s="132" t="str">
        <x:v>exams/ece241_2013_q4</x:v>
      </x:c>
      <x:c r="F134" s="132" t="str">
        <x:v>B09</x:v>
      </x:c>
      <x:c r="G134" s="64" t="n">
        <x:f>INDEX('Revision Plan'!$B$12:$B$28,MATCH(F134,'Revision Plan'!$A$12:$A$28,0))</x:f>
        <x:v>46226</x:v>
      </x:c>
      <x:c r="H134" s="132" t="str">
        <x:v>Not Started</x:v>
      </x:c>
      <x:c r="I134" s="64" t="n">
        <x:f>INDEX('Revision Plan'!$G$12:$G$28,MATCH(F134,'Revision Plan'!$A$12:$A$28,0))</x:f>
        <x:v>46228</x:v>
      </x:c>
      <x:c r="J134" s="132" t="str">
        <x:v>Not Started</x:v>
      </x:c>
      <x:c r="K134" s="64" t="n">
        <x:f>INDEX('Revision Plan'!$I$12:$I$28,MATCH(F134,'Revision Plan'!$A$12:$A$28,0))</x:f>
        <x:v>46233</x:v>
      </x:c>
      <x:c r="L134" s="132" t="str">
        <x:v>Not Started</x:v>
      </x:c>
      <x:c r="M134" s="64" t="n">
        <x:f>INDEX('Revision Plan'!$K$12:$K$28,MATCH(F134,'Revision Plan'!$A$12:$A$28,0))</x:f>
        <x:v>46247</x:v>
      </x:c>
      <x:c r="N134" s="132" t="str">
        <x:v>Not Started</x:v>
      </x:c>
      <x:c r="O134" s="132"/>
      <x:c r="P134" s="136"/>
      <x:c r="Q134" s="136"/>
    </x:row>
    <x:row r="135" ht="22.5" customHeight="1">
      <x:c r="A135" s="132" t="n">
        <x:v>128</x:v>
      </x:c>
      <x:c r="B135" s="132" t="n">
        <x:v>119</x:v>
      </x:c>
      <x:c r="C135" s="136" t="str">
        <x:v>Circuits → Sequential Logic → Finite State Machines</x:v>
      </x:c>
      <x:c r="D135" s="136" t="str">
        <x:v>Lemmings 1</x:v>
      </x:c>
      <x:c r="E135" s="132" t="str">
        <x:v>lemmings1</x:v>
      </x:c>
      <x:c r="F135" s="132" t="str">
        <x:v>B09</x:v>
      </x:c>
      <x:c r="G135" s="64" t="n">
        <x:f>INDEX('Revision Plan'!$B$12:$B$28,MATCH(F135,'Revision Plan'!$A$12:$A$28,0))</x:f>
        <x:v>46226</x:v>
      </x:c>
      <x:c r="H135" s="132" t="str">
        <x:v>Not Started</x:v>
      </x:c>
      <x:c r="I135" s="64" t="n">
        <x:f>INDEX('Revision Plan'!$G$12:$G$28,MATCH(F135,'Revision Plan'!$A$12:$A$28,0))</x:f>
        <x:v>46228</x:v>
      </x:c>
      <x:c r="J135" s="132" t="str">
        <x:v>Not Started</x:v>
      </x:c>
      <x:c r="K135" s="64" t="n">
        <x:f>INDEX('Revision Plan'!$I$12:$I$28,MATCH(F135,'Revision Plan'!$A$12:$A$28,0))</x:f>
        <x:v>46233</x:v>
      </x:c>
      <x:c r="L135" s="132" t="str">
        <x:v>Not Started</x:v>
      </x:c>
      <x:c r="M135" s="64" t="n">
        <x:f>INDEX('Revision Plan'!$K$12:$K$28,MATCH(F135,'Revision Plan'!$A$12:$A$28,0))</x:f>
        <x:v>46247</x:v>
      </x:c>
      <x:c r="N135" s="132" t="str">
        <x:v>Not Started</x:v>
      </x:c>
      <x:c r="O135" s="132"/>
      <x:c r="P135" s="136"/>
      <x:c r="Q135" s="136"/>
    </x:row>
    <x:row r="136" ht="22.5" customHeight="1">
      <x:c r="A136" s="132" t="n">
        <x:v>129</x:v>
      </x:c>
      <x:c r="B136" s="132" t="n">
        <x:v>159</x:v>
      </x:c>
      <x:c r="C136" s="136" t="str">
        <x:v>Circuits → Sequential Logic → Finite State Machines</x:v>
      </x:c>
      <x:c r="D136" s="136" t="str">
        <x:v>Lemmings 2</x:v>
      </x:c>
      <x:c r="E136" s="132" t="str">
        <x:v>lemmings2</x:v>
      </x:c>
      <x:c r="F136" s="132" t="str">
        <x:v>B14</x:v>
      </x:c>
      <x:c r="G136" s="64" t="n">
        <x:f>INDEX('Revision Plan'!$B$12:$B$28,MATCH(F136,'Revision Plan'!$A$12:$A$28,0))</x:f>
        <x:v>46231</x:v>
      </x:c>
      <x:c r="H136" s="132" t="str">
        <x:v>Not Started</x:v>
      </x:c>
      <x:c r="I136" s="64" t="n">
        <x:f>INDEX('Revision Plan'!$G$12:$G$28,MATCH(F136,'Revision Plan'!$A$12:$A$28,0))</x:f>
        <x:v>46233</x:v>
      </x:c>
      <x:c r="J136" s="132" t="str">
        <x:v>Not Started</x:v>
      </x:c>
      <x:c r="K136" s="64" t="n">
        <x:f>INDEX('Revision Plan'!$I$12:$I$28,MATCH(F136,'Revision Plan'!$A$12:$A$28,0))</x:f>
        <x:v>46238</x:v>
      </x:c>
      <x:c r="L136" s="132" t="str">
        <x:v>Not Started</x:v>
      </x:c>
      <x:c r="M136" s="64" t="n">
        <x:f>INDEX('Revision Plan'!$K$12:$K$28,MATCH(F136,'Revision Plan'!$A$12:$A$28,0))</x:f>
        <x:v>46252</x:v>
      </x:c>
      <x:c r="N136" s="132" t="str">
        <x:v>Not Started</x:v>
      </x:c>
      <x:c r="O136" s="132"/>
      <x:c r="P136" s="136"/>
      <x:c r="Q136" s="136"/>
    </x:row>
    <x:row r="137" ht="22.5" customHeight="1">
      <x:c r="A137" s="132" t="n">
        <x:v>130</x:v>
      </x:c>
      <x:c r="B137" s="132" t="n">
        <x:v>160</x:v>
      </x:c>
      <x:c r="C137" s="136" t="str">
        <x:v>Circuits → Sequential Logic → Finite State Machines</x:v>
      </x:c>
      <x:c r="D137" s="136" t="str">
        <x:v>Lemmings 3</x:v>
      </x:c>
      <x:c r="E137" s="132" t="str">
        <x:v>lemmings3</x:v>
      </x:c>
      <x:c r="F137" s="132" t="str">
        <x:v>B14</x:v>
      </x:c>
      <x:c r="G137" s="64" t="n">
        <x:f>INDEX('Revision Plan'!$B$12:$B$28,MATCH(F137,'Revision Plan'!$A$12:$A$28,0))</x:f>
        <x:v>46231</x:v>
      </x:c>
      <x:c r="H137" s="132" t="str">
        <x:v>Not Started</x:v>
      </x:c>
      <x:c r="I137" s="64" t="n">
        <x:f>INDEX('Revision Plan'!$G$12:$G$28,MATCH(F137,'Revision Plan'!$A$12:$A$28,0))</x:f>
        <x:v>46233</x:v>
      </x:c>
      <x:c r="J137" s="132" t="str">
        <x:v>Not Started</x:v>
      </x:c>
      <x:c r="K137" s="64" t="n">
        <x:f>INDEX('Revision Plan'!$I$12:$I$28,MATCH(F137,'Revision Plan'!$A$12:$A$28,0))</x:f>
        <x:v>46238</x:v>
      </x:c>
      <x:c r="L137" s="132" t="str">
        <x:v>Not Started</x:v>
      </x:c>
      <x:c r="M137" s="64" t="n">
        <x:f>INDEX('Revision Plan'!$K$12:$K$28,MATCH(F137,'Revision Plan'!$A$12:$A$28,0))</x:f>
        <x:v>46252</x:v>
      </x:c>
      <x:c r="N137" s="132" t="str">
        <x:v>Not Started</x:v>
      </x:c>
      <x:c r="O137" s="132"/>
      <x:c r="P137" s="136"/>
      <x:c r="Q137" s="136"/>
    </x:row>
    <x:row r="138" ht="22.5" customHeight="1">
      <x:c r="A138" s="132" t="n">
        <x:v>131</x:v>
      </x:c>
      <x:c r="B138" s="132" t="n">
        <x:v>161</x:v>
      </x:c>
      <x:c r="C138" s="136" t="str">
        <x:v>Circuits → Sequential Logic → Finite State Machines</x:v>
      </x:c>
      <x:c r="D138" s="136" t="str">
        <x:v>Lemmings 4</x:v>
      </x:c>
      <x:c r="E138" s="132" t="str">
        <x:v>lemmings4</x:v>
      </x:c>
      <x:c r="F138" s="132" t="str">
        <x:v>B14</x:v>
      </x:c>
      <x:c r="G138" s="64" t="n">
        <x:f>INDEX('Revision Plan'!$B$12:$B$28,MATCH(F138,'Revision Plan'!$A$12:$A$28,0))</x:f>
        <x:v>46231</x:v>
      </x:c>
      <x:c r="H138" s="132" t="str">
        <x:v>Not Started</x:v>
      </x:c>
      <x:c r="I138" s="64" t="n">
        <x:f>INDEX('Revision Plan'!$G$12:$G$28,MATCH(F138,'Revision Plan'!$A$12:$A$28,0))</x:f>
        <x:v>46233</x:v>
      </x:c>
      <x:c r="J138" s="132" t="str">
        <x:v>Not Started</x:v>
      </x:c>
      <x:c r="K138" s="64" t="n">
        <x:f>INDEX('Revision Plan'!$I$12:$I$28,MATCH(F138,'Revision Plan'!$A$12:$A$28,0))</x:f>
        <x:v>46238</x:v>
      </x:c>
      <x:c r="L138" s="132" t="str">
        <x:v>Not Started</x:v>
      </x:c>
      <x:c r="M138" s="64" t="n">
        <x:f>INDEX('Revision Plan'!$K$12:$K$28,MATCH(F138,'Revision Plan'!$A$12:$A$28,0))</x:f>
        <x:v>46252</x:v>
      </x:c>
      <x:c r="N138" s="132" t="str">
        <x:v>Not Started</x:v>
      </x:c>
      <x:c r="O138" s="132"/>
      <x:c r="P138" s="136"/>
      <x:c r="Q138" s="136"/>
    </x:row>
    <x:row r="139" ht="22.5" customHeight="1">
      <x:c r="A139" s="132" t="n">
        <x:v>132</x:v>
      </x:c>
      <x:c r="B139" s="132" t="n">
        <x:v>162</x:v>
      </x:c>
      <x:c r="C139" s="136" t="str">
        <x:v>Circuits → Sequential Logic → Finite State Machines</x:v>
      </x:c>
      <x:c r="D139" s="136" t="str">
        <x:v>One-hot FSM</x:v>
      </x:c>
      <x:c r="E139" s="132" t="str">
        <x:v>fsm_onehot</x:v>
      </x:c>
      <x:c r="F139" s="132" t="str">
        <x:v>B14</x:v>
      </x:c>
      <x:c r="G139" s="64" t="n">
        <x:f>INDEX('Revision Plan'!$B$12:$B$28,MATCH(F139,'Revision Plan'!$A$12:$A$28,0))</x:f>
        <x:v>46231</x:v>
      </x:c>
      <x:c r="H139" s="132" t="str">
        <x:v>Not Started</x:v>
      </x:c>
      <x:c r="I139" s="64" t="n">
        <x:f>INDEX('Revision Plan'!$G$12:$G$28,MATCH(F139,'Revision Plan'!$A$12:$A$28,0))</x:f>
        <x:v>46233</x:v>
      </x:c>
      <x:c r="J139" s="132" t="str">
        <x:v>Not Started</x:v>
      </x:c>
      <x:c r="K139" s="64" t="n">
        <x:f>INDEX('Revision Plan'!$I$12:$I$28,MATCH(F139,'Revision Plan'!$A$12:$A$28,0))</x:f>
        <x:v>46238</x:v>
      </x:c>
      <x:c r="L139" s="132" t="str">
        <x:v>Not Started</x:v>
      </x:c>
      <x:c r="M139" s="64" t="n">
        <x:f>INDEX('Revision Plan'!$K$12:$K$28,MATCH(F139,'Revision Plan'!$A$12:$A$28,0))</x:f>
        <x:v>46252</x:v>
      </x:c>
      <x:c r="N139" s="132" t="str">
        <x:v>Not Started</x:v>
      </x:c>
      <x:c r="O139" s="132"/>
      <x:c r="P139" s="136"/>
      <x:c r="Q139" s="136"/>
    </x:row>
    <x:row r="140" ht="22.5" customHeight="1">
      <x:c r="A140" s="132" t="n">
        <x:v>133</x:v>
      </x:c>
      <x:c r="B140" s="132" t="n">
        <x:v>166</x:v>
      </x:c>
      <x:c r="C140" s="136" t="str">
        <x:v>Circuits → Sequential Logic → Finite State Machines</x:v>
      </x:c>
      <x:c r="D140" s="136" t="str">
        <x:v>PS/2 packet parser</x:v>
      </x:c>
      <x:c r="E140" s="132" t="str">
        <x:v>fsm_ps2</x:v>
      </x:c>
      <x:c r="F140" s="132" t="str">
        <x:v>B15</x:v>
      </x:c>
      <x:c r="G140" s="64" t="n">
        <x:f>INDEX('Revision Plan'!$B$12:$B$28,MATCH(F140,'Revision Plan'!$A$12:$A$28,0))</x:f>
        <x:v>46232</x:v>
      </x:c>
      <x:c r="H140" s="132" t="str">
        <x:v>Not Started</x:v>
      </x:c>
      <x:c r="I140" s="64" t="n">
        <x:f>INDEX('Revision Plan'!$G$12:$G$28,MATCH(F140,'Revision Plan'!$A$12:$A$28,0))</x:f>
        <x:v>46234</x:v>
      </x:c>
      <x:c r="J140" s="132" t="str">
        <x:v>Not Started</x:v>
      </x:c>
      <x:c r="K140" s="64" t="n">
        <x:f>INDEX('Revision Plan'!$I$12:$I$28,MATCH(F140,'Revision Plan'!$A$12:$A$28,0))</x:f>
        <x:v>46239</x:v>
      </x:c>
      <x:c r="L140" s="132" t="str">
        <x:v>Not Started</x:v>
      </x:c>
      <x:c r="M140" s="64" t="n">
        <x:f>INDEX('Revision Plan'!$K$12:$K$28,MATCH(F140,'Revision Plan'!$A$12:$A$28,0))</x:f>
        <x:v>46253</x:v>
      </x:c>
      <x:c r="N140" s="132" t="str">
        <x:v>Not Started</x:v>
      </x:c>
      <x:c r="O140" s="132"/>
      <x:c r="P140" s="136"/>
      <x:c r="Q140" s="136"/>
    </x:row>
    <x:row r="141" ht="22.5" customHeight="1">
      <x:c r="A141" s="132" t="n">
        <x:v>134</x:v>
      </x:c>
      <x:c r="B141" s="132" t="n">
        <x:v>167</x:v>
      </x:c>
      <x:c r="C141" s="136" t="str">
        <x:v>Circuits → Sequential Logic → Finite State Machines</x:v>
      </x:c>
      <x:c r="D141" s="136" t="str">
        <x:v>PS/2 packet parser and datapath</x:v>
      </x:c>
      <x:c r="E141" s="132" t="str">
        <x:v>fsm_ps2data</x:v>
      </x:c>
      <x:c r="F141" s="132" t="str">
        <x:v>B15</x:v>
      </x:c>
      <x:c r="G141" s="64" t="n">
        <x:f>INDEX('Revision Plan'!$B$12:$B$28,MATCH(F141,'Revision Plan'!$A$12:$A$28,0))</x:f>
        <x:v>46232</x:v>
      </x:c>
      <x:c r="H141" s="132" t="str">
        <x:v>Not Started</x:v>
      </x:c>
      <x:c r="I141" s="64" t="n">
        <x:f>INDEX('Revision Plan'!$G$12:$G$28,MATCH(F141,'Revision Plan'!$A$12:$A$28,0))</x:f>
        <x:v>46234</x:v>
      </x:c>
      <x:c r="J141" s="132" t="str">
        <x:v>Not Started</x:v>
      </x:c>
      <x:c r="K141" s="64" t="n">
        <x:f>INDEX('Revision Plan'!$I$12:$I$28,MATCH(F141,'Revision Plan'!$A$12:$A$28,0))</x:f>
        <x:v>46239</x:v>
      </x:c>
      <x:c r="L141" s="132" t="str">
        <x:v>Not Started</x:v>
      </x:c>
      <x:c r="M141" s="64" t="n">
        <x:f>INDEX('Revision Plan'!$K$12:$K$28,MATCH(F141,'Revision Plan'!$A$12:$A$28,0))</x:f>
        <x:v>46253</x:v>
      </x:c>
      <x:c r="N141" s="132" t="str">
        <x:v>Not Started</x:v>
      </x:c>
      <x:c r="O141" s="132"/>
      <x:c r="P141" s="136"/>
      <x:c r="Q141" s="136"/>
    </x:row>
    <x:row r="142" ht="22.5" customHeight="1">
      <x:c r="A142" s="132" t="n">
        <x:v>135</x:v>
      </x:c>
      <x:c r="B142" s="132" t="n">
        <x:v>163</x:v>
      </x:c>
      <x:c r="C142" s="136" t="str">
        <x:v>Circuits → Sequential Logic → Finite State Machines</x:v>
      </x:c>
      <x:c r="D142" s="136" t="str">
        <x:v>Serial receiver</x:v>
      </x:c>
      <x:c r="E142" s="132" t="str">
        <x:v>fsm_serial</x:v>
      </x:c>
      <x:c r="F142" s="132" t="str">
        <x:v>B14</x:v>
      </x:c>
      <x:c r="G142" s="64" t="n">
        <x:f>INDEX('Revision Plan'!$B$12:$B$28,MATCH(F142,'Revision Plan'!$A$12:$A$28,0))</x:f>
        <x:v>46231</x:v>
      </x:c>
      <x:c r="H142" s="132" t="str">
        <x:v>Not Started</x:v>
      </x:c>
      <x:c r="I142" s="64" t="n">
        <x:f>INDEX('Revision Plan'!$G$12:$G$28,MATCH(F142,'Revision Plan'!$A$12:$A$28,0))</x:f>
        <x:v>46233</x:v>
      </x:c>
      <x:c r="J142" s="132" t="str">
        <x:v>Not Started</x:v>
      </x:c>
      <x:c r="K142" s="64" t="n">
        <x:f>INDEX('Revision Plan'!$I$12:$I$28,MATCH(F142,'Revision Plan'!$A$12:$A$28,0))</x:f>
        <x:v>46238</x:v>
      </x:c>
      <x:c r="L142" s="132" t="str">
        <x:v>Not Started</x:v>
      </x:c>
      <x:c r="M142" s="64" t="n">
        <x:f>INDEX('Revision Plan'!$K$12:$K$28,MATCH(F142,'Revision Plan'!$A$12:$A$28,0))</x:f>
        <x:v>46252</x:v>
      </x:c>
      <x:c r="N142" s="132" t="str">
        <x:v>Not Started</x:v>
      </x:c>
      <x:c r="O142" s="132"/>
      <x:c r="P142" s="136"/>
      <x:c r="Q142" s="136"/>
    </x:row>
    <x:row r="143" ht="22.5" customHeight="1">
      <x:c r="A143" s="132" t="n">
        <x:v>136</x:v>
      </x:c>
      <x:c r="B143" s="132" t="n">
        <x:v>164</x:v>
      </x:c>
      <x:c r="C143" s="136" t="str">
        <x:v>Circuits → Sequential Logic → Finite State Machines</x:v>
      </x:c>
      <x:c r="D143" s="136" t="str">
        <x:v>Serial receiver and datapath</x:v>
      </x:c>
      <x:c r="E143" s="132" t="str">
        <x:v>fsm_serialdata</x:v>
      </x:c>
      <x:c r="F143" s="132" t="str">
        <x:v>B14</x:v>
      </x:c>
      <x:c r="G143" s="64" t="n">
        <x:f>INDEX('Revision Plan'!$B$12:$B$28,MATCH(F143,'Revision Plan'!$A$12:$A$28,0))</x:f>
        <x:v>46231</x:v>
      </x:c>
      <x:c r="H143" s="132" t="str">
        <x:v>Not Started</x:v>
      </x:c>
      <x:c r="I143" s="64" t="n">
        <x:f>INDEX('Revision Plan'!$G$12:$G$28,MATCH(F143,'Revision Plan'!$A$12:$A$28,0))</x:f>
        <x:v>46233</x:v>
      </x:c>
      <x:c r="J143" s="132" t="str">
        <x:v>Not Started</x:v>
      </x:c>
      <x:c r="K143" s="64" t="n">
        <x:f>INDEX('Revision Plan'!$I$12:$I$28,MATCH(F143,'Revision Plan'!$A$12:$A$28,0))</x:f>
        <x:v>46238</x:v>
      </x:c>
      <x:c r="L143" s="132" t="str">
        <x:v>Not Started</x:v>
      </x:c>
      <x:c r="M143" s="64" t="n">
        <x:f>INDEX('Revision Plan'!$K$12:$K$28,MATCH(F143,'Revision Plan'!$A$12:$A$28,0))</x:f>
        <x:v>46252</x:v>
      </x:c>
      <x:c r="N143" s="132" t="str">
        <x:v>Not Started</x:v>
      </x:c>
      <x:c r="O143" s="132"/>
      <x:c r="P143" s="136"/>
      <x:c r="Q143" s="136"/>
    </x:row>
    <x:row r="144" ht="22.5" customHeight="1">
      <x:c r="A144" s="132" t="n">
        <x:v>137</x:v>
      </x:c>
      <x:c r="B144" s="132" t="n">
        <x:v>165</x:v>
      </x:c>
      <x:c r="C144" s="136" t="str">
        <x:v>Circuits → Sequential Logic → Finite State Machines</x:v>
      </x:c>
      <x:c r="D144" s="136" t="str">
        <x:v>Serial receiver with parity checking</x:v>
      </x:c>
      <x:c r="E144" s="132" t="str">
        <x:v>fsm_serialdp</x:v>
      </x:c>
      <x:c r="F144" s="132" t="str">
        <x:v>B15</x:v>
      </x:c>
      <x:c r="G144" s="64" t="n">
        <x:f>INDEX('Revision Plan'!$B$12:$B$28,MATCH(F144,'Revision Plan'!$A$12:$A$28,0))</x:f>
        <x:v>46232</x:v>
      </x:c>
      <x:c r="H144" s="132" t="str">
        <x:v>Not Started</x:v>
      </x:c>
      <x:c r="I144" s="64" t="n">
        <x:f>INDEX('Revision Plan'!$G$12:$G$28,MATCH(F144,'Revision Plan'!$A$12:$A$28,0))</x:f>
        <x:v>46234</x:v>
      </x:c>
      <x:c r="J144" s="132" t="str">
        <x:v>Not Started</x:v>
      </x:c>
      <x:c r="K144" s="64" t="n">
        <x:f>INDEX('Revision Plan'!$I$12:$I$28,MATCH(F144,'Revision Plan'!$A$12:$A$28,0))</x:f>
        <x:v>46239</x:v>
      </x:c>
      <x:c r="L144" s="132" t="str">
        <x:v>Not Started</x:v>
      </x:c>
      <x:c r="M144" s="64" t="n">
        <x:f>INDEX('Revision Plan'!$K$12:$K$28,MATCH(F144,'Revision Plan'!$A$12:$A$28,0))</x:f>
        <x:v>46253</x:v>
      </x:c>
      <x:c r="N144" s="132" t="str">
        <x:v>Not Started</x:v>
      </x:c>
      <x:c r="O144" s="132"/>
      <x:c r="P144" s="136"/>
      <x:c r="Q144" s="136"/>
    </x:row>
    <x:row r="145" ht="22.5" customHeight="1">
      <x:c r="A145" s="132" t="n">
        <x:v>138</x:v>
      </x:c>
      <x:c r="B145" s="132" t="n">
        <x:v>168</x:v>
      </x:c>
      <x:c r="C145" s="136" t="str">
        <x:v>Circuits → Sequential Logic → Finite State Machines</x:v>
      </x:c>
      <x:c r="D145" s="136" t="str">
        <x:v>Sequence recognition</x:v>
      </x:c>
      <x:c r="E145" s="132" t="str">
        <x:v>fsm_hdlc</x:v>
      </x:c>
      <x:c r="F145" s="132" t="str">
        <x:v>B15</x:v>
      </x:c>
      <x:c r="G145" s="64" t="n">
        <x:f>INDEX('Revision Plan'!$B$12:$B$28,MATCH(F145,'Revision Plan'!$A$12:$A$28,0))</x:f>
        <x:v>46232</x:v>
      </x:c>
      <x:c r="H145" s="132" t="str">
        <x:v>Not Started</x:v>
      </x:c>
      <x:c r="I145" s="64" t="n">
        <x:f>INDEX('Revision Plan'!$G$12:$G$28,MATCH(F145,'Revision Plan'!$A$12:$A$28,0))</x:f>
        <x:v>46234</x:v>
      </x:c>
      <x:c r="J145" s="132" t="str">
        <x:v>Not Started</x:v>
      </x:c>
      <x:c r="K145" s="64" t="n">
        <x:f>INDEX('Revision Plan'!$I$12:$I$28,MATCH(F145,'Revision Plan'!$A$12:$A$28,0))</x:f>
        <x:v>46239</x:v>
      </x:c>
      <x:c r="L145" s="132" t="str">
        <x:v>Not Started</x:v>
      </x:c>
      <x:c r="M145" s="64" t="n">
        <x:f>INDEX('Revision Plan'!$K$12:$K$28,MATCH(F145,'Revision Plan'!$A$12:$A$28,0))</x:f>
        <x:v>46253</x:v>
      </x:c>
      <x:c r="N145" s="132" t="str">
        <x:v>Not Started</x:v>
      </x:c>
      <x:c r="O145" s="132"/>
      <x:c r="P145" s="136"/>
      <x:c r="Q145" s="136"/>
    </x:row>
    <x:row r="146" ht="22.5" customHeight="1">
      <x:c r="A146" s="132" t="n">
        <x:v>139</x:v>
      </x:c>
      <x:c r="B146" s="132" t="n">
        <x:v>142</x:v>
      </x:c>
      <x:c r="C146" s="136" t="str">
        <x:v>Circuits → Sequential Logic → Finite State Machines</x:v>
      </x:c>
      <x:c r="D146" s="136" t="str">
        <x:v>Q8: Design a Mealy FSM</x:v>
      </x:c>
      <x:c r="E146" s="132" t="str">
        <x:v>exams/ece241_2013_q8</x:v>
      </x:c>
      <x:c r="F146" s="132" t="str">
        <x:v>B13</x:v>
      </x:c>
      <x:c r="G146" s="64" t="n">
        <x:f>INDEX('Revision Plan'!$B$12:$B$28,MATCH(F146,'Revision Plan'!$A$12:$A$28,0))</x:f>
        <x:v>46230</x:v>
      </x:c>
      <x:c r="H146" s="132" t="str">
        <x:v>Not Started</x:v>
      </x:c>
      <x:c r="I146" s="64" t="n">
        <x:f>INDEX('Revision Plan'!$G$12:$G$28,MATCH(F146,'Revision Plan'!$A$12:$A$28,0))</x:f>
        <x:v>46232</x:v>
      </x:c>
      <x:c r="J146" s="132" t="str">
        <x:v>Not Started</x:v>
      </x:c>
      <x:c r="K146" s="64" t="n">
        <x:f>INDEX('Revision Plan'!$I$12:$I$28,MATCH(F146,'Revision Plan'!$A$12:$A$28,0))</x:f>
        <x:v>46237</x:v>
      </x:c>
      <x:c r="L146" s="132" t="str">
        <x:v>Not Started</x:v>
      </x:c>
      <x:c r="M146" s="64" t="n">
        <x:f>INDEX('Revision Plan'!$K$12:$K$28,MATCH(F146,'Revision Plan'!$A$12:$A$28,0))</x:f>
        <x:v>46251</x:v>
      </x:c>
      <x:c r="N146" s="132" t="str">
        <x:v>Not Started</x:v>
      </x:c>
      <x:c r="O146" s="132"/>
      <x:c r="P146" s="136"/>
      <x:c r="Q146" s="136"/>
    </x:row>
    <x:row r="147" ht="22.5" customHeight="1">
      <x:c r="A147" s="132" t="n">
        <x:v>140</x:v>
      </x:c>
      <x:c r="B147" s="132" t="n">
        <x:v>169</x:v>
      </x:c>
      <x:c r="C147" s="136" t="str">
        <x:v>Circuits → Sequential Logic → Finite State Machines</x:v>
      </x:c>
      <x:c r="D147" s="136" t="str">
        <x:v>Q5a: Serial two's complementer (Moore FSM)</x:v>
      </x:c>
      <x:c r="E147" s="132" t="str">
        <x:v>exams/ece241_2014_q5a</x:v>
      </x:c>
      <x:c r="F147" s="132" t="str">
        <x:v>B15</x:v>
      </x:c>
      <x:c r="G147" s="64" t="n">
        <x:f>INDEX('Revision Plan'!$B$12:$B$28,MATCH(F147,'Revision Plan'!$A$12:$A$28,0))</x:f>
        <x:v>46232</x:v>
      </x:c>
      <x:c r="H147" s="132" t="str">
        <x:v>Not Started</x:v>
      </x:c>
      <x:c r="I147" s="64" t="n">
        <x:f>INDEX('Revision Plan'!$G$12:$G$28,MATCH(F147,'Revision Plan'!$A$12:$A$28,0))</x:f>
        <x:v>46234</x:v>
      </x:c>
      <x:c r="J147" s="132" t="str">
        <x:v>Not Started</x:v>
      </x:c>
      <x:c r="K147" s="64" t="n">
        <x:f>INDEX('Revision Plan'!$I$12:$I$28,MATCH(F147,'Revision Plan'!$A$12:$A$28,0))</x:f>
        <x:v>46239</x:v>
      </x:c>
      <x:c r="L147" s="132" t="str">
        <x:v>Not Started</x:v>
      </x:c>
      <x:c r="M147" s="64" t="n">
        <x:f>INDEX('Revision Plan'!$K$12:$K$28,MATCH(F147,'Revision Plan'!$A$12:$A$28,0))</x:f>
        <x:v>46253</x:v>
      </x:c>
      <x:c r="N147" s="132" t="str">
        <x:v>Not Started</x:v>
      </x:c>
      <x:c r="O147" s="132"/>
      <x:c r="P147" s="136"/>
      <x:c r="Q147" s="136"/>
    </x:row>
    <x:row r="148" ht="22.5" customHeight="1">
      <x:c r="A148" s="132" t="n">
        <x:v>141</x:v>
      </x:c>
      <x:c r="B148" s="132" t="n">
        <x:v>170</x:v>
      </x:c>
      <x:c r="C148" s="136" t="str">
        <x:v>Circuits → Sequential Logic → Finite State Machines</x:v>
      </x:c>
      <x:c r="D148" s="136" t="str">
        <x:v>Q5b: Serial two's complementer (Mealy FSM)</x:v>
      </x:c>
      <x:c r="E148" s="132" t="str">
        <x:v>exams/ece241_2014_q5b</x:v>
      </x:c>
      <x:c r="F148" s="132" t="str">
        <x:v>B15</x:v>
      </x:c>
      <x:c r="G148" s="64" t="n">
        <x:f>INDEX('Revision Plan'!$B$12:$B$28,MATCH(F148,'Revision Plan'!$A$12:$A$28,0))</x:f>
        <x:v>46232</x:v>
      </x:c>
      <x:c r="H148" s="132" t="str">
        <x:v>Not Started</x:v>
      </x:c>
      <x:c r="I148" s="64" t="n">
        <x:f>INDEX('Revision Plan'!$G$12:$G$28,MATCH(F148,'Revision Plan'!$A$12:$A$28,0))</x:f>
        <x:v>46234</x:v>
      </x:c>
      <x:c r="J148" s="132" t="str">
        <x:v>Not Started</x:v>
      </x:c>
      <x:c r="K148" s="64" t="n">
        <x:f>INDEX('Revision Plan'!$I$12:$I$28,MATCH(F148,'Revision Plan'!$A$12:$A$28,0))</x:f>
        <x:v>46239</x:v>
      </x:c>
      <x:c r="L148" s="132" t="str">
        <x:v>Not Started</x:v>
      </x:c>
      <x:c r="M148" s="64" t="n">
        <x:f>INDEX('Revision Plan'!$K$12:$K$28,MATCH(F148,'Revision Plan'!$A$12:$A$28,0))</x:f>
        <x:v>46253</x:v>
      </x:c>
      <x:c r="N148" s="132" t="str">
        <x:v>Not Started</x:v>
      </x:c>
      <x:c r="O148" s="132"/>
      <x:c r="P148" s="136"/>
      <x:c r="Q148" s="136"/>
    </x:row>
    <x:row r="149" ht="22.5" customHeight="1">
      <x:c r="A149" s="132" t="n">
        <x:v>142</x:v>
      </x:c>
      <x:c r="B149" s="132" t="n">
        <x:v>155</x:v>
      </x:c>
      <x:c r="C149" s="136" t="str">
        <x:v>Circuits → Sequential Logic → Finite State Machines</x:v>
      </x:c>
      <x:c r="D149" s="136" t="str">
        <x:v>Q3a: FSM</x:v>
      </x:c>
      <x:c r="E149" s="132" t="str">
        <x:v>exams/2014_q3fsm</x:v>
      </x:c>
      <x:c r="F149" s="132" t="str">
        <x:v>B13</x:v>
      </x:c>
      <x:c r="G149" s="64" t="n">
        <x:f>INDEX('Revision Plan'!$B$12:$B$28,MATCH(F149,'Revision Plan'!$A$12:$A$28,0))</x:f>
        <x:v>46230</x:v>
      </x:c>
      <x:c r="H149" s="132" t="str">
        <x:v>Not Started</x:v>
      </x:c>
      <x:c r="I149" s="64" t="n">
        <x:f>INDEX('Revision Plan'!$G$12:$G$28,MATCH(F149,'Revision Plan'!$A$12:$A$28,0))</x:f>
        <x:v>46232</x:v>
      </x:c>
      <x:c r="J149" s="132" t="str">
        <x:v>Not Started</x:v>
      </x:c>
      <x:c r="K149" s="64" t="n">
        <x:f>INDEX('Revision Plan'!$I$12:$I$28,MATCH(F149,'Revision Plan'!$A$12:$A$28,0))</x:f>
        <x:v>46237</x:v>
      </x:c>
      <x:c r="L149" s="132" t="str">
        <x:v>Not Started</x:v>
      </x:c>
      <x:c r="M149" s="64" t="n">
        <x:f>INDEX('Revision Plan'!$K$12:$K$28,MATCH(F149,'Revision Plan'!$A$12:$A$28,0))</x:f>
        <x:v>46251</x:v>
      </x:c>
      <x:c r="N149" s="132" t="str">
        <x:v>Not Started</x:v>
      </x:c>
      <x:c r="O149" s="132"/>
      <x:c r="P149" s="136"/>
      <x:c r="Q149" s="136"/>
    </x:row>
    <x:row r="150" ht="22.5" customHeight="1">
      <x:c r="A150" s="132" t="n">
        <x:v>143</x:v>
      </x:c>
      <x:c r="B150" s="132" t="n">
        <x:v>156</x:v>
      </x:c>
      <x:c r="C150" s="136" t="str">
        <x:v>Circuits → Sequential Logic → Finite State Machines</x:v>
      </x:c>
      <x:c r="D150" s="136" t="str">
        <x:v>Q3b: FSM</x:v>
      </x:c>
      <x:c r="E150" s="132" t="str">
        <x:v>exams/2014_q3bfsm</x:v>
      </x:c>
      <x:c r="F150" s="132" t="str">
        <x:v>B13</x:v>
      </x:c>
      <x:c r="G150" s="64" t="n">
        <x:f>INDEX('Revision Plan'!$B$12:$B$28,MATCH(F150,'Revision Plan'!$A$12:$A$28,0))</x:f>
        <x:v>46230</x:v>
      </x:c>
      <x:c r="H150" s="132" t="str">
        <x:v>Not Started</x:v>
      </x:c>
      <x:c r="I150" s="64" t="n">
        <x:f>INDEX('Revision Plan'!$G$12:$G$28,MATCH(F150,'Revision Plan'!$A$12:$A$28,0))</x:f>
        <x:v>46232</x:v>
      </x:c>
      <x:c r="J150" s="132" t="str">
        <x:v>Not Started</x:v>
      </x:c>
      <x:c r="K150" s="64" t="n">
        <x:f>INDEX('Revision Plan'!$I$12:$I$28,MATCH(F150,'Revision Plan'!$A$12:$A$28,0))</x:f>
        <x:v>46237</x:v>
      </x:c>
      <x:c r="L150" s="132" t="str">
        <x:v>Not Started</x:v>
      </x:c>
      <x:c r="M150" s="64" t="n">
        <x:f>INDEX('Revision Plan'!$K$12:$K$28,MATCH(F150,'Revision Plan'!$A$12:$A$28,0))</x:f>
        <x:v>46251</x:v>
      </x:c>
      <x:c r="N150" s="132" t="str">
        <x:v>Not Started</x:v>
      </x:c>
      <x:c r="O150" s="132"/>
      <x:c r="P150" s="136"/>
      <x:c r="Q150" s="136"/>
    </x:row>
    <x:row r="151" ht="22.5" customHeight="1">
      <x:c r="A151" s="132" t="n">
        <x:v>144</x:v>
      </x:c>
      <x:c r="B151" s="132" t="n">
        <x:v>157</x:v>
      </x:c>
      <x:c r="C151" s="136" t="str">
        <x:v>Circuits → Sequential Logic → Finite State Machines</x:v>
      </x:c>
      <x:c r="D151" s="136" t="str">
        <x:v>Q3c: FSM logic</x:v>
      </x:c>
      <x:c r="E151" s="132" t="str">
        <x:v>exams/2014_q3c</x:v>
      </x:c>
      <x:c r="F151" s="132" t="str">
        <x:v>B13</x:v>
      </x:c>
      <x:c r="G151" s="64" t="n">
        <x:f>INDEX('Revision Plan'!$B$12:$B$28,MATCH(F151,'Revision Plan'!$A$12:$A$28,0))</x:f>
        <x:v>46230</x:v>
      </x:c>
      <x:c r="H151" s="132" t="str">
        <x:v>Not Started</x:v>
      </x:c>
      <x:c r="I151" s="64" t="n">
        <x:f>INDEX('Revision Plan'!$G$12:$G$28,MATCH(F151,'Revision Plan'!$A$12:$A$28,0))</x:f>
        <x:v>46232</x:v>
      </x:c>
      <x:c r="J151" s="132" t="str">
        <x:v>Not Started</x:v>
      </x:c>
      <x:c r="K151" s="64" t="n">
        <x:f>INDEX('Revision Plan'!$I$12:$I$28,MATCH(F151,'Revision Plan'!$A$12:$A$28,0))</x:f>
        <x:v>46237</x:v>
      </x:c>
      <x:c r="L151" s="132" t="str">
        <x:v>Not Started</x:v>
      </x:c>
      <x:c r="M151" s="64" t="n">
        <x:f>INDEX('Revision Plan'!$K$12:$K$28,MATCH(F151,'Revision Plan'!$A$12:$A$28,0))</x:f>
        <x:v>46251</x:v>
      </x:c>
      <x:c r="N151" s="132" t="str">
        <x:v>Not Started</x:v>
      </x:c>
      <x:c r="O151" s="132"/>
      <x:c r="P151" s="136"/>
      <x:c r="Q151" s="136"/>
    </x:row>
    <x:row r="152" ht="22.5" customHeight="1">
      <x:c r="A152" s="132" t="n">
        <x:v>145</x:v>
      </x:c>
      <x:c r="B152" s="132" t="n">
        <x:v>171</x:v>
      </x:c>
      <x:c r="C152" s="136" t="str">
        <x:v>Circuits → Sequential Logic → Finite State Machines</x:v>
      </x:c>
      <x:c r="D152" s="136" t="str">
        <x:v>Q6b: FSM next-state logic</x:v>
      </x:c>
      <x:c r="E152" s="132" t="str">
        <x:v>exams/m2014_q6b</x:v>
      </x:c>
      <x:c r="F152" s="132" t="str">
        <x:v>B16</x:v>
      </x:c>
      <x:c r="G152" s="64" t="n">
        <x:f>INDEX('Revision Plan'!$B$12:$B$28,MATCH(F152,'Revision Plan'!$A$12:$A$28,0))</x:f>
        <x:v>46233</x:v>
      </x:c>
      <x:c r="H152" s="132" t="str">
        <x:v>Not Started</x:v>
      </x:c>
      <x:c r="I152" s="64" t="n">
        <x:f>INDEX('Revision Plan'!$G$12:$G$28,MATCH(F152,'Revision Plan'!$A$12:$A$28,0))</x:f>
        <x:v>46235</x:v>
      </x:c>
      <x:c r="J152" s="132" t="str">
        <x:v>Not Started</x:v>
      </x:c>
      <x:c r="K152" s="64" t="n">
        <x:f>INDEX('Revision Plan'!$I$12:$I$28,MATCH(F152,'Revision Plan'!$A$12:$A$28,0))</x:f>
        <x:v>46240</x:v>
      </x:c>
      <x:c r="L152" s="132" t="str">
        <x:v>Not Started</x:v>
      </x:c>
      <x:c r="M152" s="64" t="n">
        <x:f>INDEX('Revision Plan'!$K$12:$K$28,MATCH(F152,'Revision Plan'!$A$12:$A$28,0))</x:f>
        <x:v>46254</x:v>
      </x:c>
      <x:c r="N152" s="132" t="str">
        <x:v>Not Started</x:v>
      </x:c>
      <x:c r="O152" s="132"/>
      <x:c r="P152" s="136"/>
      <x:c r="Q152" s="136"/>
    </x:row>
    <x:row r="153" ht="22.5" customHeight="1">
      <x:c r="A153" s="132" t="n">
        <x:v>146</x:v>
      </x:c>
      <x:c r="B153" s="132" t="n">
        <x:v>158</x:v>
      </x:c>
      <x:c r="C153" s="136" t="str">
        <x:v>Circuits → Sequential Logic → Finite State Machines</x:v>
      </x:c>
      <x:c r="D153" s="136" t="str">
        <x:v>Q6c: FSM one-hot next-state logic</x:v>
      </x:c>
      <x:c r="E153" s="132" t="str">
        <x:v>exams/m2014_q6c</x:v>
      </x:c>
      <x:c r="F153" s="132" t="str">
        <x:v>B13</x:v>
      </x:c>
      <x:c r="G153" s="64" t="n">
        <x:f>INDEX('Revision Plan'!$B$12:$B$28,MATCH(F153,'Revision Plan'!$A$12:$A$28,0))</x:f>
        <x:v>46230</x:v>
      </x:c>
      <x:c r="H153" s="132" t="str">
        <x:v>Not Started</x:v>
      </x:c>
      <x:c r="I153" s="64" t="n">
        <x:f>INDEX('Revision Plan'!$G$12:$G$28,MATCH(F153,'Revision Plan'!$A$12:$A$28,0))</x:f>
        <x:v>46232</x:v>
      </x:c>
      <x:c r="J153" s="132" t="str">
        <x:v>Not Started</x:v>
      </x:c>
      <x:c r="K153" s="64" t="n">
        <x:f>INDEX('Revision Plan'!$I$12:$I$28,MATCH(F153,'Revision Plan'!$A$12:$A$28,0))</x:f>
        <x:v>46237</x:v>
      </x:c>
      <x:c r="L153" s="132" t="str">
        <x:v>Not Started</x:v>
      </x:c>
      <x:c r="M153" s="64" t="n">
        <x:f>INDEX('Revision Plan'!$K$12:$K$28,MATCH(F153,'Revision Plan'!$A$12:$A$28,0))</x:f>
        <x:v>46251</x:v>
      </x:c>
      <x:c r="N153" s="132" t="str">
        <x:v>Not Started</x:v>
      </x:c>
      <x:c r="O153" s="132"/>
      <x:c r="P153" s="136"/>
      <x:c r="Q153" s="136"/>
    </x:row>
    <x:row r="154" ht="22.5" customHeight="1">
      <x:c r="A154" s="132" t="n">
        <x:v>147</x:v>
      </x:c>
      <x:c r="B154" s="132" t="n">
        <x:v>172</x:v>
      </x:c>
      <x:c r="C154" s="136" t="str">
        <x:v>Circuits → Sequential Logic → Finite State Machines</x:v>
      </x:c>
      <x:c r="D154" s="136" t="str">
        <x:v>Q6: FSM</x:v>
      </x:c>
      <x:c r="E154" s="132" t="str">
        <x:v>exams/m2014_q6</x:v>
      </x:c>
      <x:c r="F154" s="132" t="str">
        <x:v>B16</x:v>
      </x:c>
      <x:c r="G154" s="64" t="n">
        <x:f>INDEX('Revision Plan'!$B$12:$B$28,MATCH(F154,'Revision Plan'!$A$12:$A$28,0))</x:f>
        <x:v>46233</x:v>
      </x:c>
      <x:c r="H154" s="132" t="str">
        <x:v>Not Started</x:v>
      </x:c>
      <x:c r="I154" s="64" t="n">
        <x:f>INDEX('Revision Plan'!$G$12:$G$28,MATCH(F154,'Revision Plan'!$A$12:$A$28,0))</x:f>
        <x:v>46235</x:v>
      </x:c>
      <x:c r="J154" s="132" t="str">
        <x:v>Not Started</x:v>
      </x:c>
      <x:c r="K154" s="64" t="n">
        <x:f>INDEX('Revision Plan'!$I$12:$I$28,MATCH(F154,'Revision Plan'!$A$12:$A$28,0))</x:f>
        <x:v>46240</x:v>
      </x:c>
      <x:c r="L154" s="132" t="str">
        <x:v>Not Started</x:v>
      </x:c>
      <x:c r="M154" s="64" t="n">
        <x:f>INDEX('Revision Plan'!$K$12:$K$28,MATCH(F154,'Revision Plan'!$A$12:$A$28,0))</x:f>
        <x:v>46254</x:v>
      </x:c>
      <x:c r="N154" s="132" t="str">
        <x:v>Not Started</x:v>
      </x:c>
      <x:c r="O154" s="132"/>
      <x:c r="P154" s="136"/>
      <x:c r="Q154" s="136"/>
    </x:row>
    <x:row r="155" ht="22.5" customHeight="1">
      <x:c r="A155" s="132" t="n">
        <x:v>148</x:v>
      </x:c>
      <x:c r="B155" s="132" t="n">
        <x:v>173</x:v>
      </x:c>
      <x:c r="C155" s="136" t="str">
        <x:v>Circuits → Sequential Logic → Finite State Machines</x:v>
      </x:c>
      <x:c r="D155" s="136" t="str">
        <x:v>Q2a: FSM</x:v>
      </x:c>
      <x:c r="E155" s="132" t="str">
        <x:v>exams/2012_q2fsm</x:v>
      </x:c>
      <x:c r="F155" s="132" t="str">
        <x:v>B16</x:v>
      </x:c>
      <x:c r="G155" s="64" t="n">
        <x:f>INDEX('Revision Plan'!$B$12:$B$28,MATCH(F155,'Revision Plan'!$A$12:$A$28,0))</x:f>
        <x:v>46233</x:v>
      </x:c>
      <x:c r="H155" s="132" t="str">
        <x:v>Not Started</x:v>
      </x:c>
      <x:c r="I155" s="64" t="n">
        <x:f>INDEX('Revision Plan'!$G$12:$G$28,MATCH(F155,'Revision Plan'!$A$12:$A$28,0))</x:f>
        <x:v>46235</x:v>
      </x:c>
      <x:c r="J155" s="132" t="str">
        <x:v>Not Started</x:v>
      </x:c>
      <x:c r="K155" s="64" t="n">
        <x:f>INDEX('Revision Plan'!$I$12:$I$28,MATCH(F155,'Revision Plan'!$A$12:$A$28,0))</x:f>
        <x:v>46240</x:v>
      </x:c>
      <x:c r="L155" s="132" t="str">
        <x:v>Not Started</x:v>
      </x:c>
      <x:c r="M155" s="64" t="n">
        <x:f>INDEX('Revision Plan'!$K$12:$K$28,MATCH(F155,'Revision Plan'!$A$12:$A$28,0))</x:f>
        <x:v>46254</x:v>
      </x:c>
      <x:c r="N155" s="132" t="str">
        <x:v>Not Started</x:v>
      </x:c>
      <x:c r="O155" s="132"/>
      <x:c r="P155" s="136"/>
      <x:c r="Q155" s="136"/>
    </x:row>
    <x:row r="156" ht="22.5" customHeight="1">
      <x:c r="A156" s="132" t="n">
        <x:v>149</x:v>
      </x:c>
      <x:c r="B156" s="132" t="n">
        <x:v>174</x:v>
      </x:c>
      <x:c r="C156" s="136" t="str">
        <x:v>Circuits → Sequential Logic → Finite State Machines</x:v>
      </x:c>
      <x:c r="D156" s="136" t="str">
        <x:v>Q2b: One-hot FSM equations</x:v>
      </x:c>
      <x:c r="E156" s="132" t="str">
        <x:v>exams/2012_q2b</x:v>
      </x:c>
      <x:c r="F156" s="132" t="str">
        <x:v>B16</x:v>
      </x:c>
      <x:c r="G156" s="64" t="n">
        <x:f>INDEX('Revision Plan'!$B$12:$B$28,MATCH(F156,'Revision Plan'!$A$12:$A$28,0))</x:f>
        <x:v>46233</x:v>
      </x:c>
      <x:c r="H156" s="132" t="str">
        <x:v>Not Started</x:v>
      </x:c>
      <x:c r="I156" s="64" t="n">
        <x:f>INDEX('Revision Plan'!$G$12:$G$28,MATCH(F156,'Revision Plan'!$A$12:$A$28,0))</x:f>
        <x:v>46235</x:v>
      </x:c>
      <x:c r="J156" s="132" t="str">
        <x:v>Not Started</x:v>
      </x:c>
      <x:c r="K156" s="64" t="n">
        <x:f>INDEX('Revision Plan'!$I$12:$I$28,MATCH(F156,'Revision Plan'!$A$12:$A$28,0))</x:f>
        <x:v>46240</x:v>
      </x:c>
      <x:c r="L156" s="132" t="str">
        <x:v>Not Started</x:v>
      </x:c>
      <x:c r="M156" s="64" t="n">
        <x:f>INDEX('Revision Plan'!$K$12:$K$28,MATCH(F156,'Revision Plan'!$A$12:$A$28,0))</x:f>
        <x:v>46254</x:v>
      </x:c>
      <x:c r="N156" s="132" t="str">
        <x:v>Not Started</x:v>
      </x:c>
      <x:c r="O156" s="132"/>
      <x:c r="P156" s="136"/>
      <x:c r="Q156" s="136"/>
    </x:row>
    <x:row r="157" ht="22.5" customHeight="1">
      <x:c r="A157" s="132" t="n">
        <x:v>150</x:v>
      </x:c>
      <x:c r="B157" s="132" t="n">
        <x:v>177</x:v>
      </x:c>
      <x:c r="C157" s="136" t="str">
        <x:v>Circuits → Sequential Logic → Finite State Machines</x:v>
      </x:c>
      <x:c r="D157" s="136" t="str">
        <x:v>Q2a: FSM</x:v>
      </x:c>
      <x:c r="E157" s="132" t="str">
        <x:v>exams/2013_q2afsm</x:v>
      </x:c>
      <x:c r="F157" s="132" t="str">
        <x:v>B16</x:v>
      </x:c>
      <x:c r="G157" s="64" t="n">
        <x:f>INDEX('Revision Plan'!$B$12:$B$28,MATCH(F157,'Revision Plan'!$A$12:$A$28,0))</x:f>
        <x:v>46233</x:v>
      </x:c>
      <x:c r="H157" s="132" t="str">
        <x:v>Not Started</x:v>
      </x:c>
      <x:c r="I157" s="64" t="n">
        <x:f>INDEX('Revision Plan'!$G$12:$G$28,MATCH(F157,'Revision Plan'!$A$12:$A$28,0))</x:f>
        <x:v>46235</x:v>
      </x:c>
      <x:c r="J157" s="132" t="str">
        <x:v>Not Started</x:v>
      </x:c>
      <x:c r="K157" s="64" t="n">
        <x:f>INDEX('Revision Plan'!$I$12:$I$28,MATCH(F157,'Revision Plan'!$A$12:$A$28,0))</x:f>
        <x:v>46240</x:v>
      </x:c>
      <x:c r="L157" s="132" t="str">
        <x:v>Not Started</x:v>
      </x:c>
      <x:c r="M157" s="64" t="n">
        <x:f>INDEX('Revision Plan'!$K$12:$K$28,MATCH(F157,'Revision Plan'!$A$12:$A$28,0))</x:f>
        <x:v>46254</x:v>
      </x:c>
      <x:c r="N157" s="132" t="str">
        <x:v>Not Started</x:v>
      </x:c>
      <x:c r="O157" s="132"/>
      <x:c r="P157" s="136"/>
      <x:c r="Q157" s="136"/>
    </x:row>
    <x:row r="158" ht="22.5" customHeight="1">
      <x:c r="A158" s="132" t="n">
        <x:v>151</x:v>
      </x:c>
      <x:c r="B158" s="132" t="n">
        <x:v>121</x:v>
      </x:c>
      <x:c r="C158" s="136" t="str">
        <x:v>Circuits → Sequential Logic → Finite State Machines</x:v>
      </x:c>
      <x:c r="D158" s="136" t="str">
        <x:v>Q2b: Another FSM</x:v>
      </x:c>
      <x:c r="E158" s="132" t="str">
        <x:v>exams/2013_q2bfsm</x:v>
      </x:c>
      <x:c r="F158" s="132" t="str">
        <x:v>B13</x:v>
      </x:c>
      <x:c r="G158" s="64" t="n">
        <x:f>INDEX('Revision Plan'!$B$12:$B$28,MATCH(F158,'Revision Plan'!$A$12:$A$28,0))</x:f>
        <x:v>46230</x:v>
      </x:c>
      <x:c r="H158" s="132" t="str">
        <x:v>Not Started</x:v>
      </x:c>
      <x:c r="I158" s="64" t="n">
        <x:f>INDEX('Revision Plan'!$G$12:$G$28,MATCH(F158,'Revision Plan'!$A$12:$A$28,0))</x:f>
        <x:v>46232</x:v>
      </x:c>
      <x:c r="J158" s="132" t="str">
        <x:v>Not Started</x:v>
      </x:c>
      <x:c r="K158" s="64" t="n">
        <x:f>INDEX('Revision Plan'!$I$12:$I$28,MATCH(F158,'Revision Plan'!$A$12:$A$28,0))</x:f>
        <x:v>46237</x:v>
      </x:c>
      <x:c r="L158" s="132" t="str">
        <x:v>Not Started</x:v>
      </x:c>
      <x:c r="M158" s="64" t="n">
        <x:f>INDEX('Revision Plan'!$K$12:$K$28,MATCH(F158,'Revision Plan'!$A$12:$A$28,0))</x:f>
        <x:v>46251</x:v>
      </x:c>
      <x:c r="N158" s="132" t="str">
        <x:v>Not Started</x:v>
      </x:c>
      <x:c r="O158" s="132"/>
      <x:c r="P158" s="136"/>
      <x:c r="Q158" s="136"/>
    </x:row>
    <x:row r="159" ht="22.5" customHeight="1">
      <x:c r="A159" s="132" t="n">
        <x:v>152</x:v>
      </x:c>
      <x:c r="B159" s="132" t="n">
        <x:v>147</x:v>
      </x:c>
      <x:c r="C159" s="136" t="str">
        <x:v>Circuits → Building Larger Circuits</x:v>
      </x:c>
      <x:c r="D159" s="136" t="str">
        <x:v>Counter with period 1000</x:v>
      </x:c>
      <x:c r="E159" s="132" t="str">
        <x:v>exams/review2015_count1k</x:v>
      </x:c>
      <x:c r="F159" s="132" t="str">
        <x:v>B12</x:v>
      </x:c>
      <x:c r="G159" s="64" t="n">
        <x:f>INDEX('Revision Plan'!$B$12:$B$28,MATCH(F159,'Revision Plan'!$A$12:$A$28,0))</x:f>
        <x:v>46229</x:v>
      </x:c>
      <x:c r="H159" s="132" t="str">
        <x:v>Not Started</x:v>
      </x:c>
      <x:c r="I159" s="64" t="n">
        <x:f>INDEX('Revision Plan'!$G$12:$G$28,MATCH(F159,'Revision Plan'!$A$12:$A$28,0))</x:f>
        <x:v>46231</x:v>
      </x:c>
      <x:c r="J159" s="132" t="str">
        <x:v>Not Started</x:v>
      </x:c>
      <x:c r="K159" s="64" t="n">
        <x:f>INDEX('Revision Plan'!$I$12:$I$28,MATCH(F159,'Revision Plan'!$A$12:$A$28,0))</x:f>
        <x:v>46236</x:v>
      </x:c>
      <x:c r="L159" s="132" t="str">
        <x:v>Not Started</x:v>
      </x:c>
      <x:c r="M159" s="64" t="n">
        <x:f>INDEX('Revision Plan'!$K$12:$K$28,MATCH(F159,'Revision Plan'!$A$12:$A$28,0))</x:f>
        <x:v>46250</x:v>
      </x:c>
      <x:c r="N159" s="132" t="str">
        <x:v>Not Started</x:v>
      </x:c>
      <x:c r="O159" s="132"/>
      <x:c r="P159" s="136"/>
      <x:c r="Q159" s="136"/>
    </x:row>
    <x:row r="160" ht="22.5" customHeight="1">
      <x:c r="A160" s="132" t="n">
        <x:v>153</x:v>
      </x:c>
      <x:c r="B160" s="132" t="n">
        <x:v>148</x:v>
      </x:c>
      <x:c r="C160" s="136" t="str">
        <x:v>Circuits → Building Larger Circuits</x:v>
      </x:c>
      <x:c r="D160" s="136" t="str">
        <x:v>4-bit shift register and down counter</x:v>
      </x:c>
      <x:c r="E160" s="132" t="str">
        <x:v>exams/review2015_shiftcount</x:v>
      </x:c>
      <x:c r="F160" s="132" t="str">
        <x:v>B12</x:v>
      </x:c>
      <x:c r="G160" s="64" t="n">
        <x:f>INDEX('Revision Plan'!$B$12:$B$28,MATCH(F160,'Revision Plan'!$A$12:$A$28,0))</x:f>
        <x:v>46229</x:v>
      </x:c>
      <x:c r="H160" s="132" t="str">
        <x:v>Not Started</x:v>
      </x:c>
      <x:c r="I160" s="64" t="n">
        <x:f>INDEX('Revision Plan'!$G$12:$G$28,MATCH(F160,'Revision Plan'!$A$12:$A$28,0))</x:f>
        <x:v>46231</x:v>
      </x:c>
      <x:c r="J160" s="132" t="str">
        <x:v>Not Started</x:v>
      </x:c>
      <x:c r="K160" s="64" t="n">
        <x:f>INDEX('Revision Plan'!$I$12:$I$28,MATCH(F160,'Revision Plan'!$A$12:$A$28,0))</x:f>
        <x:v>46236</x:v>
      </x:c>
      <x:c r="L160" s="132" t="str">
        <x:v>Not Started</x:v>
      </x:c>
      <x:c r="M160" s="64" t="n">
        <x:f>INDEX('Revision Plan'!$K$12:$K$28,MATCH(F160,'Revision Plan'!$A$12:$A$28,0))</x:f>
        <x:v>46250</x:v>
      </x:c>
      <x:c r="N160" s="132" t="str">
        <x:v>Not Started</x:v>
      </x:c>
      <x:c r="O160" s="132"/>
      <x:c r="P160" s="136"/>
      <x:c r="Q160" s="136"/>
    </x:row>
    <x:row r="161" ht="22.5" customHeight="1">
      <x:c r="A161" s="132" t="n">
        <x:v>154</x:v>
      </x:c>
      <x:c r="B161" s="132" t="n">
        <x:v>149</x:v>
      </x:c>
      <x:c r="C161" s="136" t="str">
        <x:v>Circuits → Building Larger Circuits</x:v>
      </x:c>
      <x:c r="D161" s="136" t="str">
        <x:v>FSM: Sequence 1101 recognizer</x:v>
      </x:c>
      <x:c r="E161" s="132" t="str">
        <x:v>exams/review2015_fsmseq</x:v>
      </x:c>
      <x:c r="F161" s="132" t="str">
        <x:v>B12</x:v>
      </x:c>
      <x:c r="G161" s="64" t="n">
        <x:f>INDEX('Revision Plan'!$B$12:$B$28,MATCH(F161,'Revision Plan'!$A$12:$A$28,0))</x:f>
        <x:v>46229</x:v>
      </x:c>
      <x:c r="H161" s="132" t="str">
        <x:v>Not Started</x:v>
      </x:c>
      <x:c r="I161" s="64" t="n">
        <x:f>INDEX('Revision Plan'!$G$12:$G$28,MATCH(F161,'Revision Plan'!$A$12:$A$28,0))</x:f>
        <x:v>46231</x:v>
      </x:c>
      <x:c r="J161" s="132" t="str">
        <x:v>Not Started</x:v>
      </x:c>
      <x:c r="K161" s="64" t="n">
        <x:f>INDEX('Revision Plan'!$I$12:$I$28,MATCH(F161,'Revision Plan'!$A$12:$A$28,0))</x:f>
        <x:v>46236</x:v>
      </x:c>
      <x:c r="L161" s="132" t="str">
        <x:v>Not Started</x:v>
      </x:c>
      <x:c r="M161" s="64" t="n">
        <x:f>INDEX('Revision Plan'!$K$12:$K$28,MATCH(F161,'Revision Plan'!$A$12:$A$28,0))</x:f>
        <x:v>46250</x:v>
      </x:c>
      <x:c r="N161" s="132" t="str">
        <x:v>Not Started</x:v>
      </x:c>
      <x:c r="O161" s="132"/>
      <x:c r="P161" s="136"/>
      <x:c r="Q161" s="136"/>
    </x:row>
    <x:row r="162" ht="22.5" customHeight="1">
      <x:c r="A162" s="132" t="n">
        <x:v>155</x:v>
      </x:c>
      <x:c r="B162" s="132" t="n">
        <x:v>150</x:v>
      </x:c>
      <x:c r="C162" s="136" t="str">
        <x:v>Circuits → Building Larger Circuits</x:v>
      </x:c>
      <x:c r="D162" s="136" t="str">
        <x:v>FSM: Enable shift register</x:v>
      </x:c>
      <x:c r="E162" s="132" t="str">
        <x:v>exams/review2015_fsmshift</x:v>
      </x:c>
      <x:c r="F162" s="132" t="str">
        <x:v>B12</x:v>
      </x:c>
      <x:c r="G162" s="64" t="n">
        <x:f>INDEX('Revision Plan'!$B$12:$B$28,MATCH(F162,'Revision Plan'!$A$12:$A$28,0))</x:f>
        <x:v>46229</x:v>
      </x:c>
      <x:c r="H162" s="132" t="str">
        <x:v>Not Started</x:v>
      </x:c>
      <x:c r="I162" s="64" t="n">
        <x:f>INDEX('Revision Plan'!$G$12:$G$28,MATCH(F162,'Revision Plan'!$A$12:$A$28,0))</x:f>
        <x:v>46231</x:v>
      </x:c>
      <x:c r="J162" s="132" t="str">
        <x:v>Not Started</x:v>
      </x:c>
      <x:c r="K162" s="64" t="n">
        <x:f>INDEX('Revision Plan'!$I$12:$I$28,MATCH(F162,'Revision Plan'!$A$12:$A$28,0))</x:f>
        <x:v>46236</x:v>
      </x:c>
      <x:c r="L162" s="132" t="str">
        <x:v>Not Started</x:v>
      </x:c>
      <x:c r="M162" s="64" t="n">
        <x:f>INDEX('Revision Plan'!$K$12:$K$28,MATCH(F162,'Revision Plan'!$A$12:$A$28,0))</x:f>
        <x:v>46250</x:v>
      </x:c>
      <x:c r="N162" s="132" t="str">
        <x:v>Not Started</x:v>
      </x:c>
      <x:c r="O162" s="132"/>
      <x:c r="P162" s="136"/>
      <x:c r="Q162" s="136"/>
    </x:row>
    <x:row r="163" ht="22.5" customHeight="1">
      <x:c r="A163" s="132" t="n">
        <x:v>156</x:v>
      </x:c>
      <x:c r="B163" s="132" t="n">
        <x:v>153</x:v>
      </x:c>
      <x:c r="C163" s="136" t="str">
        <x:v>Circuits → Building Larger Circuits</x:v>
      </x:c>
      <x:c r="D163" s="136" t="str">
        <x:v>FSM: The complete FSM</x:v>
      </x:c>
      <x:c r="E163" s="132" t="str">
        <x:v>exams/review2015_fsm</x:v>
      </x:c>
      <x:c r="F163" s="132" t="str">
        <x:v>B13</x:v>
      </x:c>
      <x:c r="G163" s="64" t="n">
        <x:f>INDEX('Revision Plan'!$B$12:$B$28,MATCH(F163,'Revision Plan'!$A$12:$A$28,0))</x:f>
        <x:v>46230</x:v>
      </x:c>
      <x:c r="H163" s="132" t="str">
        <x:v>Not Started</x:v>
      </x:c>
      <x:c r="I163" s="64" t="n">
        <x:f>INDEX('Revision Plan'!$G$12:$G$28,MATCH(F163,'Revision Plan'!$A$12:$A$28,0))</x:f>
        <x:v>46232</x:v>
      </x:c>
      <x:c r="J163" s="132" t="str">
        <x:v>Not Started</x:v>
      </x:c>
      <x:c r="K163" s="64" t="n">
        <x:f>INDEX('Revision Plan'!$I$12:$I$28,MATCH(F163,'Revision Plan'!$A$12:$A$28,0))</x:f>
        <x:v>46237</x:v>
      </x:c>
      <x:c r="L163" s="132" t="str">
        <x:v>Not Started</x:v>
      </x:c>
      <x:c r="M163" s="64" t="n">
        <x:f>INDEX('Revision Plan'!$K$12:$K$28,MATCH(F163,'Revision Plan'!$A$12:$A$28,0))</x:f>
        <x:v>46251</x:v>
      </x:c>
      <x:c r="N163" s="132" t="str">
        <x:v>Not Started</x:v>
      </x:c>
      <x:c r="O163" s="132"/>
      <x:c r="P163" s="136"/>
      <x:c r="Q163" s="136"/>
    </x:row>
    <x:row r="164" ht="22.5" customHeight="1">
      <x:c r="A164" s="132" t="n">
        <x:v>157</x:v>
      </x:c>
      <x:c r="B164" s="132" t="n">
        <x:v>154</x:v>
      </x:c>
      <x:c r="C164" s="136" t="str">
        <x:v>Circuits → Building Larger Circuits</x:v>
      </x:c>
      <x:c r="D164" s="136" t="str">
        <x:v>The complete timer</x:v>
      </x:c>
      <x:c r="E164" s="132" t="str">
        <x:v>exams/review2015_fancytimer</x:v>
      </x:c>
      <x:c r="F164" s="132" t="str">
        <x:v>B13</x:v>
      </x:c>
      <x:c r="G164" s="64" t="n">
        <x:f>INDEX('Revision Plan'!$B$12:$B$28,MATCH(F164,'Revision Plan'!$A$12:$A$28,0))</x:f>
        <x:v>46230</x:v>
      </x:c>
      <x:c r="H164" s="132" t="str">
        <x:v>Not Started</x:v>
      </x:c>
      <x:c r="I164" s="64" t="n">
        <x:f>INDEX('Revision Plan'!$G$12:$G$28,MATCH(F164,'Revision Plan'!$A$12:$A$28,0))</x:f>
        <x:v>46232</x:v>
      </x:c>
      <x:c r="J164" s="132" t="str">
        <x:v>Not Started</x:v>
      </x:c>
      <x:c r="K164" s="64" t="n">
        <x:f>INDEX('Revision Plan'!$I$12:$I$28,MATCH(F164,'Revision Plan'!$A$12:$A$28,0))</x:f>
        <x:v>46237</x:v>
      </x:c>
      <x:c r="L164" s="132" t="str">
        <x:v>Not Started</x:v>
      </x:c>
      <x:c r="M164" s="64" t="n">
        <x:f>INDEX('Revision Plan'!$K$12:$K$28,MATCH(F164,'Revision Plan'!$A$12:$A$28,0))</x:f>
        <x:v>46251</x:v>
      </x:c>
      <x:c r="N164" s="132" t="str">
        <x:v>Not Started</x:v>
      </x:c>
      <x:c r="O164" s="132"/>
      <x:c r="P164" s="136"/>
      <x:c r="Q164" s="136"/>
    </x:row>
    <x:row r="165" ht="22.5" customHeight="1">
      <x:c r="A165" s="132" t="n">
        <x:v>158</x:v>
      </x:c>
      <x:c r="B165" s="132" t="n">
        <x:v>178</x:v>
      </x:c>
      <x:c r="C165" s="136" t="str">
        <x:v>Circuits → Building Larger Circuits</x:v>
      </x:c>
      <x:c r="D165" s="136" t="str">
        <x:v>FSM: One-hot logic equations</x:v>
      </x:c>
      <x:c r="E165" s="132" t="str">
        <x:v>exams/review2015_fsmonehot</x:v>
      </x:c>
      <x:c r="F165" s="132" t="str">
        <x:v>B16</x:v>
      </x:c>
      <x:c r="G165" s="64" t="n">
        <x:f>INDEX('Revision Plan'!$B$12:$B$28,MATCH(F165,'Revision Plan'!$A$12:$A$28,0))</x:f>
        <x:v>46233</x:v>
      </x:c>
      <x:c r="H165" s="132" t="str">
        <x:v>Not Started</x:v>
      </x:c>
      <x:c r="I165" s="64" t="n">
        <x:f>INDEX('Revision Plan'!$G$12:$G$28,MATCH(F165,'Revision Plan'!$A$12:$A$28,0))</x:f>
        <x:v>46235</x:v>
      </x:c>
      <x:c r="J165" s="132" t="str">
        <x:v>Not Started</x:v>
      </x:c>
      <x:c r="K165" s="64" t="n">
        <x:f>INDEX('Revision Plan'!$I$12:$I$28,MATCH(F165,'Revision Plan'!$A$12:$A$28,0))</x:f>
        <x:v>46240</x:v>
      </x:c>
      <x:c r="L165" s="132" t="str">
        <x:v>Not Started</x:v>
      </x:c>
      <x:c r="M165" s="64" t="n">
        <x:f>INDEX('Revision Plan'!$K$12:$K$28,MATCH(F165,'Revision Plan'!$A$12:$A$28,0))</x:f>
        <x:v>46254</x:v>
      </x:c>
      <x:c r="N165" s="132" t="str">
        <x:v>Not Started</x:v>
      </x:c>
      <x:c r="O165" s="132"/>
      <x:c r="P165" s="136"/>
      <x:c r="Q165" s="136"/>
    </x:row>
    <x:row r="166" ht="22.5" customHeight="1">
      <x:c r="A166" s="132" t="n">
        <x:v>159</x:v>
      </x:c>
      <x:c r="B166" s="132" t="n">
        <x:v>122</x:v>
      </x:c>
      <x:c r="C166" s="136" t="str">
        <x:v>Verification: Reading Simulations → Finding bugs in code</x:v>
      </x:c>
      <x:c r="D166" s="136" t="str">
        <x:v>Mux</x:v>
      </x:c>
      <x:c r="E166" s="132" t="str">
        <x:v>bugs_mux2</x:v>
      </x:c>
      <x:c r="F166" s="132" t="str">
        <x:v>B10</x:v>
      </x:c>
      <x:c r="G166" s="64" t="n">
        <x:f>INDEX('Revision Plan'!$B$12:$B$28,MATCH(F166,'Revision Plan'!$A$12:$A$28,0))</x:f>
        <x:v>46227</x:v>
      </x:c>
      <x:c r="H166" s="132" t="str">
        <x:v>Not Started</x:v>
      </x:c>
      <x:c r="I166" s="64" t="n">
        <x:f>INDEX('Revision Plan'!$G$12:$G$28,MATCH(F166,'Revision Plan'!$A$12:$A$28,0))</x:f>
        <x:v>46229</x:v>
      </x:c>
      <x:c r="J166" s="132" t="str">
        <x:v>Not Started</x:v>
      </x:c>
      <x:c r="K166" s="64" t="n">
        <x:f>INDEX('Revision Plan'!$I$12:$I$28,MATCH(F166,'Revision Plan'!$A$12:$A$28,0))</x:f>
        <x:v>46234</x:v>
      </x:c>
      <x:c r="L166" s="132" t="str">
        <x:v>Not Started</x:v>
      </x:c>
      <x:c r="M166" s="64" t="n">
        <x:f>INDEX('Revision Plan'!$K$12:$K$28,MATCH(F166,'Revision Plan'!$A$12:$A$28,0))</x:f>
        <x:v>46248</x:v>
      </x:c>
      <x:c r="N166" s="132" t="str">
        <x:v>Not Started</x:v>
      </x:c>
      <x:c r="O166" s="132"/>
      <x:c r="P166" s="136"/>
      <x:c r="Q166" s="136"/>
    </x:row>
    <x:row r="167" ht="22.5" customHeight="1">
      <x:c r="A167" s="132" t="n">
        <x:v>160</x:v>
      </x:c>
      <x:c r="B167" s="132" t="n">
        <x:v>123</x:v>
      </x:c>
      <x:c r="C167" s="136" t="str">
        <x:v>Verification: Reading Simulations → Finding bugs in code</x:v>
      </x:c>
      <x:c r="D167" s="136" t="str">
        <x:v>NAND</x:v>
      </x:c>
      <x:c r="E167" s="132" t="str">
        <x:v>bugs_nand3</x:v>
      </x:c>
      <x:c r="F167" s="132" t="str">
        <x:v>B10</x:v>
      </x:c>
      <x:c r="G167" s="64" t="n">
        <x:f>INDEX('Revision Plan'!$B$12:$B$28,MATCH(F167,'Revision Plan'!$A$12:$A$28,0))</x:f>
        <x:v>46227</x:v>
      </x:c>
      <x:c r="H167" s="132" t="str">
        <x:v>Not Started</x:v>
      </x:c>
      <x:c r="I167" s="64" t="n">
        <x:f>INDEX('Revision Plan'!$G$12:$G$28,MATCH(F167,'Revision Plan'!$A$12:$A$28,0))</x:f>
        <x:v>46229</x:v>
      </x:c>
      <x:c r="J167" s="132" t="str">
        <x:v>Not Started</x:v>
      </x:c>
      <x:c r="K167" s="64" t="n">
        <x:f>INDEX('Revision Plan'!$I$12:$I$28,MATCH(F167,'Revision Plan'!$A$12:$A$28,0))</x:f>
        <x:v>46234</x:v>
      </x:c>
      <x:c r="L167" s="132" t="str">
        <x:v>Not Started</x:v>
      </x:c>
      <x:c r="M167" s="64" t="n">
        <x:f>INDEX('Revision Plan'!$K$12:$K$28,MATCH(F167,'Revision Plan'!$A$12:$A$28,0))</x:f>
        <x:v>46248</x:v>
      </x:c>
      <x:c r="N167" s="132" t="str">
        <x:v>Not Started</x:v>
      </x:c>
      <x:c r="O167" s="132"/>
      <x:c r="P167" s="136"/>
      <x:c r="Q167" s="136"/>
    </x:row>
    <x:row r="168" ht="22.5" customHeight="1">
      <x:c r="A168" s="132" t="n">
        <x:v>161</x:v>
      </x:c>
      <x:c r="B168" s="132" t="n">
        <x:v>124</x:v>
      </x:c>
      <x:c r="C168" s="136" t="str">
        <x:v>Verification: Reading Simulations → Finding bugs in code</x:v>
      </x:c>
      <x:c r="D168" s="136" t="str">
        <x:v>Mux</x:v>
      </x:c>
      <x:c r="E168" s="132" t="str">
        <x:v>bugs_mux4</x:v>
      </x:c>
      <x:c r="F168" s="132" t="str">
        <x:v>B10</x:v>
      </x:c>
      <x:c r="G168" s="64" t="n">
        <x:f>INDEX('Revision Plan'!$B$12:$B$28,MATCH(F168,'Revision Plan'!$A$12:$A$28,0))</x:f>
        <x:v>46227</x:v>
      </x:c>
      <x:c r="H168" s="132" t="str">
        <x:v>Not Started</x:v>
      </x:c>
      <x:c r="I168" s="64" t="n">
        <x:f>INDEX('Revision Plan'!$G$12:$G$28,MATCH(F168,'Revision Plan'!$A$12:$A$28,0))</x:f>
        <x:v>46229</x:v>
      </x:c>
      <x:c r="J168" s="132" t="str">
        <x:v>Not Started</x:v>
      </x:c>
      <x:c r="K168" s="64" t="n">
        <x:f>INDEX('Revision Plan'!$I$12:$I$28,MATCH(F168,'Revision Plan'!$A$12:$A$28,0))</x:f>
        <x:v>46234</x:v>
      </x:c>
      <x:c r="L168" s="132" t="str">
        <x:v>Not Started</x:v>
      </x:c>
      <x:c r="M168" s="64" t="n">
        <x:f>INDEX('Revision Plan'!$K$12:$K$28,MATCH(F168,'Revision Plan'!$A$12:$A$28,0))</x:f>
        <x:v>46248</x:v>
      </x:c>
      <x:c r="N168" s="132" t="str">
        <x:v>Not Started</x:v>
      </x:c>
      <x:c r="O168" s="132"/>
      <x:c r="P168" s="136"/>
      <x:c r="Q168" s="136"/>
    </x:row>
    <x:row r="169" ht="22.5" customHeight="1">
      <x:c r="A169" s="132" t="n">
        <x:v>162</x:v>
      </x:c>
      <x:c r="B169" s="132" t="n">
        <x:v>125</x:v>
      </x:c>
      <x:c r="C169" s="136" t="str">
        <x:v>Verification: Reading Simulations → Finding bugs in code</x:v>
      </x:c>
      <x:c r="D169" s="136" t="str">
        <x:v>Add/sub</x:v>
      </x:c>
      <x:c r="E169" s="132" t="str">
        <x:v>bugs_addsubz</x:v>
      </x:c>
      <x:c r="F169" s="132" t="str">
        <x:v>B10</x:v>
      </x:c>
      <x:c r="G169" s="64" t="n">
        <x:f>INDEX('Revision Plan'!$B$12:$B$28,MATCH(F169,'Revision Plan'!$A$12:$A$28,0))</x:f>
        <x:v>46227</x:v>
      </x:c>
      <x:c r="H169" s="132" t="str">
        <x:v>Not Started</x:v>
      </x:c>
      <x:c r="I169" s="64" t="n">
        <x:f>INDEX('Revision Plan'!$G$12:$G$28,MATCH(F169,'Revision Plan'!$A$12:$A$28,0))</x:f>
        <x:v>46229</x:v>
      </x:c>
      <x:c r="J169" s="132" t="str">
        <x:v>Not Started</x:v>
      </x:c>
      <x:c r="K169" s="64" t="n">
        <x:f>INDEX('Revision Plan'!$I$12:$I$28,MATCH(F169,'Revision Plan'!$A$12:$A$28,0))</x:f>
        <x:v>46234</x:v>
      </x:c>
      <x:c r="L169" s="132" t="str">
        <x:v>Not Started</x:v>
      </x:c>
      <x:c r="M169" s="64" t="n">
        <x:f>INDEX('Revision Plan'!$K$12:$K$28,MATCH(F169,'Revision Plan'!$A$12:$A$28,0))</x:f>
        <x:v>46248</x:v>
      </x:c>
      <x:c r="N169" s="132" t="str">
        <x:v>Not Started</x:v>
      </x:c>
      <x:c r="O169" s="132"/>
      <x:c r="P169" s="136"/>
      <x:c r="Q169" s="136"/>
    </x:row>
    <x:row r="170" ht="22.5" customHeight="1">
      <x:c r="A170" s="132" t="n">
        <x:v>163</x:v>
      </x:c>
      <x:c r="B170" s="132" t="n">
        <x:v>126</x:v>
      </x:c>
      <x:c r="C170" s="136" t="str">
        <x:v>Verification: Reading Simulations → Finding bugs in code</x:v>
      </x:c>
      <x:c r="D170" s="136" t="str">
        <x:v>Case statement</x:v>
      </x:c>
      <x:c r="E170" s="132" t="str">
        <x:v>bugs_case</x:v>
      </x:c>
      <x:c r="F170" s="132" t="str">
        <x:v>B10</x:v>
      </x:c>
      <x:c r="G170" s="64" t="n">
        <x:f>INDEX('Revision Plan'!$B$12:$B$28,MATCH(F170,'Revision Plan'!$A$12:$A$28,0))</x:f>
        <x:v>46227</x:v>
      </x:c>
      <x:c r="H170" s="132" t="str">
        <x:v>Not Started</x:v>
      </x:c>
      <x:c r="I170" s="64" t="n">
        <x:f>INDEX('Revision Plan'!$G$12:$G$28,MATCH(F170,'Revision Plan'!$A$12:$A$28,0))</x:f>
        <x:v>46229</x:v>
      </x:c>
      <x:c r="J170" s="132" t="str">
        <x:v>Not Started</x:v>
      </x:c>
      <x:c r="K170" s="64" t="n">
        <x:f>INDEX('Revision Plan'!$I$12:$I$28,MATCH(F170,'Revision Plan'!$A$12:$A$28,0))</x:f>
        <x:v>46234</x:v>
      </x:c>
      <x:c r="L170" s="132" t="str">
        <x:v>Not Started</x:v>
      </x:c>
      <x:c r="M170" s="64" t="n">
        <x:f>INDEX('Revision Plan'!$K$12:$K$28,MATCH(F170,'Revision Plan'!$A$12:$A$28,0))</x:f>
        <x:v>46248</x:v>
      </x:c>
      <x:c r="N170" s="132" t="str">
        <x:v>Not Started</x:v>
      </x:c>
      <x:c r="O170" s="132"/>
      <x:c r="P170" s="136"/>
      <x:c r="Q170" s="136"/>
    </x:row>
    <x:row r="171" ht="22.5" customHeight="1">
      <x:c r="A171" s="132" t="n">
        <x:v>164</x:v>
      </x:c>
      <x:c r="B171" s="132" t="n">
        <x:v>127</x:v>
      </x:c>
      <x:c r="C171" s="136" t="str">
        <x:v>Verification: Reading Simulations → Build a circuit from a simulation waveform</x:v>
      </x:c>
      <x:c r="D171" s="136" t="str">
        <x:v>Combinational circuit 1</x:v>
      </x:c>
      <x:c r="E171" s="132" t="str">
        <x:v>sim/circuit1</x:v>
      </x:c>
      <x:c r="F171" s="132" t="str">
        <x:v>B10</x:v>
      </x:c>
      <x:c r="G171" s="64" t="n">
        <x:f>INDEX('Revision Plan'!$B$12:$B$28,MATCH(F171,'Revision Plan'!$A$12:$A$28,0))</x:f>
        <x:v>46227</x:v>
      </x:c>
      <x:c r="H171" s="132" t="str">
        <x:v>Not Started</x:v>
      </x:c>
      <x:c r="I171" s="64" t="n">
        <x:f>INDEX('Revision Plan'!$G$12:$G$28,MATCH(F171,'Revision Plan'!$A$12:$A$28,0))</x:f>
        <x:v>46229</x:v>
      </x:c>
      <x:c r="J171" s="132" t="str">
        <x:v>Not Started</x:v>
      </x:c>
      <x:c r="K171" s="64" t="n">
        <x:f>INDEX('Revision Plan'!$I$12:$I$28,MATCH(F171,'Revision Plan'!$A$12:$A$28,0))</x:f>
        <x:v>46234</x:v>
      </x:c>
      <x:c r="L171" s="132" t="str">
        <x:v>Not Started</x:v>
      </x:c>
      <x:c r="M171" s="64" t="n">
        <x:f>INDEX('Revision Plan'!$K$12:$K$28,MATCH(F171,'Revision Plan'!$A$12:$A$28,0))</x:f>
        <x:v>46248</x:v>
      </x:c>
      <x:c r="N171" s="132" t="str">
        <x:v>Not Started</x:v>
      </x:c>
      <x:c r="O171" s="132"/>
      <x:c r="P171" s="136"/>
      <x:c r="Q171" s="136"/>
    </x:row>
    <x:row r="172" ht="22.5" customHeight="1">
      <x:c r="A172" s="132" t="n">
        <x:v>165</x:v>
      </x:c>
      <x:c r="B172" s="132" t="n">
        <x:v>128</x:v>
      </x:c>
      <x:c r="C172" s="136" t="str">
        <x:v>Verification: Reading Simulations → Build a circuit from a simulation waveform</x:v>
      </x:c>
      <x:c r="D172" s="136" t="str">
        <x:v>Combinational circuit 2</x:v>
      </x:c>
      <x:c r="E172" s="132" t="str">
        <x:v>sim/circuit2</x:v>
      </x:c>
      <x:c r="F172" s="132" t="str">
        <x:v>B10</x:v>
      </x:c>
      <x:c r="G172" s="64" t="n">
        <x:f>INDEX('Revision Plan'!$B$12:$B$28,MATCH(F172,'Revision Plan'!$A$12:$A$28,0))</x:f>
        <x:v>46227</x:v>
      </x:c>
      <x:c r="H172" s="132" t="str">
        <x:v>Not Started</x:v>
      </x:c>
      <x:c r="I172" s="64" t="n">
        <x:f>INDEX('Revision Plan'!$G$12:$G$28,MATCH(F172,'Revision Plan'!$A$12:$A$28,0))</x:f>
        <x:v>46229</x:v>
      </x:c>
      <x:c r="J172" s="132" t="str">
        <x:v>Not Started</x:v>
      </x:c>
      <x:c r="K172" s="64" t="n">
        <x:f>INDEX('Revision Plan'!$I$12:$I$28,MATCH(F172,'Revision Plan'!$A$12:$A$28,0))</x:f>
        <x:v>46234</x:v>
      </x:c>
      <x:c r="L172" s="132" t="str">
        <x:v>Not Started</x:v>
      </x:c>
      <x:c r="M172" s="64" t="n">
        <x:f>INDEX('Revision Plan'!$K$12:$K$28,MATCH(F172,'Revision Plan'!$A$12:$A$28,0))</x:f>
        <x:v>46248</x:v>
      </x:c>
      <x:c r="N172" s="132" t="str">
        <x:v>Not Started</x:v>
      </x:c>
      <x:c r="O172" s="132"/>
      <x:c r="P172" s="136"/>
      <x:c r="Q172" s="136"/>
    </x:row>
    <x:row r="173" ht="22.5" customHeight="1">
      <x:c r="A173" s="132" t="n">
        <x:v>166</x:v>
      </x:c>
      <x:c r="B173" s="132" t="n">
        <x:v>129</x:v>
      </x:c>
      <x:c r="C173" s="136" t="str">
        <x:v>Verification: Reading Simulations → Build a circuit from a simulation waveform</x:v>
      </x:c>
      <x:c r="D173" s="136" t="str">
        <x:v>Combinational circuit 3</x:v>
      </x:c>
      <x:c r="E173" s="132" t="str">
        <x:v>sim/circuit3</x:v>
      </x:c>
      <x:c r="F173" s="132" t="str">
        <x:v>B10</x:v>
      </x:c>
      <x:c r="G173" s="64" t="n">
        <x:f>INDEX('Revision Plan'!$B$12:$B$28,MATCH(F173,'Revision Plan'!$A$12:$A$28,0))</x:f>
        <x:v>46227</x:v>
      </x:c>
      <x:c r="H173" s="132" t="str">
        <x:v>Not Started</x:v>
      </x:c>
      <x:c r="I173" s="64" t="n">
        <x:f>INDEX('Revision Plan'!$G$12:$G$28,MATCH(F173,'Revision Plan'!$A$12:$A$28,0))</x:f>
        <x:v>46229</x:v>
      </x:c>
      <x:c r="J173" s="132" t="str">
        <x:v>Not Started</x:v>
      </x:c>
      <x:c r="K173" s="64" t="n">
        <x:f>INDEX('Revision Plan'!$I$12:$I$28,MATCH(F173,'Revision Plan'!$A$12:$A$28,0))</x:f>
        <x:v>46234</x:v>
      </x:c>
      <x:c r="L173" s="132" t="str">
        <x:v>Not Started</x:v>
      </x:c>
      <x:c r="M173" s="64" t="n">
        <x:f>INDEX('Revision Plan'!$K$12:$K$28,MATCH(F173,'Revision Plan'!$A$12:$A$28,0))</x:f>
        <x:v>46248</x:v>
      </x:c>
      <x:c r="N173" s="132" t="str">
        <x:v>Not Started</x:v>
      </x:c>
      <x:c r="O173" s="132"/>
      <x:c r="P173" s="136"/>
      <x:c r="Q173" s="136"/>
    </x:row>
    <x:row r="174" ht="22.5" customHeight="1">
      <x:c r="A174" s="132" t="n">
        <x:v>167</x:v>
      </x:c>
      <x:c r="B174" s="132" t="n">
        <x:v>130</x:v>
      </x:c>
      <x:c r="C174" s="136" t="str">
        <x:v>Verification: Reading Simulations → Build a circuit from a simulation waveform</x:v>
      </x:c>
      <x:c r="D174" s="136" t="str">
        <x:v>Combinational circuit 4</x:v>
      </x:c>
      <x:c r="E174" s="132" t="str">
        <x:v>sim/circuit4</x:v>
      </x:c>
      <x:c r="F174" s="132" t="str">
        <x:v>B10</x:v>
      </x:c>
      <x:c r="G174" s="64" t="n">
        <x:f>INDEX('Revision Plan'!$B$12:$B$28,MATCH(F174,'Revision Plan'!$A$12:$A$28,0))</x:f>
        <x:v>46227</x:v>
      </x:c>
      <x:c r="H174" s="132" t="str">
        <x:v>Not Started</x:v>
      </x:c>
      <x:c r="I174" s="64" t="n">
        <x:f>INDEX('Revision Plan'!$G$12:$G$28,MATCH(F174,'Revision Plan'!$A$12:$A$28,0))</x:f>
        <x:v>46229</x:v>
      </x:c>
      <x:c r="J174" s="132" t="str">
        <x:v>Not Started</x:v>
      </x:c>
      <x:c r="K174" s="64" t="n">
        <x:f>INDEX('Revision Plan'!$I$12:$I$28,MATCH(F174,'Revision Plan'!$A$12:$A$28,0))</x:f>
        <x:v>46234</x:v>
      </x:c>
      <x:c r="L174" s="132" t="str">
        <x:v>Not Started</x:v>
      </x:c>
      <x:c r="M174" s="64" t="n">
        <x:f>INDEX('Revision Plan'!$K$12:$K$28,MATCH(F174,'Revision Plan'!$A$12:$A$28,0))</x:f>
        <x:v>46248</x:v>
      </x:c>
      <x:c r="N174" s="132" t="str">
        <x:v>Not Started</x:v>
      </x:c>
      <x:c r="O174" s="132"/>
      <x:c r="P174" s="136"/>
      <x:c r="Q174" s="136"/>
    </x:row>
    <x:row r="175" ht="22.5" customHeight="1">
      <x:c r="A175" s="132" t="n">
        <x:v>168</x:v>
      </x:c>
      <x:c r="B175" s="132" t="n">
        <x:v>131</x:v>
      </x:c>
      <x:c r="C175" s="136" t="str">
        <x:v>Verification: Reading Simulations → Build a circuit from a simulation waveform</x:v>
      </x:c>
      <x:c r="D175" s="136" t="str">
        <x:v>Combinational circuit 5</x:v>
      </x:c>
      <x:c r="E175" s="132" t="str">
        <x:v>sim/circuit5</x:v>
      </x:c>
      <x:c r="F175" s="132" t="str">
        <x:v>B10</x:v>
      </x:c>
      <x:c r="G175" s="64" t="n">
        <x:f>INDEX('Revision Plan'!$B$12:$B$28,MATCH(F175,'Revision Plan'!$A$12:$A$28,0))</x:f>
        <x:v>46227</x:v>
      </x:c>
      <x:c r="H175" s="132" t="str">
        <x:v>Not Started</x:v>
      </x:c>
      <x:c r="I175" s="64" t="n">
        <x:f>INDEX('Revision Plan'!$G$12:$G$28,MATCH(F175,'Revision Plan'!$A$12:$A$28,0))</x:f>
        <x:v>46229</x:v>
      </x:c>
      <x:c r="J175" s="132" t="str">
        <x:v>Not Started</x:v>
      </x:c>
      <x:c r="K175" s="64" t="n">
        <x:f>INDEX('Revision Plan'!$I$12:$I$28,MATCH(F175,'Revision Plan'!$A$12:$A$28,0))</x:f>
        <x:v>46234</x:v>
      </x:c>
      <x:c r="L175" s="132" t="str">
        <x:v>Not Started</x:v>
      </x:c>
      <x:c r="M175" s="64" t="n">
        <x:f>INDEX('Revision Plan'!$K$12:$K$28,MATCH(F175,'Revision Plan'!$A$12:$A$28,0))</x:f>
        <x:v>46248</x:v>
      </x:c>
      <x:c r="N175" s="132" t="str">
        <x:v>Not Started</x:v>
      </x:c>
      <x:c r="O175" s="132"/>
      <x:c r="P175" s="136"/>
      <x:c r="Q175" s="136"/>
    </x:row>
    <x:row r="176" ht="22.5" customHeight="1">
      <x:c r="A176" s="132" t="n">
        <x:v>169</x:v>
      </x:c>
      <x:c r="B176" s="132" t="n">
        <x:v>132</x:v>
      </x:c>
      <x:c r="C176" s="136" t="str">
        <x:v>Verification: Reading Simulations → Build a circuit from a simulation waveform</x:v>
      </x:c>
      <x:c r="D176" s="136" t="str">
        <x:v>Combinational circuit 6</x:v>
      </x:c>
      <x:c r="E176" s="132" t="str">
        <x:v>sim/circuit6</x:v>
      </x:c>
      <x:c r="F176" s="132" t="str">
        <x:v>B10</x:v>
      </x:c>
      <x:c r="G176" s="64" t="n">
        <x:f>INDEX('Revision Plan'!$B$12:$B$28,MATCH(F176,'Revision Plan'!$A$12:$A$28,0))</x:f>
        <x:v>46227</x:v>
      </x:c>
      <x:c r="H176" s="132" t="str">
        <x:v>Not Started</x:v>
      </x:c>
      <x:c r="I176" s="64" t="n">
        <x:f>INDEX('Revision Plan'!$G$12:$G$28,MATCH(F176,'Revision Plan'!$A$12:$A$28,0))</x:f>
        <x:v>46229</x:v>
      </x:c>
      <x:c r="J176" s="132" t="str">
        <x:v>Not Started</x:v>
      </x:c>
      <x:c r="K176" s="64" t="n">
        <x:f>INDEX('Revision Plan'!$I$12:$I$28,MATCH(F176,'Revision Plan'!$A$12:$A$28,0))</x:f>
        <x:v>46234</x:v>
      </x:c>
      <x:c r="L176" s="132" t="str">
        <x:v>Not Started</x:v>
      </x:c>
      <x:c r="M176" s="64" t="n">
        <x:f>INDEX('Revision Plan'!$K$12:$K$28,MATCH(F176,'Revision Plan'!$A$12:$A$28,0))</x:f>
        <x:v>46248</x:v>
      </x:c>
      <x:c r="N176" s="132" t="str">
        <x:v>Not Started</x:v>
      </x:c>
      <x:c r="O176" s="132"/>
      <x:c r="P176" s="136"/>
      <x:c r="Q176" s="136"/>
    </x:row>
    <x:row r="177" ht="22.5" customHeight="1">
      <x:c r="A177" s="132" t="n">
        <x:v>170</x:v>
      </x:c>
      <x:c r="B177" s="132" t="n">
        <x:v>133</x:v>
      </x:c>
      <x:c r="C177" s="136" t="str">
        <x:v>Verification: Reading Simulations → Build a circuit from a simulation waveform</x:v>
      </x:c>
      <x:c r="D177" s="136" t="str">
        <x:v>Sequential circuit 7</x:v>
      </x:c>
      <x:c r="E177" s="132" t="str">
        <x:v>sim/circuit7</x:v>
      </x:c>
      <x:c r="F177" s="132" t="str">
        <x:v>B11</x:v>
      </x:c>
      <x:c r="G177" s="64" t="n">
        <x:f>INDEX('Revision Plan'!$B$12:$B$28,MATCH(F177,'Revision Plan'!$A$12:$A$28,0))</x:f>
        <x:v>46228</x:v>
      </x:c>
      <x:c r="H177" s="132" t="str">
        <x:v>Not Started</x:v>
      </x:c>
      <x:c r="I177" s="64" t="n">
        <x:f>INDEX('Revision Plan'!$G$12:$G$28,MATCH(F177,'Revision Plan'!$A$12:$A$28,0))</x:f>
        <x:v>46230</x:v>
      </x:c>
      <x:c r="J177" s="132" t="str">
        <x:v>Not Started</x:v>
      </x:c>
      <x:c r="K177" s="64" t="n">
        <x:f>INDEX('Revision Plan'!$I$12:$I$28,MATCH(F177,'Revision Plan'!$A$12:$A$28,0))</x:f>
        <x:v>46235</x:v>
      </x:c>
      <x:c r="L177" s="132" t="str">
        <x:v>Not Started</x:v>
      </x:c>
      <x:c r="M177" s="64" t="n">
        <x:f>INDEX('Revision Plan'!$K$12:$K$28,MATCH(F177,'Revision Plan'!$A$12:$A$28,0))</x:f>
        <x:v>46249</x:v>
      </x:c>
      <x:c r="N177" s="132" t="str">
        <x:v>Not Started</x:v>
      </x:c>
      <x:c r="O177" s="132"/>
      <x:c r="P177" s="136"/>
      <x:c r="Q177" s="136"/>
    </x:row>
    <x:row r="178" ht="22.5" customHeight="1">
      <x:c r="A178" s="132" t="n">
        <x:v>171</x:v>
      </x:c>
      <x:c r="B178" s="132" t="n">
        <x:v>134</x:v>
      </x:c>
      <x:c r="C178" s="136" t="str">
        <x:v>Verification: Reading Simulations → Build a circuit from a simulation waveform</x:v>
      </x:c>
      <x:c r="D178" s="136" t="str">
        <x:v>Sequential circuit 8</x:v>
      </x:c>
      <x:c r="E178" s="132" t="str">
        <x:v>sim/circuit8</x:v>
      </x:c>
      <x:c r="F178" s="132" t="str">
        <x:v>B11</x:v>
      </x:c>
      <x:c r="G178" s="64" t="n">
        <x:f>INDEX('Revision Plan'!$B$12:$B$28,MATCH(F178,'Revision Plan'!$A$12:$A$28,0))</x:f>
        <x:v>46228</x:v>
      </x:c>
      <x:c r="H178" s="132" t="str">
        <x:v>Not Started</x:v>
      </x:c>
      <x:c r="I178" s="64" t="n">
        <x:f>INDEX('Revision Plan'!$G$12:$G$28,MATCH(F178,'Revision Plan'!$A$12:$A$28,0))</x:f>
        <x:v>46230</x:v>
      </x:c>
      <x:c r="J178" s="132" t="str">
        <x:v>Not Started</x:v>
      </x:c>
      <x:c r="K178" s="64" t="n">
        <x:f>INDEX('Revision Plan'!$I$12:$I$28,MATCH(F178,'Revision Plan'!$A$12:$A$28,0))</x:f>
        <x:v>46235</x:v>
      </x:c>
      <x:c r="L178" s="132" t="str">
        <x:v>Not Started</x:v>
      </x:c>
      <x:c r="M178" s="64" t="n">
        <x:f>INDEX('Revision Plan'!$K$12:$K$28,MATCH(F178,'Revision Plan'!$A$12:$A$28,0))</x:f>
        <x:v>46249</x:v>
      </x:c>
      <x:c r="N178" s="132" t="str">
        <x:v>Not Started</x:v>
      </x:c>
      <x:c r="O178" s="132"/>
      <x:c r="P178" s="136"/>
      <x:c r="Q178" s="136"/>
    </x:row>
    <x:row r="179" ht="22.5" customHeight="1">
      <x:c r="A179" s="132" t="n">
        <x:v>172</x:v>
      </x:c>
      <x:c r="B179" s="132" t="n">
        <x:v>135</x:v>
      </x:c>
      <x:c r="C179" s="136" t="str">
        <x:v>Verification: Reading Simulations → Build a circuit from a simulation waveform</x:v>
      </x:c>
      <x:c r="D179" s="136" t="str">
        <x:v>Sequential circuit 9</x:v>
      </x:c>
      <x:c r="E179" s="132" t="str">
        <x:v>sim/circuit9</x:v>
      </x:c>
      <x:c r="F179" s="132" t="str">
        <x:v>B11</x:v>
      </x:c>
      <x:c r="G179" s="64" t="n">
        <x:f>INDEX('Revision Plan'!$B$12:$B$28,MATCH(F179,'Revision Plan'!$A$12:$A$28,0))</x:f>
        <x:v>46228</x:v>
      </x:c>
      <x:c r="H179" s="132" t="str">
        <x:v>Not Started</x:v>
      </x:c>
      <x:c r="I179" s="64" t="n">
        <x:f>INDEX('Revision Plan'!$G$12:$G$28,MATCH(F179,'Revision Plan'!$A$12:$A$28,0))</x:f>
        <x:v>46230</x:v>
      </x:c>
      <x:c r="J179" s="132" t="str">
        <x:v>Not Started</x:v>
      </x:c>
      <x:c r="K179" s="64" t="n">
        <x:f>INDEX('Revision Plan'!$I$12:$I$28,MATCH(F179,'Revision Plan'!$A$12:$A$28,0))</x:f>
        <x:v>46235</x:v>
      </x:c>
      <x:c r="L179" s="132" t="str">
        <x:v>Not Started</x:v>
      </x:c>
      <x:c r="M179" s="64" t="n">
        <x:f>INDEX('Revision Plan'!$K$12:$K$28,MATCH(F179,'Revision Plan'!$A$12:$A$28,0))</x:f>
        <x:v>46249</x:v>
      </x:c>
      <x:c r="N179" s="132" t="str">
        <x:v>Not Started</x:v>
      </x:c>
      <x:c r="O179" s="132"/>
      <x:c r="P179" s="136"/>
      <x:c r="Q179" s="136"/>
    </x:row>
    <x:row r="180" ht="22.5" customHeight="1">
      <x:c r="A180" s="132" t="n">
        <x:v>173</x:v>
      </x:c>
      <x:c r="B180" s="132" t="n">
        <x:v>136</x:v>
      </x:c>
      <x:c r="C180" s="136" t="str">
        <x:v>Verification: Reading Simulations → Build a circuit from a simulation waveform</x:v>
      </x:c>
      <x:c r="D180" s="136" t="str">
        <x:v>Sequential circuit 10</x:v>
      </x:c>
      <x:c r="E180" s="132" t="str">
        <x:v>sim/circuit10</x:v>
      </x:c>
      <x:c r="F180" s="132" t="str">
        <x:v>B11</x:v>
      </x:c>
      <x:c r="G180" s="64" t="n">
        <x:f>INDEX('Revision Plan'!$B$12:$B$28,MATCH(F180,'Revision Plan'!$A$12:$A$28,0))</x:f>
        <x:v>46228</x:v>
      </x:c>
      <x:c r="H180" s="132" t="str">
        <x:v>Not Started</x:v>
      </x:c>
      <x:c r="I180" s="64" t="n">
        <x:f>INDEX('Revision Plan'!$G$12:$G$28,MATCH(F180,'Revision Plan'!$A$12:$A$28,0))</x:f>
        <x:v>46230</x:v>
      </x:c>
      <x:c r="J180" s="132" t="str">
        <x:v>Not Started</x:v>
      </x:c>
      <x:c r="K180" s="64" t="n">
        <x:f>INDEX('Revision Plan'!$I$12:$I$28,MATCH(F180,'Revision Plan'!$A$12:$A$28,0))</x:f>
        <x:v>46235</x:v>
      </x:c>
      <x:c r="L180" s="132" t="str">
        <x:v>Not Started</x:v>
      </x:c>
      <x:c r="M180" s="64" t="n">
        <x:f>INDEX('Revision Plan'!$K$12:$K$28,MATCH(F180,'Revision Plan'!$A$12:$A$28,0))</x:f>
        <x:v>46249</x:v>
      </x:c>
      <x:c r="N180" s="132" t="str">
        <x:v>Not Started</x:v>
      </x:c>
      <x:c r="O180" s="132"/>
      <x:c r="P180" s="136"/>
      <x:c r="Q180" s="136"/>
    </x:row>
    <x:row r="181" ht="22.5" customHeight="1">
      <x:c r="A181" s="132" t="n">
        <x:v>174</x:v>
      </x:c>
      <x:c r="B181" s="132" t="n">
        <x:v>137</x:v>
      </x:c>
      <x:c r="C181" s="136" t="str">
        <x:v>Verification: Writing Testbenches</x:v>
      </x:c>
      <x:c r="D181" s="136" t="str">
        <x:v>Clock</x:v>
      </x:c>
      <x:c r="E181" s="132" t="str">
        <x:v>tb/clock</x:v>
      </x:c>
      <x:c r="F181" s="132" t="str">
        <x:v>B11</x:v>
      </x:c>
      <x:c r="G181" s="64" t="n">
        <x:f>INDEX('Revision Plan'!$B$12:$B$28,MATCH(F181,'Revision Plan'!$A$12:$A$28,0))</x:f>
        <x:v>46228</x:v>
      </x:c>
      <x:c r="H181" s="132" t="str">
        <x:v>Not Started</x:v>
      </x:c>
      <x:c r="I181" s="64" t="n">
        <x:f>INDEX('Revision Plan'!$G$12:$G$28,MATCH(F181,'Revision Plan'!$A$12:$A$28,0))</x:f>
        <x:v>46230</x:v>
      </x:c>
      <x:c r="J181" s="132" t="str">
        <x:v>Not Started</x:v>
      </x:c>
      <x:c r="K181" s="64" t="n">
        <x:f>INDEX('Revision Plan'!$I$12:$I$28,MATCH(F181,'Revision Plan'!$A$12:$A$28,0))</x:f>
        <x:v>46235</x:v>
      </x:c>
      <x:c r="L181" s="132" t="str">
        <x:v>Not Started</x:v>
      </x:c>
      <x:c r="M181" s="64" t="n">
        <x:f>INDEX('Revision Plan'!$K$12:$K$28,MATCH(F181,'Revision Plan'!$A$12:$A$28,0))</x:f>
        <x:v>46249</x:v>
      </x:c>
      <x:c r="N181" s="132" t="str">
        <x:v>Not Started</x:v>
      </x:c>
      <x:c r="O181" s="132"/>
      <x:c r="P181" s="136"/>
      <x:c r="Q181" s="136"/>
    </x:row>
    <x:row r="182" ht="22.5" customHeight="1">
      <x:c r="A182" s="132" t="n">
        <x:v>175</x:v>
      </x:c>
      <x:c r="B182" s="132" t="n">
        <x:v>138</x:v>
      </x:c>
      <x:c r="C182" s="136" t="str">
        <x:v>Verification: Writing Testbenches</x:v>
      </x:c>
      <x:c r="D182" s="136" t="str">
        <x:v>Testbench1</x:v>
      </x:c>
      <x:c r="E182" s="132" t="str">
        <x:v>tb/tb1</x:v>
      </x:c>
      <x:c r="F182" s="132" t="str">
        <x:v>B11</x:v>
      </x:c>
      <x:c r="G182" s="64" t="n">
        <x:f>INDEX('Revision Plan'!$B$12:$B$28,MATCH(F182,'Revision Plan'!$A$12:$A$28,0))</x:f>
        <x:v>46228</x:v>
      </x:c>
      <x:c r="H182" s="132" t="str">
        <x:v>Not Started</x:v>
      </x:c>
      <x:c r="I182" s="64" t="n">
        <x:f>INDEX('Revision Plan'!$G$12:$G$28,MATCH(F182,'Revision Plan'!$A$12:$A$28,0))</x:f>
        <x:v>46230</x:v>
      </x:c>
      <x:c r="J182" s="132" t="str">
        <x:v>Not Started</x:v>
      </x:c>
      <x:c r="K182" s="64" t="n">
        <x:f>INDEX('Revision Plan'!$I$12:$I$28,MATCH(F182,'Revision Plan'!$A$12:$A$28,0))</x:f>
        <x:v>46235</x:v>
      </x:c>
      <x:c r="L182" s="132" t="str">
        <x:v>Not Started</x:v>
      </x:c>
      <x:c r="M182" s="64" t="n">
        <x:f>INDEX('Revision Plan'!$K$12:$K$28,MATCH(F182,'Revision Plan'!$A$12:$A$28,0))</x:f>
        <x:v>46249</x:v>
      </x:c>
      <x:c r="N182" s="132" t="str">
        <x:v>Not Started</x:v>
      </x:c>
      <x:c r="O182" s="132"/>
      <x:c r="P182" s="136"/>
      <x:c r="Q182" s="136"/>
    </x:row>
    <x:row r="183" ht="22.5" customHeight="1">
      <x:c r="A183" s="132" t="n">
        <x:v>176</x:v>
      </x:c>
      <x:c r="B183" s="132" t="n">
        <x:v>139</x:v>
      </x:c>
      <x:c r="C183" s="136" t="str">
        <x:v>Verification: Writing Testbenches</x:v>
      </x:c>
      <x:c r="D183" s="136" t="str">
        <x:v>AND gate</x:v>
      </x:c>
      <x:c r="E183" s="132" t="str">
        <x:v>tb/and</x:v>
      </x:c>
      <x:c r="F183" s="132" t="str">
        <x:v>B11</x:v>
      </x:c>
      <x:c r="G183" s="64" t="n">
        <x:f>INDEX('Revision Plan'!$B$12:$B$28,MATCH(F183,'Revision Plan'!$A$12:$A$28,0))</x:f>
        <x:v>46228</x:v>
      </x:c>
      <x:c r="H183" s="132" t="str">
        <x:v>Not Started</x:v>
      </x:c>
      <x:c r="I183" s="64" t="n">
        <x:f>INDEX('Revision Plan'!$G$12:$G$28,MATCH(F183,'Revision Plan'!$A$12:$A$28,0))</x:f>
        <x:v>46230</x:v>
      </x:c>
      <x:c r="J183" s="132" t="str">
        <x:v>Not Started</x:v>
      </x:c>
      <x:c r="K183" s="64" t="n">
        <x:f>INDEX('Revision Plan'!$I$12:$I$28,MATCH(F183,'Revision Plan'!$A$12:$A$28,0))</x:f>
        <x:v>46235</x:v>
      </x:c>
      <x:c r="L183" s="132" t="str">
        <x:v>Not Started</x:v>
      </x:c>
      <x:c r="M183" s="64" t="n">
        <x:f>INDEX('Revision Plan'!$K$12:$K$28,MATCH(F183,'Revision Plan'!$A$12:$A$28,0))</x:f>
        <x:v>46249</x:v>
      </x:c>
      <x:c r="N183" s="132" t="str">
        <x:v>Not Started</x:v>
      </x:c>
      <x:c r="O183" s="132"/>
      <x:c r="P183" s="136"/>
      <x:c r="Q183" s="136"/>
    </x:row>
    <x:row r="184" ht="22.5" customHeight="1">
      <x:c r="A184" s="132" t="n">
        <x:v>177</x:v>
      </x:c>
      <x:c r="B184" s="132" t="n">
        <x:v>140</x:v>
      </x:c>
      <x:c r="C184" s="136" t="str">
        <x:v>Verification: Writing Testbenches</x:v>
      </x:c>
      <x:c r="D184" s="136" t="str">
        <x:v>Testbench2</x:v>
      </x:c>
      <x:c r="E184" s="132" t="str">
        <x:v>tb/tb2</x:v>
      </x:c>
      <x:c r="F184" s="132" t="str">
        <x:v>B11</x:v>
      </x:c>
      <x:c r="G184" s="64" t="n">
        <x:f>INDEX('Revision Plan'!$B$12:$B$28,MATCH(F184,'Revision Plan'!$A$12:$A$28,0))</x:f>
        <x:v>46228</x:v>
      </x:c>
      <x:c r="H184" s="132" t="str">
        <x:v>Not Started</x:v>
      </x:c>
      <x:c r="I184" s="64" t="n">
        <x:f>INDEX('Revision Plan'!$G$12:$G$28,MATCH(F184,'Revision Plan'!$A$12:$A$28,0))</x:f>
        <x:v>46230</x:v>
      </x:c>
      <x:c r="J184" s="132" t="str">
        <x:v>Not Started</x:v>
      </x:c>
      <x:c r="K184" s="64" t="n">
        <x:f>INDEX('Revision Plan'!$I$12:$I$28,MATCH(F184,'Revision Plan'!$A$12:$A$28,0))</x:f>
        <x:v>46235</x:v>
      </x:c>
      <x:c r="L184" s="132" t="str">
        <x:v>Not Started</x:v>
      </x:c>
      <x:c r="M184" s="64" t="n">
        <x:f>INDEX('Revision Plan'!$K$12:$K$28,MATCH(F184,'Revision Plan'!$A$12:$A$28,0))</x:f>
        <x:v>46249</x:v>
      </x:c>
      <x:c r="N184" s="132" t="str">
        <x:v>Not Started</x:v>
      </x:c>
      <x:c r="O184" s="132"/>
      <x:c r="P184" s="136"/>
      <x:c r="Q184" s="136"/>
    </x:row>
    <x:row r="185" ht="22.5" customHeight="1">
      <x:c r="A185" s="132" t="n">
        <x:v>178</x:v>
      </x:c>
      <x:c r="B185" s="132" t="n">
        <x:v>141</x:v>
      </x:c>
      <x:c r="C185" s="136" t="str">
        <x:v>Verification: Writing Testbenches</x:v>
      </x:c>
      <x:c r="D185" s="136" t="str">
        <x:v>T flip-flop</x:v>
      </x:c>
      <x:c r="E185" s="132" t="str">
        <x:v>tb/tff</x:v>
      </x:c>
      <x:c r="F185" s="132" t="str">
        <x:v>B11</x:v>
      </x:c>
      <x:c r="G185" s="64" t="n">
        <x:f>INDEX('Revision Plan'!$B$12:$B$28,MATCH(F185,'Revision Plan'!$A$12:$A$28,0))</x:f>
        <x:v>46228</x:v>
      </x:c>
      <x:c r="H185" s="132" t="str">
        <x:v>Not Started</x:v>
      </x:c>
      <x:c r="I185" s="64" t="n">
        <x:f>INDEX('Revision Plan'!$G$12:$G$28,MATCH(F185,'Revision Plan'!$A$12:$A$28,0))</x:f>
        <x:v>46230</x:v>
      </x:c>
      <x:c r="J185" s="132" t="str">
        <x:v>Not Started</x:v>
      </x:c>
      <x:c r="K185" s="64" t="n">
        <x:f>INDEX('Revision Plan'!$I$12:$I$28,MATCH(F185,'Revision Plan'!$A$12:$A$28,0))</x:f>
        <x:v>46235</x:v>
      </x:c>
      <x:c r="L185" s="132" t="str">
        <x:v>Not Started</x:v>
      </x:c>
      <x:c r="M185" s="64" t="n">
        <x:f>INDEX('Revision Plan'!$K$12:$K$28,MATCH(F185,'Revision Plan'!$A$12:$A$28,0))</x:f>
        <x:v>46249</x:v>
      </x:c>
      <x:c r="N185" s="132" t="str">
        <x:v>Not Started</x:v>
      </x:c>
      <x:c r="O185" s="132"/>
      <x:c r="P185" s="136"/>
      <x:c r="Q185" s="136"/>
    </x:row>
  </x:sheetData>
  <x:mergeCells>
    <x:mergeCell ref="A1:Q2"/>
    <x:mergeCell ref="A3:Q3"/>
  </x:mergeCells>
  <x:conditionalFormatting sqref="H8:H185">
    <x:cfRule type="containsText" dxfId="16" priority="1" operator="containsText" text="Done"/>
    <x:cfRule type="containsText" dxfId="17" priority="2" operator="containsText" text="Needs Review"/>
    <x:cfRule type="containsText" dxfId="18" priority="3" operator="containsText" text="Not Started"/>
    <x:cfRule type="containsText" dxfId="43" priority="14" operator="containsText" text="Done"/>
    <x:cfRule type="containsText" dxfId="44" priority="15" operator="containsText" text="Needs Review"/>
    <x:cfRule type="containsText" dxfId="45" priority="16" operator="containsText" text="Not Started"/>
  </x:conditionalFormatting>
  <x:conditionalFormatting sqref="J8:J185">
    <x:cfRule type="containsText" dxfId="19" priority="4" operator="containsText" text="Done"/>
    <x:cfRule type="containsText" dxfId="20" priority="5" operator="containsText" text="Needs Review"/>
    <x:cfRule type="containsText" dxfId="21" priority="6" operator="containsText" text="Not Started"/>
    <x:cfRule type="containsText" dxfId="46" priority="17" operator="containsText" text="Done"/>
    <x:cfRule type="containsText" dxfId="47" priority="18" operator="containsText" text="Needs Review"/>
    <x:cfRule type="containsText" dxfId="48" priority="19" operator="containsText" text="Not Started"/>
  </x:conditionalFormatting>
  <x:conditionalFormatting sqref="L8:L185">
    <x:cfRule type="containsText" dxfId="22" priority="7" operator="containsText" text="Done"/>
    <x:cfRule type="containsText" dxfId="23" priority="8" operator="containsText" text="Needs Review"/>
    <x:cfRule type="containsText" dxfId="24" priority="9" operator="containsText" text="Not Started"/>
    <x:cfRule type="containsText" dxfId="49" priority="20" operator="containsText" text="Done"/>
    <x:cfRule type="containsText" dxfId="50" priority="21" operator="containsText" text="Needs Review"/>
    <x:cfRule type="containsText" dxfId="51" priority="22" operator="containsText" text="Not Started"/>
  </x:conditionalFormatting>
  <x:conditionalFormatting sqref="N8:N185">
    <x:cfRule type="containsText" dxfId="25" priority="10" operator="containsText" text="Done"/>
    <x:cfRule type="containsText" dxfId="26" priority="11" operator="containsText" text="Needs Review"/>
    <x:cfRule type="containsText" dxfId="27" priority="12" operator="containsText" text="Not Started"/>
    <x:cfRule type="containsText" dxfId="52" priority="23" operator="containsText" text="Done"/>
    <x:cfRule type="containsText" dxfId="53" priority="24" operator="containsText" text="Needs Review"/>
    <x:cfRule type="containsText" dxfId="54" priority="25" operator="containsText" text="Not Started"/>
  </x:conditionalFormatting>
  <x:conditionalFormatting sqref="O8:O185">
    <x:cfRule type="colorScale" priority="13">
      <x:colorScale>
        <x:cfvo type="min"/>
        <x:cfvo type="percentile" val="50"/>
        <x:cfvo type="max"/>
        <x:color rgb="FFF4CCCC"/>
        <x:color rgb="FFFFF2CC"/>
        <x:color rgb="FFC6EFCE"/>
      </x:colorScale>
    </x:cfRule>
    <x:cfRule type="colorScale" priority="26">
      <x:colorScale>
        <x:cfvo type="min"/>
        <x:cfvo type="percentile" val="50"/>
        <x:cfvo type="max"/>
        <x:color rgb="FFF4CCCC"/>
        <x:color rgb="FFFFF2CC"/>
        <x:color rgb="FFC6EFCE"/>
      </x:colorScale>
    </x:cfRule>
  </x:conditionalFormatting>
  <x:dataValidations count="5">
    <x:dataValidation type="list" sqref="H8:H185">
      <x:formula1>"Not Started,Done,Needs Review"</x:formula1>
    </x:dataValidation>
    <x:dataValidation type="list" sqref="J8:J185">
      <x:formula1>"Not Started,Done,Needs Review"</x:formula1>
    </x:dataValidation>
    <x:dataValidation type="list" sqref="L8:L185">
      <x:formula1>"Not Started,Done,Needs Review"</x:formula1>
    </x:dataValidation>
    <x:dataValidation type="list" sqref="N8:N185">
      <x:formula1>"Not Started,Done,Needs Review"</x:formula1>
    </x:dataValidation>
    <x:dataValidation type="whole" operator="between" sqref="O8:O185">
      <x:formula1>1</x:formula1>
      <x:formula2>5</x:formula2>
    </x:dataValidation>
  </x:dataValidations>
  <x:pageMargins left="0.7" right="0.7" top="0.75" bottom="0.75" header="0.3" footer="0.3"/>
  <x:tableParts count="2">
    <x:tablePart xmlns:r="http://schemas.openxmlformats.org/officeDocument/2006/relationships" r:id="R9dfcf1e0e21c41e8"/>
    <x:tablePart xmlns:r="http://schemas.openxmlformats.org/officeDocument/2006/relationships" r:id="Reded4bc6e79342a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5" hidden="0" customWidth="1"/>
    <x:col min="2" max="2" width="40" hidden="0" customWidth="1"/>
    <x:col min="3" max="3" width="10.5600004196167" hidden="0" customWidth="1"/>
    <x:col min="4" max="4" width="11.109999656677246" hidden="0" customWidth="1"/>
    <x:col min="5" max="5" width="33.33000183105469" hidden="0" customWidth="1"/>
    <x:col min="6" max="6" width="28.889999389648438" hidden="0" customWidth="1"/>
  </x:cols>
  <x:sheetData>
    <x:row r="1" ht="22.5" customHeight="1">
      <x:c r="A1" s="137" t="str">
        <x:v>HDLBits Weakness Revision Sheet</x:v>
      </x:c>
      <x:c r="B1" s="137" t="str">
        <x:v>HDLBits Weakness Revision Sheet</x:v>
      </x:c>
      <x:c r="C1" s="137" t="str">
        <x:v>HDLBits Weakness Revision Sheet</x:v>
      </x:c>
      <x:c r="D1" s="137" t="str">
        <x:v>HDLBits Weakness Revision Sheet</x:v>
      </x:c>
      <x:c r="E1" s="137" t="str">
        <x:v>HDLBits Weakness Revision Sheet</x:v>
      </x:c>
      <x:c r="F1" s="137" t="str">
        <x:v>HDLBits Weakness Revision Sheet</x:v>
      </x:c>
    </x:row>
    <x:row r="2" ht="22.5" customHeight="1">
      <x:c r="A2" s="137" t="str">
        <x:v>HDLBits Weakness Revision Sheet</x:v>
      </x:c>
      <x:c r="B2" s="137" t="str">
        <x:v>HDLBits Weakness Revision Sheet</x:v>
      </x:c>
      <x:c r="C2" s="137" t="str">
        <x:v>HDLBits Weakness Revision Sheet</x:v>
      </x:c>
      <x:c r="D2" s="137" t="str">
        <x:v>HDLBits Weakness Revision Sheet</x:v>
      </x:c>
      <x:c r="E2" s="137" t="str">
        <x:v>HDLBits Weakness Revision Sheet</x:v>
      </x:c>
      <x:c r="F2" s="137" t="str">
        <x:v>HDLBits Weakness Revision Sheet</x:v>
      </x:c>
    </x:row>
    <x:row r="3" ht="21" customHeight="1">
      <x:c r="A3" s="138" t="str">
        <x:v>Review Mistakes.md sections 1–12 on 2026-08-01 and sections 13–24 on 2026-08-02. Write one rule in your own words before retesting.</x:v>
      </x:c>
      <x:c r="B3" s="138" t="str">
        <x:v>Review Mistakes.md sections 1–12 on 2026-08-01 and sections 13–24 on 2026-08-02. Write one rule in your own words before retesting.</x:v>
      </x:c>
      <x:c r="C3" s="138" t="str">
        <x:v>Review Mistakes.md sections 1–12 on 2026-08-01 and sections 13–24 on 2026-08-02. Write one rule in your own words before retesting.</x:v>
      </x:c>
      <x:c r="D3" s="138" t="str">
        <x:v>Review Mistakes.md sections 1–12 on 2026-08-01 and sections 13–24 on 2026-08-02. Write one rule in your own words before retesting.</x:v>
      </x:c>
      <x:c r="E3" s="138" t="str">
        <x:v>Review Mistakes.md sections 1–12 on 2026-08-01 and sections 13–24 on 2026-08-02. Write one rule in your own words before retesting.</x:v>
      </x:c>
      <x:c r="F3" s="138" t="str">
        <x:v>Review Mistakes.md sections 1–12 on 2026-08-01 and sections 13–24 on 2026-08-02. Write one rule in your own words before retesting.</x:v>
      </x:c>
    </x:row>
    <x:row r="5">
      <x:c r="A5" s="147" t="str">
        <x:v>#</x:v>
      </x:c>
      <x:c r="B5" s="147" t="str">
        <x:v>Weakness</x:v>
      </x:c>
      <x:c r="C5" s="147" t="str">
        <x:v>Review date</x:v>
      </x:c>
      <x:c r="D5" s="147" t="str">
        <x:v>Status</x:v>
      </x:c>
      <x:c r="E5" s="147" t="str">
        <x:v>My one-line rule</x:v>
      </x:c>
      <x:c r="F5" s="147" t="str">
        <x:v>Retest evidence / result</x:v>
      </x:c>
    </x:row>
    <x:row r="6" ht="33" customHeight="1">
      <x:c r="A6" s="132" t="n">
        <x:v>1</x:v>
      </x:c>
      <x:c r="B6" s="136" t="str">
        <x:v>Assignment context: wires, assign, and always</x:v>
      </x:c>
      <x:c r="C6" s="64" t="n">
        <x:v>46235</x:v>
      </x:c>
      <x:c r="D6" s="132" t="str">
        <x:v>Not Started</x:v>
      </x:c>
      <x:c r="E6" s="136"/>
      <x:c r="F6" s="136"/>
    </x:row>
    <x:row r="7" ht="33" customHeight="1">
      <x:c r="A7" s="132" t="n">
        <x:v>2</x:v>
      </x:c>
      <x:c r="B7" s="136" t="str">
        <x:v>Verilog operators are not English or C++</x:v>
      </x:c>
      <x:c r="C7" s="64" t="n">
        <x:v>46235</x:v>
      </x:c>
      <x:c r="D7" s="132" t="str">
        <x:v>Not Started</x:v>
      </x:c>
      <x:c r="E7" s="136"/>
      <x:c r="F7" s="136"/>
    </x:row>
    <x:row r="8" ht="33" customHeight="1">
      <x:c r="A8" s="132" t="n">
        <x:v>3</x:v>
      </x:c>
      <x:c r="B8" s="136" t="str">
        <x:v>Concatenation and literal widths</x:v>
      </x:c>
      <x:c r="C8" s="64" t="n">
        <x:v>46235</x:v>
      </x:c>
      <x:c r="D8" s="132" t="str">
        <x:v>Not Started</x:v>
      </x:c>
      <x:c r="E8" s="136"/>
      <x:c r="F8" s="136"/>
    </x:row>
    <x:row r="9" ht="33" customHeight="1">
      <x:c r="A9" s="132" t="n">
        <x:v>4</x:v>
      </x:c>
      <x:c r="B9" s="136" t="str">
        <x:v>Adders and borrow logic: derive the equation</x:v>
      </x:c>
      <x:c r="C9" s="64" t="n">
        <x:v>46235</x:v>
      </x:c>
      <x:c r="D9" s="132" t="str">
        <x:v>Not Started</x:v>
      </x:c>
      <x:c r="E9" s="136"/>
      <x:c r="F9" s="136"/>
    </x:row>
    <x:row r="10" ht="33" customHeight="1">
      <x:c r="A10" s="132" t="n">
        <x:v>5</x:v>
      </x:c>
      <x:c r="B10" s="136" t="str">
        <x:v>Generate loops and indexed part-selects</x:v>
      </x:c>
      <x:c r="C10" s="64" t="n">
        <x:v>46235</x:v>
      </x:c>
      <x:c r="D10" s="132" t="str">
        <x:v>Not Started</x:v>
      </x:c>
      <x:c r="E10" s="136"/>
      <x:c r="F10" s="136"/>
    </x:row>
    <x:row r="11" ht="33" customHeight="1">
      <x:c r="A11" s="132" t="n">
        <x:v>6</x:v>
      </x:c>
      <x:c r="B11" s="136" t="str">
        <x:v>Priority encoders and casez</x:v>
      </x:c>
      <x:c r="C11" s="64" t="n">
        <x:v>46235</x:v>
      </x:c>
      <x:c r="D11" s="132" t="str">
        <x:v>Not Started</x:v>
      </x:c>
      <x:c r="E11" s="136"/>
      <x:c r="F11" s="136"/>
    </x:row>
    <x:row r="12" ht="33" customHeight="1">
      <x:c r="A12" s="132" t="n">
        <x:v>7</x:v>
      </x:c>
      <x:c r="B12" s="136" t="str">
        <x:v>K-maps feeding multiplexers</x:v>
      </x:c>
      <x:c r="C12" s="64" t="n">
        <x:v>46235</x:v>
      </x:c>
      <x:c r="D12" s="132" t="str">
        <x:v>Not Started</x:v>
      </x:c>
      <x:c r="E12" s="136"/>
      <x:c r="F12" s="136"/>
    </x:row>
    <x:row r="13" ht="33" customHeight="1">
      <x:c r="A13" s="132" t="n">
        <x:v>8</x:v>
      </x:c>
      <x:c r="B13" s="136" t="str">
        <x:v>Latches vs flip-flops</x:v>
      </x:c>
      <x:c r="C13" s="64" t="n">
        <x:v>46235</x:v>
      </x:c>
      <x:c r="D13" s="132" t="str">
        <x:v>Not Started</x:v>
      </x:c>
      <x:c r="E13" s="136"/>
      <x:c r="F13" s="136"/>
    </x:row>
    <x:row r="14" ht="33" customHeight="1">
      <x:c r="A14" s="132" t="n">
        <x:v>9</x:v>
      </x:c>
      <x:c r="B14" s="136" t="str">
        <x:v>Edge detection, shift registers, and LFSRs</x:v>
      </x:c>
      <x:c r="C14" s="64" t="n">
        <x:v>46235</x:v>
      </x:c>
      <x:c r="D14" s="132" t="str">
        <x:v>Not Started</x:v>
      </x:c>
      <x:c r="E14" s="136"/>
      <x:c r="F14" s="136"/>
    </x:row>
    <x:row r="15" ht="33" customHeight="1">
      <x:c r="A15" s="132" t="n">
        <x:v>10</x:v>
      </x:c>
      <x:c r="B15" s="136" t="str">
        <x:v>FSMs: state is memory, not input</x:v>
      </x:c>
      <x:c r="C15" s="64" t="n">
        <x:v>46235</x:v>
      </x:c>
      <x:c r="D15" s="132" t="str">
        <x:v>Not Started</x:v>
      </x:c>
      <x:c r="E15" s="136"/>
      <x:c r="F15" s="136"/>
    </x:row>
    <x:row r="16" ht="33" customHeight="1">
      <x:c r="A16" s="132" t="n">
        <x:v>11</x:v>
      </x:c>
      <x:c r="B16" s="136" t="str">
        <x:v>Reading simulation waveforms</x:v>
      </x:c>
      <x:c r="C16" s="64" t="n">
        <x:v>46235</x:v>
      </x:c>
      <x:c r="D16" s="132" t="str">
        <x:v>Not Started</x:v>
      </x:c>
      <x:c r="E16" s="136"/>
      <x:c r="F16" s="136"/>
    </x:row>
    <x:row r="17" ht="33" customHeight="1">
      <x:c r="A17" s="132" t="n">
        <x:v>12</x:v>
      </x:c>
      <x:c r="B17" s="136" t="str">
        <x:v>Testbenches: instantiate once, stimulate over time</x:v>
      </x:c>
      <x:c r="C17" s="64" t="n">
        <x:v>46235</x:v>
      </x:c>
      <x:c r="D17" s="132" t="str">
        <x:v>Not Started</x:v>
      </x:c>
      <x:c r="E17" s="136"/>
      <x:c r="F17" s="136"/>
    </x:row>
    <x:row r="18" ht="33" customHeight="1">
      <x:c r="A18" s="132" t="n">
        <x:v>13</x:v>
      </x:c>
      <x:c r="B18" s="136" t="str">
        <x:v>Complete timer: separate control and datapath state</x:v>
      </x:c>
      <x:c r="C18" s="64" t="n">
        <x:v>46236</x:v>
      </x:c>
      <x:c r="D18" s="132" t="str">
        <x:v>Not Started</x:v>
      </x:c>
      <x:c r="E18" s="136"/>
      <x:c r="F18" s="136"/>
    </x:row>
    <x:row r="19" ht="33" customHeight="1">
      <x:c r="A19" s="132" t="n">
        <x:v>14</x:v>
      </x:c>
      <x:c r="B19" s="136" t="str">
        <x:v>Lemmings FSM: falling must remember direction</x:v>
      </x:c>
      <x:c r="C19" s="64" t="n">
        <x:v>46236</x:v>
      </x:c>
      <x:c r="D19" s="132" t="str">
        <x:v>Not Started</x:v>
      </x:c>
      <x:c r="E19" s="136"/>
      <x:c r="F19" s="136"/>
    </x:row>
    <x:row r="20" ht="33" customHeight="1">
      <x:c r="A20" s="132" t="n">
        <x:v>15</x:v>
      </x:c>
      <x:c r="B20" s="136" t="str">
        <x:v>One-hot FSM: preserve the supplied state interface</x:v>
      </x:c>
      <x:c r="C20" s="64" t="n">
        <x:v>46236</x:v>
      </x:c>
      <x:c r="D20" s="132" t="str">
        <x:v>Not Started</x:v>
      </x:c>
      <x:c r="E20" s="136"/>
      <x:c r="F20" s="136"/>
    </x:row>
    <x:row r="21" ht="33" customHeight="1">
      <x:c r="A21" s="132" t="n">
        <x:v>16</x:v>
      </x:c>
      <x:c r="B21" s="136" t="str">
        <x:v>Memory requirement: state for control, registers for data</x:v>
      </x:c>
      <x:c r="C21" s="64" t="n">
        <x:v>46236</x:v>
      </x:c>
      <x:c r="D21" s="132" t="str">
        <x:v>Not Started</x:v>
      </x:c>
      <x:c r="E21" s="136"/>
      <x:c r="F21" s="136"/>
    </x:row>
    <x:row r="22" ht="33" customHeight="1">
      <x:c r="A22" s="132" t="n">
        <x:v>17</x:v>
      </x:c>
      <x:c r="B22" s="136" t="str">
        <x:v>Serial receiver datapath: align done, stop validation, byte capture</x:v>
      </x:c>
      <x:c r="C22" s="64" t="n">
        <x:v>46236</x:v>
      </x:c>
      <x:c r="D22" s="132" t="str">
        <x:v>Not Started</x:v>
      </x:c>
      <x:c r="E22" s="136"/>
      <x:c r="F22" s="136"/>
    </x:row>
    <x:row r="23" ht="33" customHeight="1">
      <x:c r="A23" s="132" t="n">
        <x:v>18</x:v>
      </x:c>
      <x:c r="B23" s="136" t="str">
        <x:v>Serial parity: reset per frame and check the post-bit value</x:v>
      </x:c>
      <x:c r="C23" s="64" t="n">
        <x:v>46236</x:v>
      </x:c>
      <x:c r="D23" s="132" t="str">
        <x:v>Not Started</x:v>
      </x:c>
      <x:c r="E23" s="136"/>
      <x:c r="F23" s="136"/>
    </x:row>
    <x:row r="24" ht="33" customHeight="1">
      <x:c r="A24" s="132" t="n">
        <x:v>19</x:v>
      </x:c>
      <x:c r="B24" s="136" t="str">
        <x:v>PS/2 datapath: count bytes, not bits</x:v>
      </x:c>
      <x:c r="C24" s="64" t="n">
        <x:v>46236</x:v>
      </x:c>
      <x:c r="D24" s="132" t="str">
        <x:v>Not Started</x:v>
      </x:c>
      <x:c r="E24" s="136"/>
      <x:c r="F24" s="136"/>
    </x:row>
    <x:row r="25" ht="33" customHeight="1">
      <x:c r="A25" s="132" t="n">
        <x:v>20</x:v>
      </x:c>
      <x:c r="B25" s="136" t="str">
        <x:v>HDLC recognition: decode from the correct run-length state</x:v>
      </x:c>
      <x:c r="C25" s="64" t="n">
        <x:v>46236</x:v>
      </x:c>
      <x:c r="D25" s="132" t="str">
        <x:v>Not Started</x:v>
      </x:c>
      <x:c r="E25" s="136"/>
      <x:c r="F25" s="136"/>
    </x:row>
    <x:row r="26" ht="33" customHeight="1">
      <x:c r="A26" s="132" t="n">
        <x:v>21</x:v>
      </x:c>
      <x:c r="B26" s="136" t="str">
        <x:v>Q3c: present-state vector vs next-state bit</x:v>
      </x:c>
      <x:c r="C26" s="64" t="n">
        <x:v>46236</x:v>
      </x:c>
      <x:c r="D26" s="132" t="str">
        <x:v>Not Started</x:v>
      </x:c>
      <x:c r="E26" s="136"/>
      <x:c r="F26" s="136"/>
    </x:row>
    <x:row r="27" ht="33" customHeight="1">
      <x:c r="A27" s="132" t="n">
        <x:v>22</x:v>
      </x:c>
      <x:c r="B27" s="136" t="str">
        <x:v>Q6c one-hot equations: use incoming arrows</x:v>
      </x:c>
      <x:c r="C27" s="64" t="n">
        <x:v>46236</x:v>
      </x:c>
      <x:c r="D27" s="132" t="str">
        <x:v>Not Started</x:v>
      </x:c>
      <x:c r="E27" s="136"/>
      <x:c r="F27" s="136"/>
    </x:row>
    <x:row r="28" ht="33" customHeight="1">
      <x:c r="A28" s="132" t="n">
        <x:v>23</x:v>
      </x:c>
      <x:c r="B28" s="136" t="str">
        <x:v>Review2015 one-hot: selected equations and unused-state warnings</x:v>
      </x:c>
      <x:c r="C28" s="64" t="n">
        <x:v>46236</x:v>
      </x:c>
      <x:c r="D28" s="132" t="str">
        <x:v>Not Started</x:v>
      </x:c>
      <x:c r="E28" s="136"/>
      <x:c r="F28" s="136"/>
    </x:row>
    <x:row r="29" ht="33" customHeight="1">
      <x:c r="A29" s="132" t="n">
        <x:v>24</x:v>
      </x:c>
      <x:c r="B29" s="136" t="str">
        <x:v>Conway Life: wrap the grid before counting neighbours</x:v>
      </x:c>
      <x:c r="C29" s="64" t="n">
        <x:v>46236</x:v>
      </x:c>
      <x:c r="D29" s="132" t="str">
        <x:v>Not Started</x:v>
      </x:c>
      <x:c r="E29" s="136"/>
      <x:c r="F29" s="136"/>
    </x:row>
  </x:sheetData>
  <x:mergeCells>
    <x:mergeCell ref="A1:F2"/>
    <x:mergeCell ref="A3:F3"/>
  </x:mergeCells>
  <x:conditionalFormatting sqref="D6:D29">
    <x:cfRule type="containsText" dxfId="28" priority="1" operator="containsText" text="Done"/>
    <x:cfRule type="containsText" dxfId="29" priority="2" operator="containsText" text="Needs Review"/>
    <x:cfRule type="containsText" dxfId="30" priority="3" operator="containsText" text="Not Started"/>
    <x:cfRule type="containsText" dxfId="55" priority="4" operator="containsText" text="Done"/>
    <x:cfRule type="containsText" dxfId="56" priority="5" operator="containsText" text="Needs Review"/>
    <x:cfRule type="containsText" dxfId="57" priority="6" operator="containsText" text="Not Started"/>
  </x:conditionalFormatting>
  <x:dataValidations count="1">
    <x:dataValidation type="list" sqref="D6:D29">
      <x:formula1>"Not Started,Done,Needs Review"</x:formula1>
    </x:dataValidation>
  </x:dataValidations>
  <x:pageMargins left="0.7" right="0.7" top="0.75" bottom="0.75" header="0.3" footer="0.3"/>
  <x:tableParts count="2">
    <x:tablePart xmlns:r="http://schemas.openxmlformats.org/officeDocument/2006/relationships" r:id="R0c33ce0997fa410d"/>
    <x:tablePart xmlns:r="http://schemas.openxmlformats.org/officeDocument/2006/relationships" r:id="R4bc8b95aa7d44c89"/>
  </x:tableParts>
</x:worksheet>
</file>