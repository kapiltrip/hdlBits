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f43b600efed474a" /></Relationships>
</file>

<file path=xl/workbook.xml><?xml version="1.0" encoding="utf-8"?>
<x:workbook xmlns:x="http://schemas.openxmlformats.org/spreadsheetml/2006/main">
  <x:sheets>
    <x:sheet xmlns:r="http://schemas.openxmlformats.org/officeDocument/2006/relationships" name="Summary" sheetId="1" r:id="Rff753c5e07404c55"/>
    <x:sheet xmlns:r="http://schemas.openxmlformats.org/officeDocument/2006/relationships" name="Tracker" sheetId="2" r:id="R2073de9ca2e24fe9"/>
  </x:sheets>
</x:workbook>
</file>

<file path=xl/sharedStrings.xml><?xml version="1.0" encoding="utf-8"?>
<x:sst xmlns:x="http://schemas.openxmlformats.org/spreadsheetml/2006/main">
  <x:si>
    <x:t xml:space="preserve">HDLBits Learning Tracker</x:t>
  </x:si>
  <x:si>
    <x:t xml:space="preserve">Completed</x:t>
  </x:si>
  <x:si>
    <x:t xml:space="preserve">Review</x:t>
  </x:si>
  <x:si>
    <x:t xml:space="preserve">To do</x:t>
  </x:si>
  <x:si>
    <x:t xml:space="preserve">Full series</x:t>
  </x:si>
  <x:si>
    <x:t xml:space="preserve">Current review</x:t>
  </x:si>
  <x:si>
    <x:t xml:space="preserve">Sequence audit: 178/178 HDLBits IDs match the live website order (CS450 excluded).</x:t>
  </x:si>
  <x:si>
    <x:t xml:space="preserve">Day</x:t>
  </x:si>
  <x:si>
    <x:t xml:space="preserve">Date</x:t>
  </x:si>
  <x:si>
    <x:t xml:space="preserve">Completed problems</x:t>
  </x:si>
  <x:si>
    <x:t xml:space="preserve">Major section</x:t>
  </x:si>
  <x:si>
    <x:t xml:space="preserve">Subsection</x:t>
  </x:si>
  <x:si>
    <x:t xml:space="preserve">Total</x:t>
  </x:si>
  <x:si>
    <x:t xml:space="preserve">Day 01</x:t>
  </x:si>
  <x:si>
    <x:t xml:space="preserve">Getting Started</x:t>
  </x:si>
  <x:si>
    <x:t xml:space="preserve">(all exercises)</x:t>
  </x:si>
  <x:si>
    <x:t xml:space="preserve">Day 02</x:t>
  </x:si>
  <x:si>
    <x:t xml:space="preserve">Verilog Language</x:t>
  </x:si>
  <x:si>
    <x:t xml:space="preserve">Basics</x:t>
  </x:si>
  <x:si>
    <x:t xml:space="preserve">Day 03</x:t>
  </x:si>
  <x:si>
    <x:t xml:space="preserve">Vectors</x:t>
  </x:si>
  <x:si>
    <x:t xml:space="preserve">Day 04</x:t>
  </x:si>
  <x:si>
    <x:t xml:space="preserve">Modules: Hierarchy</x:t>
  </x:si>
  <x:si>
    <x:t xml:space="preserve">Day 05</x:t>
  </x:si>
  <x:si>
    <x:t xml:space="preserve">Procedures</x:t>
  </x:si>
  <x:si>
    <x:t xml:space="preserve">Day 06</x:t>
  </x:si>
  <x:si>
    <x:t xml:space="preserve">More Verilog Features</x:t>
  </x:si>
  <x:si>
    <x:t xml:space="preserve">Day 07</x:t>
  </x:si>
  <x:si>
    <x:t xml:space="preserve">Circuits</x:t>
  </x:si>
  <x:si>
    <x:t xml:space="preserve">Combinational Logic → Basic Gates</x:t>
  </x:si>
  <x:si>
    <x:t xml:space="preserve">Day 08</x:t>
  </x:si>
  <x:si>
    <x:t xml:space="preserve">Combinational Logic → Multiplexers</x:t>
  </x:si>
  <x:si>
    <x:t xml:space="preserve">Day 09</x:t>
  </x:si>
  <x:si>
    <x:t xml:space="preserve">Combinational Logic → Arithmetic Circuits</x:t>
  </x:si>
  <x:si>
    <x:t xml:space="preserve">Combinational Logic → Karnaugh Map to Circuit</x:t>
  </x:si>
  <x:si>
    <x:t xml:space="preserve">Sequential Logic → Latches and Flip-Flops</x:t>
  </x:si>
  <x:si>
    <x:t xml:space="preserve">Sequential Logic → Counters</x:t>
  </x:si>
  <x:si>
    <x:t xml:space="preserve">Sequential Logic → Shift Registers</x:t>
  </x:si>
  <x:si>
    <x:t xml:space="preserve">Sequential Logic → More Circuits</x:t>
  </x:si>
  <x:si>
    <x:t xml:space="preserve">Sequential Logic → Finite State Machines</x:t>
  </x:si>
  <x:si>
    <x:t xml:space="preserve">Building Larger Circuits</x:t>
  </x:si>
  <x:si>
    <x:t xml:space="preserve">Verification: Reading Simulations</x:t>
  </x:si>
  <x:si>
    <x:t xml:space="preserve">Finding bugs in code</x:t>
  </x:si>
  <x:si>
    <x:t xml:space="preserve">Build a circuit from a simulation waveform</x:t>
  </x:si>
  <x:si>
    <x:t xml:space="preserve">Verification: Writing Testbenches</x:t>
  </x:si>
  <x:si>
    <x:t xml:space="preserve">HDLBits Course Sequence and Revision Log</x:t>
  </x:si>
  <x:si>
    <x:t xml:space="preserve">Website #</x:t>
  </x:si>
  <x:si>
    <x:t xml:space="preserve">Archive #</x:t>
  </x:si>
  <x:si>
    <x:t xml:space="preserve">Problem</x:t>
  </x:si>
  <x:si>
    <x:t xml:space="preserve">HDLBits ID</x:t>
  </x:si>
  <x:si>
    <x:t xml:space="preserve">Status</x:t>
  </x:si>
  <x:si>
    <x:t xml:space="preserve">Submission date</x:t>
  </x:si>
  <x:si>
    <x:t xml:space="preserve">Submission time</x:t>
  </x:si>
  <x:si>
    <x:t xml:space="preserve">Total attempts</x:t>
  </x:si>
  <x:si>
    <x:t xml:space="preserve">Incorrect</x:t>
  </x:si>
  <x:si>
    <x:t xml:space="preserve">Compile errors</x:t>
  </x:si>
  <x:si>
    <x:t xml:space="preserve">Simulation errors</x:t>
  </x:si>
  <x:si>
    <x:t xml:space="preserve">Success rate</x:t>
  </x:si>
  <x:si>
    <x:t xml:space="preserve">Problem note</x:t>
  </x:si>
  <x:si>
    <x:t xml:space="preserve">Screenshot</x:t>
  </x:si>
  <x:si>
    <x:t xml:space="preserve">Verilog solution</x:t>
  </x:si>
  <x:si>
    <x:t xml:space="preserve">HDLBits page</x:t>
  </x:si>
  <x:si>
    <x:t xml:space="preserve">What the problem asks</x:t>
  </x:si>
  <x:si>
    <x:t xml:space="preserve">What I learned</x:t>
  </x:si>
  <x:si>
    <x:t xml:space="preserve">SECTION · Getting Started</x:t>
  </x:si>
  <x:si>
    <x:t xml:space="preserve">SECTION · Verilog Language</x:t>
  </x:si>
  <x:si>
    <x:t xml:space="preserve">SUBSECTION · Basics</x:t>
  </x:si>
  <x:si>
    <x:t xml:space="preserve">Simple wire</x:t>
  </x:si>
  <x:si>
    <x:t xml:space="preserve">wire</x:t>
  </x:si>
  <x:si>
    <x:t xml:space="preserve">5:47:07 PM</x:t>
  </x:si>
  <x:si>
    <x:t xml:space="preserve">Connect the single input directly to the output so the module behaves exactly like a wire.</x:t>
  </x:si>
  <x:si>
    <x:t xml:space="preserve">Four wires</x:t>
  </x:si>
  <x:si>
    <x:t xml:space="preserve">wire4</x:t>
  </x:si>
  <x:si>
    <x:t xml:space="preserve">5:50:30 PM</x:t>
  </x:si>
  <x:si>
    <x:t xml:space="preserve">Create the requested one-to-one and fan-out wire connections between the named inputs and outputs.</x:t>
  </x:si>
  <x:si>
    <x:t xml:space="preserve">Inverter</x:t>
  </x:si>
  <x:si>
    <x:t xml:space="preserve">notgate</x:t>
  </x:si>
  <x:si>
    <x:t xml:space="preserve">5:52:19 PM</x:t>
  </x:si>
  <x:si>
    <x:t xml:space="preserve">Drive the output with the logical inverse of the input, implementing a NOT gate.</x:t>
  </x:si>
  <x:si>
    <x:t xml:space="preserve">AND gate</x:t>
  </x:si>
  <x:si>
    <x:t xml:space="preserve">andgate</x:t>
  </x:si>
  <x:si>
    <x:t xml:space="preserve">12:29:06 AM</x:t>
  </x:si>
  <x:si>
    <x:t xml:space="preserve">Produce an output that is high only when both input signals are high.</x:t>
  </x:si>
  <x:si>
    <x:t xml:space="preserve">NOR gate</x:t>
  </x:si>
  <x:si>
    <x:t xml:space="preserve">norgate</x:t>
  </x:si>
  <x:si>
    <x:t xml:space="preserve">12:32:05 AM</x:t>
  </x:si>
  <x:si>
    <x:t xml:space="preserve">Implement a NOR gate: OR the inputs and invert the result.</x:t>
  </x:si>
  <x:si>
    <x:t xml:space="preserve">XNOR gate</x:t>
  </x:si>
  <x:si>
    <x:t xml:space="preserve">xnorgate</x:t>
  </x:si>
  <x:si>
    <x:t xml:space="preserve">12:33:10 AM</x:t>
  </x:si>
  <x:si>
    <x:t xml:space="preserve">Implement an XNOR gate whose output is high when the two inputs have equal values.</x:t>
  </x:si>
  <x:si>
    <x:t xml:space="preserve">Declaring wires</x:t>
  </x:si>
  <x:si>
    <x:t xml:space="preserve">wire_decl</x:t>
  </x:si>
  <x:si>
    <x:t xml:space="preserve">12:35:55 AM</x:t>
  </x:si>
  <x:si>
    <x:t xml:space="preserve">Declare intermediate wires and connect the supplied gates so the module matches the shown circuit diagram.</x:t>
  </x:si>
  <x:si>
    <x:t xml:space="preserve">7458 chip</x:t>
  </x:si>
  <x:si>
    <x:t xml:space="preserve">7458</x:t>
  </x:si>
  <x:si>
    <x:t xml:space="preserve">6:15:38 PM</x:t>
  </x:si>
  <x:si>
    <x:t xml:space="preserve">Recreate the 7458-style sum-of-products circuit by combining several AND terms into two OR outputs.</x:t>
  </x:si>
  <x:si>
    <x:t xml:space="preserve">SUBSECTION · Vectors</x:t>
  </x:si>
  <x:si>
    <x:t xml:space="preserve">vector0</x:t>
  </x:si>
  <x:si>
    <x:t xml:space="preserve">6:24:20 PM</x:t>
  </x:si>
  <x:si>
    <x:t xml:space="preserve">Declare vector ports with the required widths and connect the complete input bus to the output bus.</x:t>
  </x:si>
  <x:si>
    <x:t xml:space="preserve">Vectors in more detail</x:t>
  </x:si>
  <x:si>
    <x:t xml:space="preserve">vector1</x:t>
  </x:si>
  <x:si>
    <x:t xml:space="preserve">9:45:09 PM</x:t>
  </x:si>
  <x:si>
    <x:t xml:space="preserve">Practice vector declarations, bit ordering, and selecting individual bits from buses with different index directions.</x:t>
  </x:si>
  <x:si>
    <x:t xml:space="preserve">Vector part select</x:t>
  </x:si>
  <x:si>
    <x:t xml:space="preserve">vector2</x:t>
  </x:si>
  <x:si>
    <x:t xml:space="preserve">9:56:38 PM</x:t>
  </x:si>
  <x:si>
    <x:t xml:space="preserve">Split a 16-bit input vector into its upper and lower 8-bit halves and route them to separate outputs.</x:t>
  </x:si>
  <x:si>
    <x:t xml:space="preserve">Bitwise operators</x:t>
  </x:si>
  <x:si>
    <x:t xml:space="preserve">vectorgates</x:t>
  </x:si>
  <x:si>
    <x:t xml:space="preserve">10:04:38 PM</x:t>
  </x:si>
  <x:si>
    <x:t xml:space="preserve">Apply bitwise OR, logical OR, and bitwise inversion to vectors so their different behaviours are visible.</x:t>
  </x:si>
  <x:si>
    <x:t xml:space="preserve">Four-input gates</x:t>
  </x:si>
  <x:si>
    <x:t xml:space="preserve">gates4</x:t>
  </x:si>
  <x:si>
    <x:t xml:space="preserve">10:24:24 PM</x:t>
  </x:si>
  <x:si>
    <x:t xml:space="preserve">Use reduction operators to compute one-bit AND, OR, and XOR results across all four input bits.</x:t>
  </x:si>
  <x:si>
    <x:t xml:space="preserve">Vector concatenation operator</x:t>
  </x:si>
  <x:si>
    <x:t xml:space="preserve">vector3</x:t>
  </x:si>
  <x:si>
    <x:t xml:space="preserve">10:56:44 PM</x:t>
  </x:si>
  <x:si>
    <x:t xml:space="preserve">Use concatenation to regroup the input vectors and assign the requested output vectors in the specified bit order.</x:t>
  </x:si>
  <x:si>
    <x:t xml:space="preserve">Vector reversal 1</x:t>
  </x:si>
  <x:si>
    <x:t xml:space="preserve">vectorr</x:t>
  </x:si>
  <x:si>
    <x:t xml:space="preserve">11:34:51 PM</x:t>
  </x:si>
  <x:si>
    <x:t xml:space="preserve">Reverse the bit order of the input vector so the most-significant and least-significant positions swap.</x:t>
  </x:si>
  <x:si>
    <x:t xml:space="preserve">Replication operator</x:t>
  </x:si>
  <x:si>
    <x:t xml:space="preserve">vector4</x:t>
  </x:si>
  <x:si>
    <x:t xml:space="preserve">11:49:31 PM</x:t>
  </x:si>
  <x:si>
    <x:t xml:space="preserve">Use the replication operator to repeat a bit pattern and form the required wider output vector.</x:t>
  </x:si>
  <x:si>
    <x:t xml:space="preserve">More replication</x:t>
  </x:si>
  <x:si>
    <x:t xml:space="preserve">vector5</x:t>
  </x:si>
  <x:si>
    <x:t xml:space="preserve">12:26:24 AM</x:t>
  </x:si>
  <x:si>
    <x:t xml:space="preserve">Combine replication and concatenation to build widened vectors and compare them bit by bit.</x:t>
  </x:si>
  <x:si>
    <x:t xml:space="preserve">SUBSECTION · Modules: Hierarchy</x:t>
  </x:si>
  <x:si>
    <x:t xml:space="preserve">Modules</x:t>
  </x:si>
  <x:si>
    <x:t xml:space="preserve">module</x:t>
  </x:si>
  <x:si>
    <x:t xml:space="preserve">1:24:31 PM</x:t>
  </x:si>
  <x:si>
    <x:t xml:space="preserve">Instantiate the provided submodule and connect its input and output ports to the top-level module.</x:t>
  </x:si>
  <x:si>
    <x:t xml:space="preserve">Connecting ports by position</x:t>
  </x:si>
  <x:si>
    <x:t xml:space="preserve">module_pos</x:t>
  </x:si>
  <x:si>
    <x:t xml:space="preserve">1:28:26 PM</x:t>
  </x:si>
  <x:si>
    <x:t xml:space="preserve">Instantiate a module and connect its ports by position, keeping the connection order exactly correct.</x:t>
  </x:si>
  <x:si>
    <x:t xml:space="preserve">Connecting ports by name</x:t>
  </x:si>
  <x:si>
    <x:t xml:space="preserve">module_name</x:t>
  </x:si>
  <x:si>
    <x:t xml:space="preserve">1:31:10 PM</x:t>
  </x:si>
  <x:si>
    <x:t xml:space="preserve">Instantiate a module and connect its ports by name so each signal is matched explicitly.</x:t>
  </x:si>
  <x:si>
    <x:t xml:space="preserve">Three modules</x:t>
  </x:si>
  <x:si>
    <x:t xml:space="preserve">module_shift</x:t>
  </x:si>
  <x:si>
    <x:t xml:space="preserve">1:37:32 PM</x:t>
  </x:si>
  <x:si>
    <x:t xml:space="preserve">Chain three copies of the provided module so each stage feeds the next stage.</x:t>
  </x:si>
  <x:si>
    <x:t xml:space="preserve">Modules and vectors</x:t>
  </x:si>
  <x:si>
    <x:t xml:space="preserve">module_shift8</x:t>
  </x:si>
  <x:si>
    <x:t xml:space="preserve">1:53:37 PM</x:t>
  </x:si>
  <x:si>
    <x:t xml:space="preserve">Instantiate the supplied 8-bit module and connect vector signals correctly through the hierarchy.</x:t>
  </x:si>
  <x:si>
    <x:t xml:space="preserve">Adder 1</x:t>
  </x:si>
  <x:si>
    <x:t xml:space="preserve">module_add</x:t>
  </x:si>
  <x:si>
    <x:t xml:space="preserve">2:03:55 PM</x:t>
  </x:si>
  <x:si>
    <x:t xml:space="preserve">Instantiate two 16-bit adders to create a 32-bit adder, propagating the carry between the lower and upper halves.</x:t>
  </x:si>
  <x:si>
    <x:t xml:space="preserve">Adder 2</x:t>
  </x:si>
  <x:si>
    <x:t xml:space="preserve">module_fadd</x:t>
  </x:si>
  <x:si>
    <x:t xml:space="preserve">2:44:10 PM</x:t>
  </x:si>
  <x:si>
    <x:t xml:space="preserve">Build a ripple-carry adder from full-adder instances and expose the carry produced by every bit position.</x:t>
  </x:si>
  <x:si>
    <x:t xml:space="preserve">Carry-select adder</x:t>
  </x:si>
  <x:si>
    <x:t xml:space="preserve">module_cseladd</x:t>
  </x:si>
  <x:si>
    <x:t xml:space="preserve">3:06:09 PM</x:t>
  </x:si>
  <x:si>
    <x:t xml:space="preserve">Build a carry-select adder by computing both possible upper sums and selecting the correct one using the lower carry.</x:t>
  </x:si>
  <x:si>
    <x:t xml:space="preserve">Adder-subtractor</x:t>
  </x:si>
  <x:si>
    <x:t xml:space="preserve">module_addsub</x:t>
  </x:si>
  <x:si>
    <x:t xml:space="preserve">3:21:30 PM</x:t>
  </x:si>
  <x:si>
    <x:t xml:space="preserve">Create an adder-subtractor by conditionally inverting one operand and using the mode signal as the initial carry-in.</x:t>
  </x:si>
  <x:si>
    <x:t xml:space="preserve">SUBSECTION · Procedures</x:t>
  </x:si>
  <x:si>
    <x:t xml:space="preserve">Always blocks (combinational)</x:t>
  </x:si>
  <x:si>
    <x:t xml:space="preserve">alwaysblock1</x:t>
  </x:si>
  <x:si>
    <x:t xml:space="preserve">3:23:21 PM</x:t>
  </x:si>
  <x:si>
    <x:t xml:space="preserve">Describe the same combinational logic with both a continuous assignment and an always block.</x:t>
  </x:si>
  <x:si>
    <x:t xml:space="preserve">Always blocks (clocked)</x:t>
  </x:si>
  <x:si>
    <x:t xml:space="preserve">alwaysblock2</x:t>
  </x:si>
  <x:si>
    <x:t xml:space="preserve">3:25:20 PM</x:t>
  </x:si>
  <x:si>
    <x:t xml:space="preserve">Describe clocked storage in an always block so the output captures the input on each active clock edge.</x:t>
  </x:si>
  <x:si>
    <x:t xml:space="preserve">If statement</x:t>
  </x:si>
  <x:si>
    <x:t xml:space="preserve">always_if</x:t>
  </x:si>
  <x:si>
    <x:t xml:space="preserve">3:30:54 PM</x:t>
  </x:si>
  <x:si>
    <x:t xml:space="preserve">Use an if/else statement in combinational logic to implement the requested multiplexer behaviour.</x:t>
  </x:si>
  <x:si>
    <x:t xml:space="preserve">If statement latches</x:t>
  </x:si>
  <x:si>
    <x:t xml:space="preserve">always_if2</x:t>
  </x:si>
  <x:si>
    <x:t xml:space="preserve">4:18:47 PM</x:t>
  </x:si>
  <x:si>
    <x:t xml:space="preserve">Correct an incomplete combinational if statement by assigning every output on every path and thereby avoiding latches.</x:t>
  </x:si>
  <x:si>
    <x:t xml:space="preserve">Case statement</x:t>
  </x:si>
  <x:si>
    <x:t xml:space="preserve">always_case</x:t>
  </x:si>
  <x:si>
    <x:t xml:space="preserve">4:22:44 PM</x:t>
  </x:si>
  <x:si>
    <x:t xml:space="preserve">Use a case statement to select one of several input values according to the selector.</x:t>
  </x:si>
  <x:si>
    <x:t xml:space="preserve">Priority encoder</x:t>
  </x:si>
  <x:si>
    <x:t xml:space="preserve">always_case2</x:t>
  </x:si>
  <x:si>
    <x:t xml:space="preserve">5:09:06 PM</x:t>
  </x:si>
  <x:si>
    <x:t xml:space="preserve">Implement a priority encoder whose output identifies the highest-priority asserted input bit.</x:t>
  </x:si>
  <x:si>
    <x:t xml:space="preserve">Priority encoder with casez</x:t>
  </x:si>
  <x:si>
    <x:t xml:space="preserve">always_casez</x:t>
  </x:si>
  <x:si>
    <x:t xml:space="preserve">5:44:37 PM</x:t>
  </x:si>
  <x:si>
    <x:t xml:space="preserve">Implement the priority encoder compactly with casez patterns and don't-care bits.</x:t>
  </x:si>
  <x:si>
    <x:t xml:space="preserve">Avoiding latches</x:t>
  </x:si>
  <x:si>
    <x:t xml:space="preserve">always_nolatches</x:t>
  </x:si>
  <x:si>
    <x:t xml:space="preserve">6:00:14 PM</x:t>
  </x:si>
  <x:si>
    <x:t xml:space="preserve">Complete the combinational case logic with safe defaults so no output retains an old value or infers a latch.</x:t>
  </x:si>
  <x:si>
    <x:t xml:space="preserve">SUBSECTION · More Verilog Features</x:t>
  </x:si>
  <x:si>
    <x:t xml:space="preserve">Conditional ternary operator</x:t>
  </x:si>
  <x:si>
    <x:t xml:space="preserve">conditional</x:t>
  </x:si>
  <x:si>
    <x:t xml:space="preserve">6:09:15 PM</x:t>
  </x:si>
  <x:si>
    <x:t xml:space="preserve">Use nested ternary operators to select the smallest unsigned value from several inputs.</x:t>
  </x:si>
  <x:si>
    <x:t xml:space="preserve">Reduction operators</x:t>
  </x:si>
  <x:si>
    <x:t xml:space="preserve">reduction</x:t>
  </x:si>
  <x:si>
    <x:t xml:space="preserve">6:14:36 PM</x:t>
  </x:si>
  <x:si>
    <x:t xml:space="preserve">Compare bitwise and reduction operators by producing per-bit results and single-bit reductions from two vectors.</x:t>
  </x:si>
  <x:si>
    <x:t xml:space="preserve">Reduction: Even wider gates</x:t>
  </x:si>
  <x:si>
    <x:t xml:space="preserve">gates100</x:t>
  </x:si>
  <x:si>
    <x:t xml:space="preserve">6:17:42 PM</x:t>
  </x:si>
  <x:si>
    <x:t xml:space="preserve">Apply reduction operators across a 100-bit vector to implement very wide AND, OR, and XOR gates.</x:t>
  </x:si>
  <x:si>
    <x:t xml:space="preserve">Combinational for-loop: Vector reversal 2</x:t>
  </x:si>
  <x:si>
    <x:t xml:space="preserve">vector100r</x:t>
  </x:si>
  <x:si>
    <x:t xml:space="preserve">6:22:35 PM</x:t>
  </x:si>
  <x:si>
    <x:t xml:space="preserve">Use a combinational for loop to reverse all 100 bits of a vector.</x:t>
  </x:si>
  <x:si>
    <x:t xml:space="preserve">Combinational for-loop: 255-bit population count</x:t>
  </x:si>
  <x:si>
    <x:t xml:space="preserve">popcount255</x:t>
  </x:si>
  <x:si>
    <x:t xml:space="preserve">6:39:46 PM</x:t>
  </x:si>
  <x:si>
    <x:t xml:space="preserve">Count how many bits are high in a 255-bit input vector using combinational accumulation.</x:t>
  </x:si>
  <x:si>
    <x:t xml:space="preserve">Generate for-loop: 100-bit binary adder 2</x:t>
  </x:si>
  <x:si>
    <x:t xml:space="preserve">adder100i</x:t>
  </x:si>
  <x:si>
    <x:t xml:space="preserve">10:43:46 PM</x:t>
  </x:si>
  <x:si>
    <x:t xml:space="preserve">Generate a 100-bit ripple-carry adder and return both the sum and the carry from every bit stage.</x:t>
  </x:si>
  <x:si>
    <x:t xml:space="preserve">Generate for-loop: 100-digit BCD adder</x:t>
  </x:si>
  <x:si>
    <x:t xml:space="preserve">bcdadd100</x:t>
  </x:si>
  <x:si>
    <x:t xml:space="preserve">12:00:14 AM</x:t>
  </x:si>
  <x:si>
    <x:t xml:space="preserve">Chain 100 one-digit BCD adders to add two 100-digit decimal numbers with carry propagation.</x:t>
  </x:si>
  <x:si>
    <x:t xml:space="preserve">SECTION · Circuits</x:t>
  </x:si>
  <x:si>
    <x:t xml:space="preserve">SUBSECTION · Combinational Logic → Basic Gates</x:t>
  </x:si>
  <x:si>
    <x:t xml:space="preserve">Wire</x:t>
  </x:si>
  <x:si>
    <x:t xml:space="preserve">exams/m2014_q4h</x:t>
  </x:si>
  <x:si>
    <x:t xml:space="preserve">11:31:58 PM</x:t>
  </x:si>
  <x:si>
    <x:t xml:space="preserve">Implement the shown circuit's output as a direct wire connection.</x:t>
  </x:si>
  <x:si>
    <x:t xml:space="preserve">GND</x:t>
  </x:si>
  <x:si>
    <x:t xml:space="preserve">exams/m2014_q4i</x:t>
  </x:si>
  <x:si>
    <x:t xml:space="preserve">11:32:26 PM</x:t>
  </x:si>
  <x:si>
    <x:t xml:space="preserve">Tie the requested output permanently low to represent ground.</x:t>
  </x:si>
  <x:si>
    <x:t xml:space="preserve">NOR</x:t>
  </x:si>
  <x:si>
    <x:t xml:space="preserve">exams/m2014_q4e</x:t>
  </x:si>
  <x:si>
    <x:t xml:space="preserve">11:33:43 PM</x:t>
  </x:si>
  <x:si>
    <x:t xml:space="preserve">Translate the shown gate symbol into the equivalent NOR logic expression.</x:t>
  </x:si>
  <x:si>
    <x:t xml:space="preserve">Another gate</x:t>
  </x:si>
  <x:si>
    <x:t xml:space="preserve">exams/m2014_q4f</x:t>
  </x:si>
  <x:si>
    <x:t xml:space="preserve">11:33:25 PM</x:t>
  </x:si>
  <x:si>
    <x:t xml:space="preserve">Identify the function of the shown gate circuit and express it correctly in Verilog.</x:t>
  </x:si>
  <x:si>
    <x:t xml:space="preserve">Two gates</x:t>
  </x:si>
  <x:si>
    <x:t xml:space="preserve">exams/m2014_q4g</x:t>
  </x:si>
  <x:si>
    <x:t xml:space="preserve">11:58:42 PM</x:t>
  </x:si>
  <x:si>
    <x:t xml:space="preserve">Translate the two-gate schematic into a single correct combinational output expression.</x:t>
  </x:si>
  <x:si>
    <x:t xml:space="preserve">More logic gates</x:t>
  </x:si>
  <x:si>
    <x:t xml:space="preserve">gates</x:t>
  </x:si>
  <x:si>
    <x:t xml:space="preserve">12:04:10 AM</x:t>
  </x:si>
  <x:si>
    <x:t xml:space="preserve">Implement several basic gates at once, including bitwise outputs and their logical complements.</x:t>
  </x:si>
  <x:si>
    <x:t xml:space="preserve">7420 chip</x:t>
  </x:si>
  <x:si>
    <x:t xml:space="preserve">7420</x:t>
  </x:si>
  <x:si>
    <x:t xml:space="preserve">12:05:55 AM</x:t>
  </x:si>
  <x:si>
    <x:t xml:space="preserve">Model a 7420 chip containing two independent four-input NAND gates.</x:t>
  </x:si>
  <x:si>
    <x:t xml:space="preserve">Truth tables</x:t>
  </x:si>
  <x:si>
    <x:t xml:space="preserve">truthtable1</x:t>
  </x:si>
  <x:si>
    <x:t xml:space="preserve">12:12:33 AM</x:t>
  </x:si>
  <x:si>
    <x:t xml:space="preserve">Convert the supplied truth table into combinational Verilog that produces the specified output for every input combination.</x:t>
  </x:si>
  <x:si>
    <x:t xml:space="preserve">Two-bit equality</x:t>
  </x:si>
  <x:si>
    <x:t xml:space="preserve">mt2015_eq2</x:t>
  </x:si>
  <x:si>
    <x:t xml:space="preserve">12:14:30 AM</x:t>
  </x:si>
  <x:si>
    <x:t xml:space="preserve">Compare two 2-bit inputs and assert the output only when both vectors are equal.</x:t>
  </x:si>
  <x:si>
    <x:t xml:space="preserve">Simple circuit A</x:t>
  </x:si>
  <x:si>
    <x:t xml:space="preserve">mt2015_q4a</x:t>
  </x:si>
  <x:si>
    <x:t xml:space="preserve">12:15:29 AM</x:t>
  </x:si>
  <x:si>
    <x:t xml:space="preserve">Implement the first small combinational circuit exactly as shown in the diagram.</x:t>
  </x:si>
  <x:si>
    <x:t xml:space="preserve">Simple circuit B</x:t>
  </x:si>
  <x:si>
    <x:t xml:space="preserve">mt2015_q4b</x:t>
  </x:si>
  <x:si>
    <x:t xml:space="preserve">12:16:24 AM</x:t>
  </x:si>
  <x:si>
    <x:t xml:space="preserve">Implement the second small combinational circuit exactly as shown in the diagram.</x:t>
  </x:si>
  <x:si>
    <x:t xml:space="preserve">Combine circuits A and B</x:t>
  </x:si>
  <x:si>
    <x:t xml:space="preserve">mt2015_q4</x:t>
  </x:si>
  <x:si>
    <x:t xml:space="preserve">12:33:06 AM</x:t>
  </x:si>
  <x:si>
    <x:t xml:space="preserve">Instantiate or combine circuits A and B so they operate together with the requested top-level connections.</x:t>
  </x:si>
  <x:si>
    <x:t xml:space="preserve">Ring or vibrate?</x:t>
  </x:si>
  <x:si>
    <x:t xml:space="preserve">ringer</x:t>
  </x:si>
  <x:si>
    <x:t xml:space="preserve">12:48:24 AM</x:t>
  </x:si>
  <x:si>
    <x:t xml:space="preserve">Choose whether a phone should ring or vibrate from the incoming-call and silent-mode control signals.</x:t>
  </x:si>
  <x:si>
    <x:t xml:space="preserve">Thermostat</x:t>
  </x:si>
  <x:si>
    <x:t xml:space="preserve">thermostat</x:t>
  </x:si>
  <x:si>
    <x:t xml:space="preserve">4:47:58 PM</x:t>
  </x:si>
  <x:si>
    <x:t xml:space="preserve">Implement the thermostat's heater, air-conditioner, and fan control rules from the temperature and mode inputs.</x:t>
  </x:si>
  <x:si>
    <x:t xml:space="preserve">3-bit population count</x:t>
  </x:si>
  <x:si>
    <x:t xml:space="preserve">popcount3</x:t>
  </x:si>
  <x:si>
    <x:t xml:space="preserve">12:58:42 AM</x:t>
  </x:si>
  <x:si>
    <x:t xml:space="preserve">Count the number of asserted bits in a 3-bit input and return that count as a binary value.</x:t>
  </x:si>
  <x:si>
    <x:t xml:space="preserve">Gates and vectors</x:t>
  </x:si>
  <x:si>
    <x:t xml:space="preserve">gatesv</x:t>
  </x:si>
  <x:si>
    <x:t xml:space="preserve">9:45:17 PM</x:t>
  </x:si>
  <x:si>
    <x:t xml:space="preserve">For two vectors, compute bitwise gate results and also indicate whether the vectors differ at any or every position.</x:t>
  </x:si>
  <x:si>
    <x:t xml:space="preserve">Even longer vectors</x:t>
  </x:si>
  <x:si>
    <x:t xml:space="preserve">gatesv100</x:t>
  </x:si>
  <x:si>
    <x:t xml:space="preserve">10:13:17 PM</x:t>
  </x:si>
  <x:si>
    <x:t xml:space="preserve">Extend the vector-gate comparison to 100-bit inputs, including per-bit outputs and wide reduction results.</x:t>
  </x:si>
  <x:si>
    <x:t xml:space="preserve">SUBSECTION · Combinational Logic → Multiplexers</x:t>
  </x:si>
  <x:si>
    <x:t xml:space="preserve">2-to-1 multiplexer</x:t>
  </x:si>
  <x:si>
    <x:t xml:space="preserve">mux2to1</x:t>
  </x:si>
  <x:si>
    <x:t xml:space="preserve">1:06:47 AM</x:t>
  </x:si>
  <x:si>
    <x:t xml:space="preserve">Implement a one-bit 2-to-1 multiplexer that selects one input according to the select signal.</x:t>
  </x:si>
  <x:si>
    <x:t xml:space="preserve">2-to-1 bus multiplexer</x:t>
  </x:si>
  <x:si>
    <x:t xml:space="preserve">mux2to1v</x:t>
  </x:si>
  <x:si>
    <x:t xml:space="preserve">1:07:52 AM</x:t>
  </x:si>
  <x:si>
    <x:t xml:space="preserve">Implement a 2-to-1 multiplexer that selects an entire vector rather than a single bit.</x:t>
  </x:si>
  <x:si>
    <x:t xml:space="preserve">9-to-1 multiplexer</x:t>
  </x:si>
  <x:si>
    <x:t xml:space="preserve">mux9to1v</x:t>
  </x:si>
  <x:si>
    <x:t xml:space="preserve">2:44:03 PM</x:t>
  </x:si>
  <x:si>
    <x:t xml:space="preserve">Select one of nine 16-bit inputs; produce the required default value when the selector is outside the valid range.</x:t>
  </x:si>
  <x:si>
    <x:t xml:space="preserve">256-to-1 multiplexer</x:t>
  </x:si>
  <x:si>
    <x:t xml:space="preserve">mux256to1</x:t>
  </x:si>
  <x:si>
    <x:t xml:space="preserve">2:42:55 PM</x:t>
  </x:si>
  <x:si>
    <x:t xml:space="preserve">Select one bit from a 256-bit input vector using an 8-bit selector as the index.</x:t>
  </x:si>
  <x:si>
    <x:t xml:space="preserve">256-to-1 4-bit multiplexer</x:t>
  </x:si>
  <x:si>
    <x:t xml:space="preserve">mux256to1v</x:t>
  </x:si>
  <x:si>
    <x:t xml:space="preserve">2:46:53 PM</x:t>
  </x:si>
  <x:si>
    <x:t xml:space="preserve">Select one 4-bit word from 256 packed words by calculating the correct vector slice from the selector.</x:t>
  </x:si>
  <x:si>
    <x:t xml:space="preserve">SUBSECTION · Combinational Logic → Arithmetic Circuits</x:t>
  </x:si>
  <x:si>
    <x:t xml:space="preserve">Half adder</x:t>
  </x:si>
  <x:si>
    <x:t xml:space="preserve">hadd</x:t>
  </x:si>
  <x:si>
    <x:t xml:space="preserve">3:25:33 PM</x:t>
  </x:si>
  <x:si>
    <x:t xml:space="preserve">Implement a half adder that produces a one-bit sum and carry from two input bits.</x:t>
  </x:si>
  <x:si>
    <x:t xml:space="preserve">Full adder</x:t>
  </x:si>
  <x:si>
    <x:t xml:space="preserve">fadd</x:t>
  </x:si>
  <x:si>
    <x:t xml:space="preserve">10:21:26 PM</x:t>
  </x:si>
  <x:si>
    <x:t xml:space="preserve">Implement a full adder that includes carry-in and produces both sum and carry-out.</x:t>
  </x:si>
  <x:si>
    <x:t xml:space="preserve">3-bit binary adder</x:t>
  </x:si>
  <x:si>
    <x:t xml:space="preserve">adder3</x:t>
  </x:si>
  <x:si>
    <x:t xml:space="preserve">3:24:38 PM</x:t>
  </x:si>
  <x:si>
    <x:t xml:space="preserve">Chain three full adders to add two 3-bit numbers and expose the intermediate carry signals.</x:t>
  </x:si>
  <x:si>
    <x:t xml:space="preserve">Adder</x:t>
  </x:si>
  <x:si>
    <x:t xml:space="preserve">exams/m2014_q4j</x:t>
  </x:si>
  <x:si>
    <x:t xml:space="preserve">3:20:07 PM</x:t>
  </x:si>
  <x:si>
    <x:t xml:space="preserve">Implement the adder circuit shown in the exam diagram with the requested sum and carry behaviour.</x:t>
  </x:si>
  <x:si>
    <x:t xml:space="preserve">Signed addition overflow</x:t>
  </x:si>
  <x:si>
    <x:t xml:space="preserve">exams/ece241_2014_q1c</x:t>
  </x:si>
  <x:si>
    <x:t xml:space="preserve">5:28:33 PM</x:t>
  </x:si>
  <x:si>
    <x:t xml:space="preserve">Add two signed values and assert overflow when the mathematical result cannot fit in the signed output width.</x:t>
  </x:si>
  <x:si>
    <x:t xml:space="preserve">100-bit binary adder</x:t>
  </x:si>
  <x:si>
    <x:t xml:space="preserve">adder100</x:t>
  </x:si>
  <x:si>
    <x:t xml:space="preserve">5:26:53 PM</x:t>
  </x:si>
  <x:si>
    <x:t xml:space="preserve">Implement a 100-bit combinational adder and return the final carry-out together with the sum.</x:t>
  </x:si>
  <x:si>
    <x:t xml:space="preserve">4-digit BCD adder</x:t>
  </x:si>
  <x:si>
    <x:t xml:space="preserve">bcdadd4</x:t>
  </x:si>
  <x:si>
    <x:t xml:space="preserve">5:16:55 PM</x:t>
  </x:si>
  <x:si>
    <x:t xml:space="preserve">Chain four BCD full adders to add two four-digit decimal values and propagate decimal carry between digits.</x:t>
  </x:si>
  <x:si>
    <x:t xml:space="preserve">SUBSECTION · Combinational Logic → Karnaugh Map to Circuit</x:t>
  </x:si>
  <x:si>
    <x:t xml:space="preserve">3-variable</x:t>
  </x:si>
  <x:si>
    <x:t xml:space="preserve">kmap1</x:t>
  </x:si>
  <x:si>
    <x:t xml:space="preserve">5:31:33 PM</x:t>
  </x:si>
  <x:si>
    <x:t xml:space="preserve">Derive and implement the simplified logic function represented by the supplied 3-variable Karnaugh map.</x:t>
  </x:si>
  <x:si>
    <x:t xml:space="preserve">4-variable</x:t>
  </x:si>
  <x:si>
    <x:t xml:space="preserve">kmap2</x:t>
  </x:si>
  <x:si>
    <x:t xml:space="preserve">5:35:18 PM</x:t>
  </x:si>
  <x:si>
    <x:t xml:space="preserve">Derive a minimal combinational expression from the supplied 4-variable Karnaugh map.</x:t>
  </x:si>
  <x:si>
    <x:t xml:space="preserve">kmap3</x:t>
  </x:si>
  <x:si>
    <x:t xml:space="preserve">3:39:22 PM</x:t>
  </x:si>
  <x:si>
    <x:t xml:space="preserve">Implement the 4-variable Karnaugh-map function while using the indicated don't-care cells for simplification.</x:t>
  </x:si>
  <x:si>
    <x:t xml:space="preserve">kmap4</x:t>
  </x:si>
  <x:si>
    <x:t xml:space="preserve">3:49:07 PM</x:t>
  </x:si>
  <x:si>
    <x:t xml:space="preserve">Translate the supplied 4-variable Karnaugh map into a correct simplified Verilog expression.</x:t>
  </x:si>
  <x:si>
    <x:t xml:space="preserve">Minimum SOP and POS</x:t>
  </x:si>
  <x:si>
    <x:t xml:space="preserve">exams/ece241_2013_q2</x:t>
  </x:si>
  <x:si>
    <x:t xml:space="preserve">6:04:35 PM</x:t>
  </x:si>
  <x:si>
    <x:t xml:space="preserve">Implement both the minimum sum-of-products and minimum product-of-sums forms for the given logic function.</x:t>
  </x:si>
  <x:si>
    <x:t xml:space="preserve">Karnaugh map</x:t>
  </x:si>
  <x:si>
    <x:t xml:space="preserve">exams/m2014_q3</x:t>
  </x:si>
  <x:si>
    <x:t xml:space="preserve">5:39:50 PM</x:t>
  </x:si>
  <x:si>
    <x:t xml:space="preserve">Simplify the exam Karnaugh map and implement the resulting combinational output.</x:t>
  </x:si>
  <x:si>
    <x:t xml:space="preserve">exams/2012_q1g</x:t>
  </x:si>
  <x:si>
    <x:t xml:space="preserve">10:17:24 PM</x:t>
  </x:si>
  <x:si>
    <x:t xml:space="preserve">Convert the supplied Karnaugh map, including any don't-care conditions, into simplified logic.</x:t>
  </x:si>
  <x:si>
    <x:t xml:space="preserve">K-map implemented with a multiplexer</x:t>
  </x:si>
  <x:si>
    <x:t xml:space="preserve">exams/ece241_2014_q3</x:t>
  </x:si>
  <x:si>
    <x:t xml:space="preserve">10:07:59 PM</x:t>
  </x:si>
  <x:si>
    <x:t xml:space="preserve">Implement the Karnaugh-map function using the specified multiplexer structure and input assignments.</x:t>
  </x:si>
  <x:si>
    <x:t xml:space="preserve">SUBSECTION · Sequential Logic → Latches and Flip-Flops</x:t>
  </x:si>
  <x:si>
    <x:t xml:space="preserve">D flip-flop</x:t>
  </x:si>
  <x:si>
    <x:t xml:space="preserve">dff</x:t>
  </x:si>
  <x:si>
    <x:t xml:space="preserve">10:21:47 PM</x:t>
  </x:si>
  <x:si>
    <x:t xml:space="preserve">Create a positive-edge-triggered D flip-flop that stores the input value on each rising clock edge.</x:t>
  </x:si>
  <x:si>
    <x:t xml:space="preserve">D flip-flops</x:t>
  </x:si>
  <x:si>
    <x:t xml:space="preserve">dff8</x:t>
  </x:si>
  <x:si>
    <x:t xml:space="preserve">10:22:47 PM</x:t>
  </x:si>
  <x:si>
    <x:t xml:space="preserve">Create eight D flip-flops in parallel so an entire 8-bit vector is registered on the rising clock edge.</x:t>
  </x:si>
  <x:si>
    <x:t xml:space="preserve">DFF with reset</x:t>
  </x:si>
  <x:si>
    <x:t xml:space="preserve">dff8r</x:t>
  </x:si>
  <x:si>
    <x:t xml:space="preserve">10:25:54 PM</x:t>
  </x:si>
  <x:si>
    <x:t xml:space="preserve">Add a synchronous reset to an 8-bit register so reset is sampled on the active clock edge.</x:t>
  </x:si>
  <x:si>
    <x:t xml:space="preserve">DFF with reset value</x:t>
  </x:si>
  <x:si>
    <x:t xml:space="preserve">dff8p</x:t>
  </x:si>
  <x:si>
    <x:t xml:space="preserve">10:28:00 PM</x:t>
  </x:si>
  <x:si>
    <x:t xml:space="preserve">Create an 8-bit register whose synchronous reset loads the specified non-zero reset value.</x:t>
  </x:si>
  <x:si>
    <x:t xml:space="preserve">DFF with asynchronous reset</x:t>
  </x:si>
  <x:si>
    <x:t xml:space="preserve">dff8ar</x:t>
  </x:si>
  <x:si>
    <x:t xml:space="preserve">10:29:11 PM</x:t>
  </x:si>
  <x:si>
    <x:t xml:space="preserve">Create an 8-bit register with asynchronous reset, allowing reset to change the output without waiting for a clock edge.</x:t>
  </x:si>
  <x:si>
    <x:t xml:space="preserve">DFF with byte enable</x:t>
  </x:si>
  <x:si>
    <x:t xml:space="preserve">dff16e</x:t>
  </x:si>
  <x:si>
    <x:t xml:space="preserve">10:53:33 PM</x:t>
  </x:si>
  <x:si>
    <x:t xml:space="preserve">Build a 16-bit register with synchronous reset and independent byte-enable controls for its upper and lower bytes.</x:t>
  </x:si>
  <x:si>
    <x:t xml:space="preserve">D Latch</x:t>
  </x:si>
  <x:si>
    <x:t xml:space="preserve">exams/m2014_q4a</x:t>
  </x:si>
  <x:si>
    <x:t xml:space="preserve">11:13:53 PM</x:t>
  </x:si>
  <x:si>
    <x:t xml:space="preserve">Model the level-sensitive D latch shown in the exam circuit.</x:t>
  </x:si>
  <x:si>
    <x:t xml:space="preserve">DFF</x:t>
  </x:si>
  <x:si>
    <x:t xml:space="preserve">exams/m2014_q4b</x:t>
  </x:si>
  <x:si>
    <x:t xml:space="preserve">10:43:06 PM</x:t>
  </x:si>
  <x:si>
    <x:t xml:space="preserve">Model the positive-edge-triggered D flip-flop shown in the exam circuit.</x:t>
  </x:si>
  <x:si>
    <x:t xml:space="preserve">exams/m2014_q4c</x:t>
  </x:si>
  <x:si>
    <x:t xml:space="preserve">10:56:24 PM</x:t>
  </x:si>
  <x:si>
    <x:t xml:space="preserve">Model the specified D flip-flop behaviour and its control connection from the diagram.</x:t>
  </x:si>
  <x:si>
    <x:t xml:space="preserve">DFF+gate</x:t>
  </x:si>
  <x:si>
    <x:t xml:space="preserve">exams/m2014_q4d</x:t>
  </x:si>
  <x:si>
    <x:t xml:space="preserve">11:16:12 PM</x:t>
  </x:si>
  <x:si>
    <x:t xml:space="preserve">Implement the shown combination of a D flip-flop and combinational gate.</x:t>
  </x:si>
  <x:si>
    <x:t xml:space="preserve">Mux and DFF</x:t>
  </x:si>
  <x:si>
    <x:t xml:space="preserve">mt2015_muxdff</x:t>
  </x:si>
  <x:si>
    <x:t xml:space="preserve">12:09:54 AM</x:t>
  </x:si>
  <x:si>
    <x:t xml:space="preserve">Implement the circuit in which a multiplexer chooses the value captured by a D flip-flop.</x:t>
  </x:si>
  <x:si>
    <x:t xml:space="preserve">exams/2014_q4a</x:t>
  </x:si>
  <x:si>
    <x:t xml:space="preserve">12:25:46 AM</x:t>
  </x:si>
  <x:si>
    <x:t xml:space="preserve">Translate the exam's multiplexer-and-DFF schematic into equivalent sequential Verilog.</x:t>
  </x:si>
  <x:si>
    <x:t xml:space="preserve">DFFs and gates</x:t>
  </x:si>
  <x:si>
    <x:t xml:space="preserve">exams/ece241_2014_q4</x:t>
  </x:si>
  <x:si>
    <x:t xml:space="preserve">12:00:31 AM</x:t>
  </x:si>
  <x:si>
    <x:t xml:space="preserve">Implement the shown network of D flip-flops and logic gates with the correct cycle-to-cycle behaviour.</x:t>
  </x:si>
  <x:si>
    <x:t xml:space="preserve">Create circuit from truth table</x:t>
  </x:si>
  <x:si>
    <x:t xml:space="preserve">exams/ece241_2013_q7</x:t>
  </x:si>
  <x:si>
    <x:t xml:space="preserve">2:12:29 PM</x:t>
  </x:si>
  <x:si>
    <x:t xml:space="preserve">Build the sequential circuit described by the state/output truth table, including its registered state.</x:t>
  </x:si>
  <x:si>
    <x:t xml:space="preserve">Detect an edge</x:t>
  </x:si>
  <x:si>
    <x:t xml:space="preserve">edgedetect</x:t>
  </x:si>
  <x:si>
    <x:t xml:space="preserve">2:28:20 PM</x:t>
  </x:si>
  <x:si>
    <x:t xml:space="preserve">Generate a one-cycle pulse whenever each input bit makes a 0-to-1 transition.</x:t>
  </x:si>
  <x:si>
    <x:t xml:space="preserve">Detect both edges</x:t>
  </x:si>
  <x:si>
    <x:t xml:space="preserve">edgedetect2</x:t>
  </x:si>
  <x:si>
    <x:t xml:space="preserve">2:31:22 PM</x:t>
  </x:si>
  <x:si>
    <x:t xml:space="preserve">Generate a one-cycle pulse whenever each input bit changes in either direction.</x:t>
  </x:si>
  <x:si>
    <x:t xml:space="preserve">Edge capture register</x:t>
  </x:si>
  <x:si>
    <x:t xml:space="preserve">edgecapture</x:t>
  </x:si>
  <x:si>
    <x:t xml:space="preserve">2:50:42 PM</x:t>
  </x:si>
  <x:si>
    <x:t xml:space="preserve">Set a register bit when a falling edge occurs and keep it set until a synchronous reset clears it.</x:t>
  </x:si>
  <x:si>
    <x:t xml:space="preserve">Dual-edge triggered flip-flop</x:t>
  </x:si>
  <x:si>
    <x:t xml:space="preserve">dualedge</x:t>
  </x:si>
  <x:si>
    <x:t xml:space="preserve">3:07:56 PM</x:t>
  </x:si>
  <x:si>
    <x:t xml:space="preserve">Emulate dual-edge-triggered storage using logic that captures data on both rising and falling clock edges.</x:t>
  </x:si>
  <x:si>
    <x:t xml:space="preserve">SUBSECTION · Sequential Logic → Counters</x:t>
  </x:si>
  <x:si>
    <x:t xml:space="preserve">Four-bit binary counter</x:t>
  </x:si>
  <x:si>
    <x:t xml:space="preserve">count15</x:t>
  </x:si>
  <x:si>
    <x:t xml:space="preserve">1:01:36 AM</x:t>
  </x:si>
  <x:si>
    <x:t xml:space="preserve">Implement a 4-bit binary counter with synchronous reset that naturally wraps after 15.</x:t>
  </x:si>
  <x:si>
    <x:t xml:space="preserve">Decade counter</x:t>
  </x:si>
  <x:si>
    <x:t xml:space="preserve">count10</x:t>
  </x:si>
  <x:si>
    <x:t xml:space="preserve">1:12:51 AM</x:t>
  </x:si>
  <x:si>
    <x:t xml:space="preserve">Implement a decade counter that counts from 0 through 9 and then wraps to 0.</x:t>
  </x:si>
  <x:si>
    <x:t xml:space="preserve">Decade counter again</x:t>
  </x:si>
  <x:si>
    <x:t xml:space="preserve">count1to10</x:t>
  </x:si>
  <x:si>
    <x:t xml:space="preserve">1:21:20 AM</x:t>
  </x:si>
  <x:si>
    <x:t xml:space="preserve">Implement the specified 1-to-10 decade count sequence with the required reset and enable behaviour.</x:t>
  </x:si>
  <x:si>
    <x:t xml:space="preserve">Slow decade counter</x:t>
  </x:si>
  <x:si>
    <x:t xml:space="preserve">countslow</x:t>
  </x:si>
  <x:si>
    <x:t xml:space="preserve">1:31:52 AM</x:t>
  </x:si>
  <x:si>
    <x:t xml:space="preserve">Create a decade counter that advances only when the slow-enable input is asserted.</x:t>
  </x:si>
  <x:si>
    <x:t xml:space="preserve">Counter 1-12</x:t>
  </x:si>
  <x:si>
    <x:t xml:space="preserve">exams/ece241_2014_q7a</x:t>
  </x:si>
  <x:si>
    <x:t xml:space="preserve">This problem does not ask for a new counter datapath. HDLBits supplies a four-bit counter and asks for the control signals that make it behave as a synchronous 1-through-12 counter. The datapath always loads the constant 1, so `c_d = 4'd1`. Its enable input follows the external enable, while its load input is asserted for either reset or the enabled rollover condition at Q=12.
Load has higher priority than enable inside the supplied `count4`. Therefore, when Q is 12 and enable is high, the same rising edge loads 1 instead of incrementing to 13. When Q is 12 and enable is low, neither load nor counting occurs, so the counter correctly holds 12. Reset forces `c_load` high independently of enable and synchronously loads 1 at the next rising edge.
**Control trace:** reset=1 loads 1; Q=7 with enable=1 advances to 8; Q=12 with enable=1 loads 1; Q=12 with enable=0 remains 12. A common error is making rollover depend only on Q=12, which would reload continuously even while the counter is disabled.</x:t>
  </x:si>
  <x:si>
    <x:t xml:space="preserve">Counter 1000</x:t>
  </x:si>
  <x:si>
    <x:t xml:space="preserve">exams/ece241_2014_q7b</x:t>
  </x:si>
  <x:si>
    <x:t xml:space="preserve">The 1000 Hz input is divided by cascading three synchronous decade counters. Every counter receives the same clock; the hierarchy is created entirely with enable pulses, so this is a synchronous design rather than a ripple-clock chain.
The least-significant decade runs every cycle, making `c_enable[0]=1`. The middle decade advances only while the least-significant digit is 9, and the most-significant decade advances only while both lower digits are 9. On the 999th terminal state all three enable conditions are active. The next rising edge rolls the digits to 000, so the terminal decode `msb==9 &amp;&amp; middle==9 &amp;&amp; lsb==9` is high for exactly one 1000 Hz cycle before that edge.
That one-cycle terminal decode is the requested `OneHertz` pulse. It repeats every 1000 input cycles, or once per second. The important design rule is that carry enables are combinational functions of the pre-edge digit values; registering them would delay the carry and corrupt the decimal sequence.</x:t>
  </x:si>
  <x:si>
    <x:t xml:space="preserve">4-digit decimal counter</x:t>
  </x:si>
  <x:si>
    <x:t xml:space="preserve">countbcd</x:t>
  </x:si>
  <x:si>
    <x:t xml:space="preserve">This is a four-digit synchronous BCD counter. Each four-bit digit stores only 0 through 9, and every digit is clocked by the same rising edge. The ones digit advances on every enabled cycle of the overall design. Each higher digit advances only when every less-significant digit is currently 9.
The enable outputs expose those carry conditions: `ena[1]` is high at x9, `ena[2]` at x99, and `ena[3]` at x999. Because nonblocking assignments evaluate their right-hand sides from the old state, the same edge that changes 0099 to 0100 sees both lower digits at 9, clears them, and increments the hundreds digit.
The output concatenation `{digit3,digit2,digit1,digit0}` places the thousands nibble in q[15:12] and the ones nibble in q[3:0]. Reset is synchronous and clears all four digits together. The key pitfall is checking an already-updated lower digit; synchronous carry must be derived from the values present immediately before the active edge.</x:t>
  </x:si>
  <x:si>
    <x:t xml:space="preserve">12-hour clock</x:t>
  </x:si>
  <x:si>
    <x:t xml:space="preserve">count_clock</x:t>
  </x:si>
  <x:si>
    <x:t xml:space="preserve">The clock contains six BCD digits plus one AM/PM state bit. The outer enable gates the entire time update, while synchronous reset has priority and loads the required 12:00:00 AM state. If enable is low, every register retains its previous value.
Seconds normally increment their ones nibble. At x9, the ones nibble clears and the tens nibble increments; at 59, the complete seconds byte clears and the same edge advances minutes. Minutes use the identical BCD rollover pattern. Only when both seconds and minutes are 59 does the hour update.
Hours require a non-decimal sequence: 01 through 12. The 09-to-10 transition uses the BCD nibble carry, 11 advances to 12 and toggles PM, and 12 rolls to 01 without toggling PM. This places the AM/PM transition at 11:59:59 to 12:00:00, not at 12:59:59 to 01:00:00.
All state changes use nonblocking assignments in one clocked process, so each decision observes the same pre-edge time. That property lets the nested terminal-count tests propagate a one-cycle carry from seconds through minutes into hours without generating derived clocks.</x:t>
  </x:si>
  <x:si>
    <x:t xml:space="preserve">SUBSECTION · Sequential Logic → Shift Registers</x:t>
  </x:si>
  <x:si>
    <x:t xml:space="preserve">4-bit shift register</x:t>
  </x:si>
  <x:si>
    <x:t xml:space="preserve">shift4</x:t>
  </x:si>
  <x:si>
    <x:t xml:space="preserve">4:10:18 PM</x:t>
  </x:si>
  <x:si>
    <x:t xml:space="preserve">Build a 4-bit shift register with the specified load/shift controls and expose the requested stage output.</x:t>
  </x:si>
  <x:si>
    <x:t xml:space="preserve">Left/right rotator</x:t>
  </x:si>
  <x:si>
    <x:t xml:space="preserve">rotate100</x:t>
  </x:si>
  <x:si>
    <x:t xml:space="preserve">4:23:55 PM</x:t>
  </x:si>
  <x:si>
    <x:t xml:space="preserve">Build a 100-bit register that can hold, load, rotate left, or rotate right according to the controls.</x:t>
  </x:si>
  <x:si>
    <x:t xml:space="preserve">Left/right arithmetic shift by 1 or 8</x:t>
  </x:si>
  <x:si>
    <x:t xml:space="preserve">shift18</x:t>
  </x:si>
  <x:si>
    <x:t xml:space="preserve">4:42:03 PM</x:t>
  </x:si>
  <x:si>
    <x:t xml:space="preserve">Build a 64-bit register that can load or perform left/right arithmetic shifts by either 1 or 8 positions.</x:t>
  </x:si>
  <x:si>
    <x:t xml:space="preserve">5-bit LFSR</x:t>
  </x:si>
  <x:si>
    <x:t xml:space="preserve">lfsr5</x:t>
  </x:si>
  <x:si>
    <x:t xml:space="preserve">5:21:13 PM</x:t>
  </x:si>
  <x:si>
    <x:t xml:space="preserve">Implement the specified 5-bit linear-feedback shift register using the given feedback taps and reset state.</x:t>
  </x:si>
  <x:si>
    <x:t xml:space="preserve">3-bit LFSR</x:t>
  </x:si>
  <x:si>
    <x:t xml:space="preserve">mt2015_lfsr</x:t>
  </x:si>
  <x:si>
    <x:t xml:space="preserve">11:37:29 PM</x:t>
  </x:si>
  <x:si>
    <x:t xml:space="preserve">Implement the shown 3-bit LFSR and reproduce its required feedback sequence.</x:t>
  </x:si>
  <x:si>
    <x:t xml:space="preserve">32-bit LFSR</x:t>
  </x:si>
  <x:si>
    <x:t xml:space="preserve">lfsr32</x:t>
  </x:si>
  <x:si>
    <x:t xml:space="preserve">11:03:20 PM</x:t>
  </x:si>
  <x:si>
    <x:t xml:space="preserve">Implement a 32-bit linear-feedback shift register with the specified tap positions.</x:t>
  </x:si>
  <x:si>
    <x:t xml:space="preserve">Shift register</x:t>
  </x:si>
  <x:si>
    <x:t xml:space="preserve">exams/m2014_q4k</x:t>
  </x:si>
  <x:si>
    <x:t xml:space="preserve">11:20:08 PM</x:t>
  </x:si>
  <x:si>
    <x:t xml:space="preserve">Translate the exam shift-register schematic into clocked Verilog with the same data movement.</x:t>
  </x:si>
  <x:si>
    <x:t xml:space="preserve">exams/2014_q4b</x:t>
  </x:si>
  <x:si>
    <x:t xml:space="preserve">12:13:30 AM</x:t>
  </x:si>
  <x:si>
    <x:t xml:space="preserve">Implement the shown shift register and its control logic exactly as specified by the exam circuit.</x:t>
  </x:si>
  <x:si>
    <x:t xml:space="preserve">3-input LUT</x:t>
  </x:si>
  <x:si>
    <x:t xml:space="preserve">exams/ece241_2013_q12</x:t>
  </x:si>
  <x:si>
    <x:t xml:space="preserve">12:36:42 AM</x:t>
  </x:si>
  <x:si>
    <x:t xml:space="preserve">Build a 3-input lookup table from a shift register and multiplexer so its truth table can be loaded serially.</x:t>
  </x:si>
  <x:si>
    <x:t xml:space="preserve">SUBSECTION · Sequential Logic → More Circuits</x:t>
  </x:si>
  <x:si>
    <x:t xml:space="preserve">Rule 90</x:t>
  </x:si>
  <x:si>
    <x:t xml:space="preserve">rule90</x:t>
  </x:si>
  <x:si>
    <x:t xml:space="preserve">To Do</x:t>
  </x:si>
  <x:si>
    <x:t xml:space="preserve">Not attempted yet. Read the HDLBits question, design the circuit or testbench, and obtain a successful submission.</x:t>
  </x:si>
  <x:si>
    <x:t xml:space="preserve">Rule 110</x:t>
  </x:si>
  <x:si>
    <x:t xml:space="preserve">rule110</x:t>
  </x:si>
  <x:si>
    <x:t xml:space="preserve">Conway's Game of Life 16x16</x:t>
  </x:si>
  <x:si>
    <x:t xml:space="preserve">conwaylife</x:t>
  </x:si>
  <x:si>
    <x:t xml:space="preserve">SUBSECTION · Sequential Logic → Finite State Machines</x:t>
  </x:si>
  <x:si>
    <x:t xml:space="preserve">Simple FSM 1 (asynchronous reset)</x:t>
  </x:si>
  <x:si>
    <x:t xml:space="preserve">fsm1</x:t>
  </x:si>
  <x:si>
    <x:t xml:space="preserve">1:04:37 AM</x:t>
  </x:si>
  <x:si>
    <x:t xml:space="preserve">Implement the provided two-state FSM, using an asynchronous reset and the diagram's transition and output rules.</x:t>
  </x:si>
  <x:si>
    <x:t xml:space="preserve">Simple FSM 1 (synchronous reset)</x:t>
  </x:si>
  <x:si>
    <x:t xml:space="preserve">fsm1s</x:t>
  </x:si>
  <x:si>
    <x:t xml:space="preserve">1:25:24 AM</x:t>
  </x:si>
  <x:si>
    <x:t xml:space="preserve">Implement the same two-state FSM with a synchronous reset instead of an asynchronous reset.</x:t>
  </x:si>
  <x:si>
    <x:t xml:space="preserve">Simple FSM 2 (asynchronous reset)</x:t>
  </x:si>
  <x:si>
    <x:t xml:space="preserve">fsm2</x:t>
  </x:si>
  <x:si>
    <x:t xml:space="preserve">1:59:48 AM</x:t>
  </x:si>
  <x:si>
    <x:t xml:space="preserve">Implement the second supplied finite-state machine, including its asynchronous reset, transitions, and output decoding.</x:t>
  </x:si>
  <x:si>
    <x:t xml:space="preserve">Simple FSM 2 (synchronous reset)</x:t>
  </x:si>
  <x:si>
    <x:t xml:space="preserve">fsm2s</x:t>
  </x:si>
  <x:si>
    <x:t xml:space="preserve">2:04:20 AM</x:t>
  </x:si>
  <x:si>
    <x:t xml:space="preserve">Implement the second FSM with a synchronous reset while preserving the transition and output behaviour.</x:t>
  </x:si>
  <x:si>
    <x:t xml:space="preserve">Simple state transitions 3</x:t>
  </x:si>
  <x:si>
    <x:t xml:space="preserve">fsm3comb</x:t>
  </x:si>
  <x:si>
    <x:t xml:space="preserve">2:15:08 AM</x:t>
  </x:si>
  <x:si>
    <x:t xml:space="preserve">Write only the combinational next-state logic for the supplied state-transition diagram.</x:t>
  </x:si>
  <x:si>
    <x:t xml:space="preserve">Simple one-hot state transitions 3</x:t>
  </x:si>
  <x:si>
    <x:t xml:space="preserve">fsm3onehot</x:t>
  </x:si>
  <x:si>
    <x:t xml:space="preserve">4:45:28 PM</x:t>
  </x:si>
  <x:si>
    <x:t xml:space="preserve">This problem gives the four-state Moore machine as a transition table, but supplies the current state as a one-hot vector instead of asking for a state register. The implementation therefore derives each bit of `next_state` from the incoming transitions to that state.</x:t>
  </x:si>
  <x:si>
    <x:t xml:space="preserve">Simple FSM 3 (asynchronous reset)</x:t>
  </x:si>
  <x:si>
    <x:t xml:space="preserve">fsm3</x:t>
  </x:si>
  <x:si>
    <x:t xml:space="preserve">5:05:31 PM</x:t>
  </x:si>
  <x:si>
    <x:t xml:space="preserve">This is the complete four-state Moore FSM whose combinational transition table was implemented in the preceding exercises. The design separates three concerns: combinational next-state decoding, the clocked state register, and Moore output decoding.</x:t>
  </x:si>
  <x:si>
    <x:t xml:space="preserve">Simple FSM 3 (synchronous reset)</x:t>
  </x:si>
  <x:si>
    <x:t xml:space="preserve">fsm3s</x:t>
  </x:si>
  <x:si>
    <x:t xml:space="preserve">5:07:35 PM</x:t>
  </x:si>
  <x:si>
    <x:t xml:space="preserve">This exercise uses the same A/B/C/D transition graph and Moore output as `fsm3`, but changes the reset timing. The transition decoder still computes A: 0→A/1→B, B: 0→C/1→B, C: 0→A/1→D, and D: 0→C/1→B, while `out` is high only when the registered state is D.</x:t>
  </x:si>
  <x:si>
    <x:t xml:space="preserve">Design a Moore FSM</x:t>
  </x:si>
  <x:si>
    <x:t xml:space="preserve">exams/ece241_2013_q4</x:t>
  </x:si>
  <x:si>
    <x:t xml:space="preserve">11:58:25 PM</x:t>
  </x:si>
  <x:si>
    <x:t xml:space="preserve">This problem is more than a water-level decoder: the outputs depend on both the current sensor pattern and whether the water level was rising or falling. That history requirement makes it a Moore FSM rather than pure combinational logic.</x:t>
  </x:si>
  <x:si>
    <x:t xml:space="preserve">Lemmings 1</x:t>
  </x:si>
  <x:si>
    <x:t xml:space="preserve">lemmings1</x:t>
  </x:si>
  <x:si>
    <x:t xml:space="preserve">6:32:59 PM</x:t>
  </x:si>
  <x:si>
    <x:t xml:space="preserve">The Lemming has only two Moore states: walking left and walking right. Direction changes occur only when an obstacle is encountered on the side toward which it is currently walking.</x:t>
  </x:si>
  <x:si>
    <x:t xml:space="preserve">Lemmings 2</x:t>
  </x:si>
  <x:si>
    <x:t xml:space="preserve">lemmings2</x:t>
  </x:si>
  <x:si>
    <x:t xml:space="preserve">Attempted but not yet solved. Review the latest captured draft, trace state transitions, and resubmit after correcting the falling-state logic.</x:t>
  </x:si>
  <x:si>
    <x:t xml:space="preserve">Lemmings 3</x:t>
  </x:si>
  <x:si>
    <x:t xml:space="preserve">lemmings3</x:t>
  </x:si>
  <x:si>
    <x:t xml:space="preserve">Lemmings 4</x:t>
  </x:si>
  <x:si>
    <x:t xml:space="preserve">lemmings4</x:t>
  </x:si>
  <x:si>
    <x:t xml:space="preserve">One-hot FSM</x:t>
  </x:si>
  <x:si>
    <x:t xml:space="preserve">fsm_onehot</x:t>
  </x:si>
  <x:si>
    <x:t xml:space="preserve">PS/2 packet parser</x:t>
  </x:si>
  <x:si>
    <x:t xml:space="preserve">fsm_ps2</x:t>
  </x:si>
  <x:si>
    <x:t xml:space="preserve">PS/2 packet parser and datapath</x:t>
  </x:si>
  <x:si>
    <x:t xml:space="preserve">fsm_ps2data</x:t>
  </x:si>
  <x:si>
    <x:t xml:space="preserve">Serial receiver</x:t>
  </x:si>
  <x:si>
    <x:t xml:space="preserve">fsm_serial</x:t>
  </x:si>
  <x:si>
    <x:t xml:space="preserve">Serial receiver and datapath</x:t>
  </x:si>
  <x:si>
    <x:t xml:space="preserve">fsm_serialdata</x:t>
  </x:si>
  <x:si>
    <x:t xml:space="preserve">Serial receiver with parity checking</x:t>
  </x:si>
  <x:si>
    <x:t xml:space="preserve">fsm_serialdp</x:t>
  </x:si>
  <x:si>
    <x:t xml:space="preserve">Sequence recognition</x:t>
  </x:si>
  <x:si>
    <x:t xml:space="preserve">fsm_hdlc</x:t>
  </x:si>
  <x:si>
    <x:t xml:space="preserve">Q8: Design a Mealy FSM</x:t>
  </x:si>
  <x:si>
    <x:t xml:space="preserve">exams/ece241_2013_q8</x:t>
  </x:si>
  <x:si>
    <x:t xml:space="preserve">12:02:40 AM</x:t>
  </x:si>
  <x:si>
    <x:t xml:space="preserve">Three-state Mealy detector for overlapping 101 with active-low asynchronous reset. State S10 plus input 1 asserts z in the detection cycle.</x:t>
  </x:si>
  <x:si>
    <x:t xml:space="preserve">Q5a: Serial two's complementer (Moore FSM)</x:t>
  </x:si>
  <x:si>
    <x:t xml:space="preserve">exams/ece241_2014_q5a</x:t>
  </x:si>
  <x:si>
    <x:t xml:space="preserve">Q5b: Serial two's complementer (Mealy FSM)</x:t>
  </x:si>
  <x:si>
    <x:t xml:space="preserve">exams/ece241_2014_q5b</x:t>
  </x:si>
  <x:si>
    <x:t xml:space="preserve">Q3a: FSM</x:t>
  </x:si>
  <x:si>
    <x:t xml:space="preserve">exams/2014_q3fsm</x:t>
  </x:si>
  <x:si>
    <x:t xml:space="preserve">Q3b: FSM</x:t>
  </x:si>
  <x:si>
    <x:t xml:space="preserve">exams/2014_q3bfsm</x:t>
  </x:si>
  <x:si>
    <x:t xml:space="preserve">Q3c: FSM logic</x:t>
  </x:si>
  <x:si>
    <x:t xml:space="preserve">exams/2014_q3c</x:t>
  </x:si>
  <x:si>
    <x:t xml:space="preserve">Q6b: FSM next-state logic</x:t>
  </x:si>
  <x:si>
    <x:t xml:space="preserve">exams/m2014_q6b</x:t>
  </x:si>
  <x:si>
    <x:t xml:space="preserve">Q6c: FSM one-hot next-state logic</x:t>
  </x:si>
  <x:si>
    <x:t xml:space="preserve">exams/m2014_q6c</x:t>
  </x:si>
  <x:si>
    <x:t xml:space="preserve">Q6: FSM</x:t>
  </x:si>
  <x:si>
    <x:t xml:space="preserve">exams/m2014_q6</x:t>
  </x:si>
  <x:si>
    <x:t xml:space="preserve">Q2a: FSM</x:t>
  </x:si>
  <x:si>
    <x:t xml:space="preserve">exams/2012_q2fsm</x:t>
  </x:si>
  <x:si>
    <x:t xml:space="preserve">Q2b: One-hot FSM equations</x:t>
  </x:si>
  <x:si>
    <x:t xml:space="preserve">exams/2012_q2b</x:t>
  </x:si>
  <x:si>
    <x:t xml:space="preserve">exams/2013_q2afsm</x:t>
  </x:si>
  <x:si>
    <x:t xml:space="preserve">Attempted but not yet solved. Review the arbiter state diagram, request priority rules, and grant-hold behavior before resubmitting.</x:t>
  </x:si>
  <x:si>
    <x:t xml:space="preserve">Q2b: Another FSM</x:t>
  </x:si>
  <x:si>
    <x:t xml:space="preserve">exams/2013_q2bfsm</x:t>
  </x:si>
  <x:si>
    <x:t xml:space="preserve">12:22:36 AM</x:t>
  </x:si>
  <x:si>
    <x:t xml:space="preserve">This controller combines a one-cycle start pulse, a serial sequence detector, a two-cycle deadline, and two absorbing terminal outcomes.</x:t>
  </x:si>
  <x:si>
    <x:t xml:space="preserve">SUBSECTION · Building Larger Circuits</x:t>
  </x:si>
  <x:si>
    <x:t xml:space="preserve">Counter with period 1000</x:t>
  </x:si>
  <x:si>
    <x:t xml:space="preserve">exams/review2015_count1k</x:t>
  </x:si>
  <x:si>
    <x:t xml:space="preserve">This design is a modulo-1000 synchronous counter. Its legal sequence is 0, 1, 2, ... 999, then back to 0, which gives exactly 1000 distinct states and therefore a period of 1000 clock cycles. Ten bits are required because nine bits can represent only 0 through 511, while ten bits can represent the terminal value 999.
The clocked process gives synchronous reset the highest priority. When reset is sampled high on a rising edge, the register becomes zero. Otherwise, the terminal-count comparison is evaluated using the old value: 999 loads zero, and every other value increments by one. A nonblocking assignment is appropriate because q represents registered state and changes only after the active clock edge.
The explicit terminal comparison is essential. Letting a 10-bit binary register overflow naturally would produce a modulo-1024 counter, so values 1000 through 1023 would incorrectly appear in the sequence. The separate internal register is connected continuously to q, although q could equivalently be declared as a register and updated directly.
**Boundary trace:** 998 advances to 999; 999 advances to 0; asserting reset while the count is 417 loads 0 at the next rising edge.</x:t>
  </x:si>
  <x:si>
    <x:t xml:space="preserve">4-bit shift register and down counter</x:t>
  </x:si>
  <x:si>
    <x:t xml:space="preserve">exams/review2015_shiftcount</x:t>
  </x:si>
  <x:si>
    <x:t xml:space="preserve">One four-bit register performs two different operations. When shift_ena is asserted, the existing bits move toward the most-significant end and the serial data bit enters bit 0 through {register[2:0], data}. Supplying a four-bit word most-significant bit first therefore reconstructs that word after four enabled shifts.
When count_ena is asserted, the same storage acts as a modulo-16 down counter. Values 15 through 1 decrement normally, while 0 explicitly wraps to 15. Four-bit subtraction would also wrap naturally, but the terminal branch makes the intended rollover unambiguous.
The specification guarantees that shift_ena and count_ena are never high together, so their relative priority is intentionally irrelevant. The saved solution uses two independent if statements to reflect that contract. If both controls were asserted despite the contract, the later nonblocking assignment would win; a production interface without the guarantee should instead define priority explicitly with if/else if.
With both controls low, no assignment occurs and the register holds its value. There is no reset input, so the environment must shift in a complete value before relying on the state.</x:t>
  </x:si>
  <x:si>
    <x:t xml:space="preserve">FSM: Sequence 1101 recognizer</x:t>
  </x:si>
  <x:si>
    <x:t xml:space="preserve">exams/review2015_fsmseq</x:t>
  </x:si>
  <x:si>
    <x:t xml:space="preserve">This Moore finite-state machine recognizes the serial bit pattern 1101 and then latches a permanent command to begin shifting. States S0 through S3 record how much of the target prefix has been matched: no useful prefix, 1, 11, and 110. DONE means the complete 1101 sequence has appeared.
The transitions preserve useful overlap. From S2 (the suffix 11), another 1 remains in S2 because the newest two bits are still 11; a 0 advances to S3. From S3, a 1 completes 1101 and enters DONE, while a 0 has no useful suffix and returns to S0. Earlier mismatches similarly return to the correct prefix state.
DONE is absorbing: both possible data values leave the machine in DONE. Therefore start_shifting, decoded solely from the registered state, stays asserted forever after recognition and can be cleared only by reset. Reset is synchronous because it is tested inside an always @(posedge clk) process rather than included in the sensitivity list.
**Example trace:** after reset, inputs 1,1,0,1 move S0→S1→S2→S3→DONE. The output becomes high after the edge accepting the final 1 and remains high on all later edges.</x:t>
  </x:si>
  <x:si>
    <x:t xml:space="preserve">FSM: Enable shift register</x:t>
  </x:si>
  <x:si>
    <x:t xml:space="preserve">exams/review2015_fsmshift</x:t>
  </x:si>
  <x:si>
    <x:t xml:space="preserve">This control circuit produces a pulse window measured in clock cycles rather than detecting a data pattern. A three-bit saturating counter records how many post-reset rising edges have occurred. Synchronous reset loads zero; while the value is below four, each later edge increments it; after reaching four, the missing assignment deliberately holds the state.
shift_ena is a Moore-style combinational decode of the registered count. It is high for count values 0, 1, 2, and 3, giving exactly four complete clock intervals, and becomes low when the fourth post-reset edge changes the count to 4. Saturation prevents the counter from wrapping back to zero and accidentally reasserting the enable after eight cycles.
Reset timing matters. Because reset is synchronous, asserting it between clock edges does not immediately modify count or the output. The next rising edge loads zero, after which the output is high and the four-cycle window starts again. No explicit else count &lt;= count assignment is needed in clocked logic: when no branch assigns the register, the flip-flops retain their previous value.
**Cycle trace:** reset edge→0/high, then successive edges produce 1/high, 2/high, 3/high, 4/low, followed by 4/low indefinitely until another reset edge.</x:t>
  </x:si>
  <x:si>
    <x:t xml:space="preserve">FSM: One-hot logic equations</x:t>
  </x:si>
  <x:si>
    <x:t xml:space="preserve">exams/review2015_fsmonehot</x:t>
  </x:si>
  <x:si>
    <x:t xml:space="preserve">SECTION · Verification: Reading Simulations</x:t>
  </x:si>
  <x:si>
    <x:t xml:space="preserve">SUBSECTION · Finding bugs in code</x:t>
  </x:si>
  <x:si>
    <x:t xml:space="preserve">Mux</x:t>
  </x:si>
  <x:si>
    <x:t xml:space="preserve">bugs_mux2</x:t>
  </x:si>
  <x:si>
    <x:t xml:space="preserve">12:54:12 AM</x:t>
  </x:si>
  <x:si>
    <x:t xml:space="preserve">The broken circuit mixed two independent mistakes: the output was declared as a scalar even though both data inputs are 8-bit buses, and the selection expression did not implement the required bus mux correctly.</x:t>
  </x:si>
  <x:si>
    <x:t xml:space="preserve">NAND</x:t>
  </x:si>
  <x:si>
    <x:t xml:space="preserve">bugs_nand3</x:t>
  </x:si>
  <x:si>
    <x:t xml:space="preserve">1:04:51 AM</x:t>
  </x:si>
  <x:si>
    <x:t xml:space="preserve">The required primitive is a five-input AND gate with positional port order `(out, a, b, c, d, e)`. To create a three-input AND, the unused inputs must be tied to the AND identity value 1, not 0. The intermediate `ando` is therefore `a &amp; b &amp; c &amp; 1 &amp; 1`.</x:t>
  </x:si>
  <x:si>
    <x:t xml:space="preserve">bugs_mux4</x:t>
  </x:si>
  <x:si>
    <x:t xml:space="preserve">1:01:34 AM</x:t>
  </x:si>
  <x:si>
    <x:t xml:space="preserve">A 4-to-1 bus multiplexer can be built as a two-level tree of the supplied 2-to-1 muxes. The first level uses `sel[0]` to choose A/B and C/D independently. The second level uses `sel[1]` to choose between those two intermediate buses.</x:t>
  </x:si>
  <x:si>
    <x:t xml:space="preserve">Add/sub</x:t>
  </x:si>
  <x:si>
    <x:t xml:space="preserve">bugs_addsubz</x:t>
  </x:si>
  <x:si>
    <x:t xml:space="preserve">1:31:18 AM</x:t>
  </x:si>
  <x:si>
    <x:t xml:space="preserve">The combinational block first computes either `a+b` or `a-b` according to `do_sub`, then derives `result_is_zero` from the newly computed `out`.</x:t>
  </x:si>
  <x:si>
    <x:t xml:space="preserve">bugs_case</x:t>
  </x:si>
  <x:si>
    <x:t xml:space="preserve">1:28:42 AM</x:t>
  </x:si>
  <x:si>
    <x:t xml:space="preserve">This decoder recognizes the PS/2 scan codes for decimal keys 0 through 9. Each recognized hexadecimal code assigns the corresponding 4-bit digit and asserts `valid`.</x:t>
  </x:si>
  <x:si>
    <x:t xml:space="preserve">SUBSECTION · Build a circuit from a simulation waveform</x:t>
  </x:si>
  <x:si>
    <x:t xml:space="preserve">Combinational circuit 1</x:t>
  </x:si>
  <x:si>
    <x:t xml:space="preserve">sim/circuit1</x:t>
  </x:si>
  <x:si>
    <x:t xml:space="preserve">1:33:25 AM</x:t>
  </x:si>
  <x:si>
    <x:t xml:space="preserve">The waveform shows a combinational AND function. Output `q` is high only during intervals in which both `a` and `b` are high, so the implementation is `q = a &amp; b`.</x:t>
  </x:si>
  <x:si>
    <x:t xml:space="preserve">Combinational circuit 2</x:t>
  </x:si>
  <x:si>
    <x:t xml:space="preserve">sim/circuit2</x:t>
  </x:si>
  <x:si>
    <x:t xml:space="preserve">3:19:03 PM</x:t>
  </x:si>
  <x:si>
    <x:t xml:space="preserve">The waveform corresponds to four-input even parity, implemented as the inverse of a four-way XOR: `q = ~(a ^ b ^ c ^ d)`.</x:t>
  </x:si>
  <x:si>
    <x:t xml:space="preserve">Combinational circuit 3</x:t>
  </x:si>
  <x:si>
    <x:t xml:space="preserve">sim/circuit3</x:t>
  </x:si>
  <x:si>
    <x:t xml:space="preserve">3:26:19 PM</x:t>
  </x:si>
  <x:si>
    <x:t xml:space="preserve">The submitted expression factors to `q = (a | b) &amp; (c | d)`. Thus at least one signal from the A/B pair and at least one signal from the C/D pair must be high.</x:t>
  </x:si>
  <x:si>
    <x:t xml:space="preserve">Combinational circuit 4</x:t>
  </x:si>
  <x:si>
    <x:t xml:space="preserve">sim/circuit4</x:t>
  </x:si>
  <x:si>
    <x:t xml:space="preserve">3:35:24 PM</x:t>
  </x:si>
  <x:si>
    <x:t xml:space="preserve">The waveform shows that only `b` and `c` affect the output. Q is high whenever either is high, giving `q = b | c`; inputs A and D are observable distractors with no functional influence.</x:t>
  </x:si>
  <x:si>
    <x:t xml:space="preserve">Combinational circuit 5</x:t>
  </x:si>
  <x:si>
    <x:t xml:space="preserve">sim/circuit5</x:t>
  </x:si>
  <x:si>
    <x:t xml:space="preserve">3:57:19 PM</x:t>
  </x:si>
  <x:si>
    <x:t xml:space="preserve">This circuit is a 4-bit lookup/multiplexer controlled by `c`. For selector values 0 through 3, Q chooses different input buses: 0→B, 1→E, 2→A, and 3→D. All other selector values produce `4'hf`.</x:t>
  </x:si>
  <x:si>
    <x:t xml:space="preserve">Combinational circuit 6</x:t>
  </x:si>
  <x:si>
    <x:t xml:space="preserve">sim/circuit6</x:t>
  </x:si>
  <x:si>
    <x:t xml:space="preserve">4:07:13 PM</x:t>
  </x:si>
  <x:si>
    <x:t xml:space="preserve">The waveform describes a small combinational ROM. The 3-bit address `a` selects one of eight fixed 16-bit words.</x:t>
  </x:si>
  <x:si>
    <x:t xml:space="preserve">Sequential circuit 7</x:t>
  </x:si>
  <x:si>
    <x:t xml:space="preserve">sim/circuit7</x:t>
  </x:si>
  <x:si>
    <x:t xml:space="preserve">2:20:37 PM</x:t>
  </x:si>
  <x:si>
    <x:t xml:space="preserve">This is a positive-edge-triggered register whose D input is the inverse of `a`. On each rising edge, `q &lt;= ~a`; between rising edges Q holds its previous value even if A changes.</x:t>
  </x:si>
  <x:si>
    <x:t xml:space="preserve">Sequential circuit 8</x:t>
  </x:si>
  <x:si>
    <x:t xml:space="preserve">sim/circuit8</x:t>
  </x:si>
  <x:si>
    <x:t xml:space="preserve">The waveform is reproduced by two level/edge-sensitive storage stages. P is a transparent-high latch: while `clock=1`, P follows A; while the clock is low, P holds the last value seen during the high phase. The incomplete assignment inside the combinational block intentionally infers that latch.</x:t>
  </x:si>
  <x:si>
    <x:t xml:space="preserve">Sequential circuit 9</x:t>
  </x:si>
  <x:si>
    <x:t xml:space="preserve">sim/circuit9</x:t>
  </x:si>
  <x:si>
    <x:t xml:space="preserve">2:35:52 PM</x:t>
  </x:si>
  <x:si>
    <x:t xml:space="preserve">The circuit is a modulo-7 counter with a synchronous load-like control. When `a=0`, the 4-bit state counts 0,1,2,3,4,5,6 and then wraps to 0. When `a=1` at a rising edge, the state is loaded with 4 instead of incrementing.</x:t>
  </x:si>
  <x:si>
    <x:t xml:space="preserve">Sequential circuit 10</x:t>
  </x:si>
  <x:si>
    <x:t xml:space="preserve">sim/circuit10</x:t>
  </x:si>
  <x:si>
    <x:t xml:space="preserve">4:28:35 PM</x:t>
  </x:si>
  <x:si>
    <x:t xml:space="preserve">This circuit behaves like a serial full adder with one stored carry bit. The combinational output `q = a ^ b ^ state` is the one-bit sum of A, B, and the previous carry.</x:t>
  </x:si>
  <x:si>
    <x:t xml:space="preserve">SECTION · Verification: Writing Testbenches</x:t>
  </x:si>
  <x:si>
    <x:t xml:space="preserve">Clock</x:t>
  </x:si>
  <x:si>
    <x:t xml:space="preserve">tb/clock</x:t>
  </x:si>
  <x:si>
    <x:t xml:space="preserve">5:45:53 PM</x:t>
  </x:si>
  <x:si>
    <x:t xml:space="preserve">This exercise moves from describing hardware to controlling simulation time. The top-level testbench has no ports because it is the simulation root. It declares an internal `reg clk`, connects that signal to the supplied `dut` instance, initializes it to zero at time 0, and toggles it every 5 ps.</x:t>
  </x:si>
  <x:si>
    <x:t xml:space="preserve">Testbench1</x:t>
  </x:si>
  <x:si>
    <x:t xml:space="preserve">tb/tb1</x:t>
  </x:si>
  <x:si>
    <x:t xml:space="preserve">5:51:57 PM</x:t>
  </x:si>
  <x:si>
    <x:t xml:space="preserve">The goal is to generate two output waveforms directly from procedural stimulus. Because A and B are assigned inside an `initial` block, the module declares them as `output reg`. Both begin low at time 0, then the delays reproduce each transition in chronological order.</x:t>
  </x:si>
  <x:si>
    <x:t xml:space="preserve">tb/and</x:t>
  </x:si>
  <x:si>
    <x:t xml:space="preserve">6:15:10 PM</x:t>
  </x:si>
  <x:si>
    <x:t xml:space="preserve">This testbench verifies a two-input AND gate exhaustively. The DUT input is a 2-bit procedural register, while the DUT output is a wire because it is driven by the instantiated module. A loop enumerates the four binary input combinations 00, 01, 10, and 11, holding each combination for 10 simulation time units.</x:t>
  </x:si>
  <x:si>
    <x:t xml:space="preserve">Testbench2</x:t>
  </x:si>
  <x:si>
    <x:t xml:space="preserve">tb/tb2</x:t>
  </x:si>
  <x:si>
    <x:t xml:space="preserve">11:14:42 PM</x:t>
  </x:si>
  <x:si>
    <x:t xml:space="preserve">This testbench coordinates two independent timelines: a free-running clock and a directed sequence for `in` and the 3-bit bus `s`. One `initial` block initializes the clock and toggles it every 5 time units, producing a 10-unit period. A second block applies the waveform values at the required boundaries, while the `q7` instance connects all generated signals to the supplied DUT.</x:t>
  </x:si>
  <x:si>
    <x:t xml:space="preserve">T flip-flop</x:t>
  </x:si>
  <x:si>
    <x:t xml:space="preserve">tb/tff</x:t>
  </x:si>
  <x:si>
    <x:t xml:space="preserve">6:29:03 PM</x:t>
  </x:si>
  <x:si>
    <x:t xml:space="preserve">The testbench instantiates the supplied T flip-flop and creates separate clock and control processes. The clock starts low and toggles every 5 time units. Reset starts high and `t` starts low, so the first rising edge samples the synchronous reset and forces Q to its reset state. After 10 time units, reset is deasserted and T is asserted; subsequent rising edges toggle Q.</x:t>
  </x:si>
</x:sst>
</file>

<file path=xl/styles.xml><?xml version="1.0" encoding="utf-8"?>
<x:styleSheet xmlns:x="http://schemas.openxmlformats.org/spreadsheetml/2006/main">
  <x:numFmts count="3">
    <x:numFmt numFmtId="164" formatCode="yyyy\-mm\-dd"/>
    <x:numFmt numFmtId="165" formatCode="yyyy/mm/dd"/>
    <x:numFmt numFmtId="200" formatCode="yyyy-mm-dd"/>
  </x:numFmts>
  <x:fonts count="16">
    <x:font>
      <x:sz val="11"/>
      <x:name val="Carlito"/>
    </x:font>
    <x:font>
      <x:b/>
      <x:sz val="18"/>
      <x:color rgb="FFFFFFFF"/>
      <x:name val="Carlito"/>
    </x:font>
    <x:font>
      <x:i/>
      <x:sz val="10"/>
      <x:color rgb="FF002060"/>
      <x:name val="Carlito"/>
    </x:font>
    <x:font>
      <x:b/>
      <x:sz val="9"/>
      <x:color rgb="FFFFFFFF"/>
      <x:name val="Carlito"/>
    </x:font>
    <x:font>
      <x:sz val="9"/>
      <x:color rgb="FF1F1F1F"/>
      <x:name val="Carlito"/>
    </x:font>
    <x:font>
      <x:sz val="9"/>
      <x:color rgb="FF0563C1"/>
      <x:name val="Carlito"/>
    </x:font>
    <x:font>
      <x:b/>
      <x:sz val="11"/>
      <x:color rgb="FFFFFFFF"/>
      <x:name val="Carlito"/>
    </x:font>
    <x:font>
      <x:b/>
      <x:i/>
      <x:sz val="10"/>
      <x:color rgb="FF002060"/>
      <x:name val="Carlito"/>
    </x:font>
    <x:font>
      <x:b/>
      <x:sz val="20"/>
      <x:color rgb="FFFFFFFF"/>
      <x:name val="Carlito"/>
    </x:font>
    <x:font>
      <x:i/>
      <x:sz val="11"/>
      <x:color rgb="FF002060"/>
      <x:name val="Carlito"/>
    </x:font>
    <x:font>
      <x:b/>
      <x:sz val="11"/>
      <x:color rgb="FF002060"/>
      <x:name val="Carlito"/>
    </x:font>
    <x:font>
      <x:b/>
      <x:sz val="16"/>
      <x:color rgb="FF002060"/>
      <x:name val="Carlito"/>
    </x:font>
    <x:font>
      <x:b/>
      <x:sz val="10"/>
      <x:color rgb="FF375623"/>
      <x:name val="Carlito"/>
    </x:font>
    <x:font>
      <x:sz val="11"/>
      <x:color rgb="FF0563C1"/>
      <x:name val="Carlito"/>
    </x:font>
    <x:font>
      <x:sz val="11"/>
      <x:color rgb="FF1F1F1F"/>
      <x:name val="Carlito"/>
    </x:font>
    <x:font>
      <x:sz val="11"/>
      <x:color theme="10"/>
      <x:name val="Carlito"/>
    </x:font>
  </x:fonts>
  <x:fills count="15">
    <x:fill>
      <x:patternFill patternType="none"/>
    </x:fill>
    <x:fill>
      <x:patternFill patternType="gray125"/>
    </x:fill>
    <x:fill>
      <x:patternFill patternType="solid">
        <x:fgColor rgb="FF002060"/>
      </x:patternFill>
    </x:fill>
    <x:fill>
      <x:patternFill patternType="solid">
        <x:fgColor rgb="FFD9E1F2"/>
      </x:patternFill>
    </x:fill>
    <x:fill>
      <x:patternFill patternType="solid">
        <x:fgColor rgb="FF001A4D"/>
      </x:patternFill>
    </x:fill>
    <x:fill>
      <x:patternFill patternType="solid">
        <x:fgColor rgb="FFEEF4FB"/>
      </x:patternFill>
    </x:fill>
    <x:fill>
      <x:patternFill patternType="solid">
        <x:fgColor rgb="FFE2F0D9"/>
      </x:patternFill>
    </x:fill>
    <x:fill>
      <x:patternFill patternType="solid">
        <x:fgColor rgb="FFFFFF99"/>
      </x:patternFill>
    </x:fill>
    <x:fill>
      <x:patternFill patternType="solid">
        <x:fgColor rgb="FFCCFFCC"/>
      </x:patternFill>
    </x:fill>
    <x:fill>
      <x:patternFill patternType="solid">
        <x:fgColor rgb="FFD9E1F2"/>
      </x:patternFill>
    </x:fill>
    <x:fill>
      <x:patternFill patternType="solid">
        <x:fgColor rgb="FFFFFFFF"/>
      </x:patternFill>
    </x:fill>
    <x:fill>
      <x:patternFill patternType="solid">
        <x:fgColor rgb="FFCCFFCC"/>
      </x:patternFill>
    </x:fill>
    <x:fill>
      <x:patternFill patternType="solid">
        <x:fgColor rgb="FFFFFF99"/>
      </x:patternFill>
    </x:fill>
    <x:fill>
      <x:patternFill patternType="solid">
        <x:fgColor rgb="FFD9E1F2"/>
      </x:patternFill>
    </x:fill>
    <x:fill>
      <x:patternFill patternType="solid">
        <x:fgColor rgb="FFCCFFCC"/>
      </x:patternFill>
    </x:fill>
  </x:fills>
  <x:borders count="7">
    <x:border/>
    <x:border>
      <x:left style="thin">
        <x:color rgb="FFB4C6E7"/>
      </x:left>
      <x:right style="thin">
        <x:color rgb="FFB4C6E7"/>
      </x:right>
      <x:top style="thin">
        <x:color rgb="FFB4C6E7"/>
      </x:top>
      <x:bottom style="thin">
        <x:color rgb="FFB4C6E7"/>
      </x:bottom>
    </x:border>
    <x:border>
      <x:bottom style="thin">
        <x:color rgb="FFD9E2F3"/>
      </x:bottom>
    </x:border>
    <x:border>
      <x:top style="thin">
        <x:color rgb="FFD9E2F3"/>
      </x:top>
      <x:bottom style="thin">
        <x:color rgb="FFD9E2F3"/>
      </x:bottom>
    </x:border>
    <x:border>
      <x:top style="thin">
        <x:color rgb="FFD9E2F3"/>
      </x:top>
    </x:border>
    <x:border>
      <x:top style="thin">
        <x:color rgb="FFD9E2F3"/>
      </x:top>
      <x:bottom style="thin">
        <x:color rgb="FFB4C6E7"/>
      </x:bottom>
    </x:border>
    <x:border>
      <x:left style="thin">
        <x:color rgb="FFA6BCE6"/>
      </x:left>
      <x:right style="thin">
        <x:color rgb="FFA6BCE6"/>
      </x:right>
      <x:top style="thin">
        <x:color rgb="FFA6BCE6"/>
      </x:top>
      <x:bottom style="thin">
        <x:color rgb="FFA6BCE6"/>
      </x:bottom>
    </x:border>
  </x:borders>
  <x:cellStyleXfs count="2">
    <x:xf numFmtId="0" fontId="0" fillId="0" borderId="0"/>
    <x:xf numFmtId="0" fontId="15" fillId="0" borderId="0" applyNumberFormat="0" applyFill="0" applyBorder="0" applyAlignment="0" applyProtection="0"/>
  </x:cellStyleXfs>
  <x:cellXfs count="74">
    <x:xf numFmtId="0" fontId="0" fillId="0" borderId="0" xfId="0"/>
    <x:xf numFmtId="0" fontId="3" fillId="4" borderId="1" xfId="0" applyFont="1" applyFill="1" applyBorder="1" applyAlignment="1">
      <x:alignment horizontal="center" vertical="center" wrapText="1"/>
    </x:xf>
    <x:xf numFmtId="0" fontId="4" fillId="0" borderId="3" xfId="0" applyFont="1" applyBorder="1" applyAlignment="1">
      <x:alignment vertical="center" wrapText="1"/>
    </x:xf>
    <x:xf numFmtId="0" fontId="4" fillId="0" borderId="3" xfId="0" applyFont="1" applyBorder="1" applyAlignment="1">
      <x:alignment horizontal="center" vertical="center" wrapText="1"/>
    </x:xf>
    <x:xf numFmtId="0" fontId="5" fillId="0" borderId="3" xfId="0" applyFont="1" applyBorder="1" applyAlignment="1">
      <x:alignment horizontal="center" vertical="center" wrapText="1"/>
    </x:xf>
    <x:xf numFmtId="164" fontId="4" fillId="0" borderId="3" xfId="0" applyNumberFormat="1" applyFont="1" applyBorder="1" applyAlignment="1">
      <x:alignment horizontal="center" vertical="center" wrapText="1"/>
    </x:xf>
    <x:xf numFmtId="9" fontId="4" fillId="0" borderId="3" xfId="0" applyNumberFormat="1" applyFont="1" applyBorder="1" applyAlignment="1">
      <x:alignment horizontal="center" vertical="center" wrapText="1"/>
    </x:xf>
    <x:xf numFmtId="0" fontId="4" fillId="5" borderId="3" xfId="0" applyFont="1" applyFill="1" applyBorder="1" applyAlignment="1">
      <x:alignment horizontal="center" vertical="center" wrapText="1"/>
    </x:xf>
    <x:xf numFmtId="0" fontId="4" fillId="5" borderId="3" xfId="0" applyFont="1" applyFill="1" applyBorder="1" applyAlignment="1">
      <x:alignment vertical="center" wrapText="1"/>
    </x:xf>
    <x:xf numFmtId="164" fontId="4" fillId="5" borderId="3" xfId="0" applyNumberFormat="1" applyFont="1" applyFill="1" applyBorder="1" applyAlignment="1">
      <x:alignment horizontal="center" vertical="center" wrapText="1"/>
    </x:xf>
    <x:xf numFmtId="9" fontId="4" fillId="5" borderId="3" xfId="0" applyNumberFormat="1" applyFont="1" applyFill="1" applyBorder="1" applyAlignment="1">
      <x:alignment horizontal="center" vertical="center" wrapText="1"/>
    </x:xf>
    <x:xf numFmtId="0" fontId="5" fillId="5" borderId="3" xfId="0" applyFont="1" applyFill="1" applyBorder="1" applyAlignment="1">
      <x:alignment horizontal="center" vertical="center" wrapText="1"/>
    </x:xf>
    <x:xf numFmtId="0" fontId="4" fillId="5" borderId="4" xfId="0" applyFont="1" applyFill="1" applyBorder="1" applyAlignment="1">
      <x:alignment horizontal="center" vertical="center" wrapText="1"/>
    </x:xf>
    <x:xf numFmtId="0" fontId="4" fillId="5" borderId="4" xfId="0" applyFont="1" applyFill="1" applyBorder="1" applyAlignment="1">
      <x:alignment vertical="center" wrapText="1"/>
    </x:xf>
    <x:xf numFmtId="164" fontId="4" fillId="5" borderId="4" xfId="0" applyNumberFormat="1" applyFont="1" applyFill="1" applyBorder="1" applyAlignment="1">
      <x:alignment horizontal="center" vertical="center" wrapText="1"/>
    </x:xf>
    <x:xf numFmtId="9" fontId="4" fillId="5" borderId="4" xfId="0" applyNumberFormat="1" applyFont="1" applyFill="1" applyBorder="1" applyAlignment="1">
      <x:alignment horizontal="center" vertical="center" wrapText="1"/>
    </x:xf>
    <x:xf numFmtId="0" fontId="5" fillId="5" borderId="4" xfId="0" applyFont="1" applyFill="1" applyBorder="1" applyAlignment="1">
      <x:alignment horizontal="center" vertical="center" wrapText="1"/>
    </x:xf>
    <x:xf numFmtId="0" fontId="10" fillId="3" borderId="0" xfId="0" applyFont="1" applyFill="1" applyAlignment="1">
      <x:alignment horizontal="center"/>
    </x:xf>
    <x:xf numFmtId="0" fontId="11" fillId="0" borderId="1" xfId="0" applyFont="1" applyBorder="1" applyAlignment="1">
      <x:alignment horizontal="center"/>
    </x:xf>
    <x:xf numFmtId="0" fontId="6" fillId="2" borderId="0" xfId="0" applyFont="1" applyFill="1" applyAlignment="1">
      <x:alignment horizontal="center"/>
    </x:xf>
    <x:xf numFmtId="0" fontId="10" fillId="3" borderId="0" xfId="0" applyFont="1" applyFill="1" applyAlignment="1">
      <x:alignment vertical="center"/>
    </x:xf>
    <x:xf numFmtId="0" fontId="0" fillId="3" borderId="1" xfId="0" applyFill="1" applyBorder="1" applyAlignment="1">
      <x:alignment vertical="center"/>
    </x:xf>
    <x:xf numFmtId="164" fontId="0" fillId="0" borderId="1" xfId="0" applyNumberFormat="1" applyBorder="1" applyAlignment="1">
      <x:alignment vertical="center"/>
    </x:xf>
    <x:xf numFmtId="1" fontId="0" fillId="8" borderId="1" xfId="0" applyNumberFormat="1" applyFill="1" applyBorder="1" applyAlignment="1">
      <x:alignment horizontal="right" vertical="center"/>
    </x:xf>
    <x:xf numFmtId="0" fontId="0" fillId="0" borderId="1" xfId="0" applyBorder="1" applyAlignment="1">
      <x:alignment vertical="center" wrapText="1"/>
    </x:xf>
    <x:xf numFmtId="0" fontId="0" fillId="3" borderId="1" xfId="0" applyFill="1" applyBorder="1" applyAlignment="1">
      <x:alignment vertical="center" wrapText="1"/>
    </x:xf>
    <x:xf numFmtId="0" fontId="0" fillId="0" borderId="1" xfId="0" applyBorder="1" applyAlignment="1">
      <x:alignment horizontal="center" vertical="center" wrapText="1"/>
    </x:xf>
    <x:xf numFmtId="0" fontId="14" fillId="9" borderId="1" xfId="0" applyFont="1" applyFill="1" applyBorder="1"/>
    <x:xf numFmtId="164" fontId="14" fillId="10" borderId="1" xfId="0" applyNumberFormat="1" applyFont="1" applyFill="1" applyBorder="1"/>
    <x:xf numFmtId="1" fontId="14" fillId="11" borderId="1" xfId="0" applyNumberFormat="1" applyFont="1" applyFill="1" applyBorder="1"/>
    <x:xf numFmtId="0" fontId="8" fillId="2" borderId="0" xfId="0" applyFont="1" applyFill="1" applyAlignment="1">
      <x:alignment horizontal="center" vertical="center"/>
    </x:xf>
    <x:xf numFmtId="0" fontId="9" fillId="3" borderId="0" xfId="0" applyFont="1" applyFill="1" applyAlignment="1">
      <x:alignment horizontal="center" vertical="center"/>
    </x:xf>
    <x:xf numFmtId="0" fontId="12" fillId="6" borderId="0" xfId="0" applyFont="1" applyFill="1" applyAlignment="1">
      <x:alignment horizontal="center"/>
    </x:xf>
    <x:xf numFmtId="0" fontId="6" fillId="2" borderId="0" xfId="0" applyFont="1" applyFill="1" applyAlignment="1">
      <x:alignment horizontal="center"/>
    </x:xf>
    <x:xf numFmtId="0" fontId="0" fillId="7" borderId="0" xfId="0" applyFill="1" applyAlignment="1">
      <x:alignment vertical="center" wrapText="1"/>
    </x:xf>
    <x:xf numFmtId="0" fontId="13" fillId="7" borderId="0" xfId="0" applyFont="1" applyFill="1" applyAlignment="1">
      <x:alignment vertical="center" wrapText="1"/>
    </x:xf>
    <x:xf numFmtId="0" fontId="1" fillId="2" borderId="0" xfId="0" applyFont="1" applyFill="1" applyAlignment="1">
      <x:alignment horizontal="center" vertical="center"/>
    </x:xf>
    <x:xf numFmtId="0" fontId="2" fillId="3" borderId="0" xfId="0" applyFont="1" applyFill="1" applyAlignment="1">
      <x:alignment horizontal="center" vertical="center"/>
    </x:xf>
    <x:xf numFmtId="0" fontId="6" fillId="2" borderId="2" xfId="0" applyFont="1" applyFill="1" applyBorder="1" applyAlignment="1">
      <x:alignment horizontal="left" vertical="center" wrapText="1"/>
    </x:xf>
    <x:xf numFmtId="164" fontId="6" fillId="2" borderId="2" xfId="0" applyNumberFormat="1" applyFont="1" applyFill="1" applyBorder="1" applyAlignment="1">
      <x:alignment horizontal="left" vertical="center" wrapText="1"/>
    </x:xf>
    <x:xf numFmtId="9" fontId="6" fillId="2" borderId="2" xfId="0" applyNumberFormat="1" applyFont="1" applyFill="1" applyBorder="1" applyAlignment="1">
      <x:alignment horizontal="left" vertical="center" wrapText="1"/>
    </x:xf>
    <x:xf numFmtId="0" fontId="6" fillId="2" borderId="3" xfId="0" applyFont="1" applyFill="1" applyBorder="1" applyAlignment="1">
      <x:alignment horizontal="left" vertical="center" wrapText="1"/>
    </x:xf>
    <x:xf numFmtId="164" fontId="6" fillId="2" borderId="3" xfId="0" applyNumberFormat="1" applyFont="1" applyFill="1" applyBorder="1" applyAlignment="1">
      <x:alignment horizontal="left" vertical="center" wrapText="1"/>
    </x:xf>
    <x:xf numFmtId="9" fontId="6" fillId="2" borderId="3" xfId="0" applyNumberFormat="1" applyFont="1" applyFill="1" applyBorder="1" applyAlignment="1">
      <x:alignment horizontal="left" vertical="center" wrapText="1"/>
    </x:xf>
    <x:xf numFmtId="0" fontId="7" fillId="3" borderId="5" xfId="0" applyFont="1" applyFill="1" applyBorder="1" applyAlignment="1">
      <x:alignment horizontal="left" vertical="center" wrapText="1"/>
    </x:xf>
    <x:xf numFmtId="164" fontId="7" fillId="3" borderId="5" xfId="0" applyNumberFormat="1" applyFont="1" applyFill="1" applyBorder="1" applyAlignment="1">
      <x:alignment horizontal="left" vertical="center" wrapText="1"/>
    </x:xf>
    <x:xf numFmtId="9" fontId="7" fillId="3" borderId="5" xfId="0" applyNumberFormat="1" applyFont="1" applyFill="1" applyBorder="1" applyAlignment="1">
      <x:alignment horizontal="left" vertical="center" wrapText="1"/>
    </x:xf>
    <x:xf numFmtId="165" fontId="4" fillId="0" borderId="3" xfId="0" applyNumberFormat="1" applyFont="1" applyBorder="1" applyAlignment="1">
      <x:alignment horizontal="center" vertical="center" wrapText="1"/>
    </x:xf>
    <x:xf numFmtId="19" fontId="4" fillId="0" borderId="3" xfId="0" applyNumberFormat="1" applyFont="1" applyBorder="1" applyAlignment="1">
      <x:alignment horizontal="center" vertical="center" wrapText="1"/>
    </x:xf>
    <x:xf numFmtId="0" fontId="15" fillId="0" borderId="3" xfId="1" applyBorder="1" applyAlignment="1">
      <x:alignment horizontal="center" vertical="center" wrapText="1"/>
    </x:xf>
    <x:xf numFmtId="165" fontId="4" fillId="5" borderId="3" xfId="0" applyNumberFormat="1" applyFont="1" applyFill="1" applyBorder="1" applyAlignment="1">
      <x:alignment horizontal="center" vertical="center" wrapText="1"/>
    </x:xf>
    <x:xf numFmtId="19" fontId="4" fillId="5" borderId="3" xfId="0" applyNumberFormat="1" applyFont="1" applyFill="1" applyBorder="1" applyAlignment="1">
      <x:alignment horizontal="center" vertical="center" wrapText="1"/>
    </x:xf>
    <x:xf numFmtId="0" fontId="15" fillId="5" borderId="3" xfId="1" applyFill="1" applyBorder="1" applyAlignment="1">
      <x:alignment horizontal="center" vertical="center" wrapText="1"/>
    </x:xf>
    <x:xf numFmtId="165" fontId="14" fillId="10" borderId="1" xfId="0" applyNumberFormat="1" applyFont="1" applyFill="1" applyBorder="1"/>
    <x:xf numFmtId="165" fontId="4" fillId="0" borderId="3" xfId="0" applyNumberFormat="1" applyFont="1" applyFill="1" applyBorder="1" applyAlignment="1">
      <x:alignment horizontal="center" vertical="center" wrapText="1"/>
    </x:xf>
    <x:xf numFmtId="200" fontId="4" fillId="5" borderId="3" xfId="0" applyNumberFormat="1" applyFont="1" applyFill="1" applyBorder="1" applyAlignment="1">
      <x:alignment horizontal="center" vertical="center" wrapText="1"/>
    </x:xf>
    <x:xf numFmtId="200" fontId="4" fillId="0" borderId="3" xfId="0" applyNumberFormat="1" applyFont="1" applyFill="1" applyBorder="1" applyAlignment="1">
      <x:alignment horizontal="center" vertical="center" wrapText="1"/>
    </x:xf>
    <x:xf numFmtId="0" fontId="4" fillId="12" borderId="3" xfId="0" applyNumberFormat="1" applyFont="1" applyFill="1" applyBorder="1" applyAlignment="1">
      <x:alignment horizontal="center" vertical="center" wrapText="1"/>
    </x:xf>
    <x:xf numFmtId="200" fontId="6" fillId="2" borderId="2" xfId="0" applyNumberFormat="1" applyFont="1" applyFill="1" applyBorder="1" applyAlignment="1">
      <x:alignment horizontal="left" vertical="center" wrapText="1"/>
    </x:xf>
    <x:xf numFmtId="200" fontId="6" fillId="2" borderId="3" xfId="0" applyNumberFormat="1" applyFont="1" applyFill="1" applyBorder="1" applyAlignment="1">
      <x:alignment horizontal="left" vertical="center" wrapText="1"/>
    </x:xf>
    <x:xf numFmtId="200" fontId="7" fillId="3" borderId="5" xfId="0" applyNumberFormat="1" applyFont="1" applyFill="1" applyBorder="1" applyAlignment="1">
      <x:alignment horizontal="left" vertical="center" wrapText="1"/>
    </x:xf>
    <x:xf numFmtId="200" fontId="4" fillId="5" borderId="4" xfId="0" applyNumberFormat="1" applyFont="1" applyFill="1" applyBorder="1" applyAlignment="1">
      <x:alignment horizontal="center" vertical="center" wrapText="1"/>
    </x:xf>
    <x:xf numFmtId="200" fontId="0" fillId="7" borderId="0" xfId="0" applyNumberFormat="1" applyFont="1" applyFill="1" applyBorder="1" applyAlignment="1">
      <x:alignment vertical="center" wrapText="1"/>
    </x:xf>
    <x:xf numFmtId="0" fontId="13" fillId="7" borderId="0" xfId="0" applyNumberFormat="1" applyFont="1" applyFill="1" applyBorder="1" applyAlignment="1">
      <x:alignment vertical="center" wrapText="1"/>
    </x:xf>
    <x:xf numFmtId="200" fontId="0" fillId="0" borderId="0" xfId="0" applyNumberFormat="1" applyFont="1" applyFill="1" applyBorder="1"/>
    <x:xf numFmtId="200" fontId="0" fillId="0" borderId="1" xfId="0" applyNumberFormat="1" applyFont="1" applyFill="1" applyBorder="1" applyAlignment="1">
      <x:alignment vertical="center"/>
    </x:xf>
    <x:xf numFmtId="200" fontId="14" fillId="10" borderId="1" xfId="0" applyNumberFormat="1" applyFont="1" applyFill="1" applyBorder="1"/>
    <x:xf numFmtId="0" fontId="0" fillId="13" borderId="0" xfId="0" applyNumberFormat="1" applyFont="1" applyFill="1" applyBorder="1"/>
    <x:xf numFmtId="0" fontId="0" fillId="14" borderId="0" xfId="0" applyNumberFormat="1" applyFont="1" applyFill="1" applyBorder="1"/>
    <x:xf numFmtId="0" fontId="0" fillId="12" borderId="0" xfId="0" applyNumberFormat="1" applyFont="1" applyFill="1" applyBorder="1"/>
    <x:xf numFmtId="0" fontId="0" fillId="13" borderId="6" xfId="0" applyNumberFormat="1" applyFont="1" applyFill="1" applyBorder="1"/>
    <x:xf numFmtId="200" fontId="0" fillId="0" borderId="6" xfId="0" applyNumberFormat="1" applyFont="1" applyFill="1" applyBorder="1"/>
    <x:xf numFmtId="0" fontId="0" fillId="14" borderId="6" xfId="0" applyNumberFormat="1" applyFont="1" applyFill="1" applyBorder="1"/>
    <x:xf numFmtId="0" fontId="0" fillId="12" borderId="6" xfId="0" applyNumberFormat="1" applyFont="1" applyFill="1" applyBorder="1"/>
  </x:cellXfs>
  <x:cellStyles count="2">
    <x:cellStyle name="Hyperlink" xfId="1"/>
    <x:cellStyle name="Normal" xfId="0"/>
  </x:cellStyles>
  <x:dxfs count="4">
    <x:dxf>
      <x:font>
        <x:color rgb="FF666666"/>
      </x:font>
      <x:fill>
        <x:patternFill>
          <x:bgColor rgb="FFF3F3F3"/>
        </x:patternFill>
      </x:fill>
    </x:dxf>
    <x:dxf>
      <x:font>
        <x:b/>
        <x:color rgb="FF7F6000"/>
      </x:font>
      <x:fill>
        <x:patternFill>
          <x:bgColor rgb="FFFFFF99"/>
        </x:patternFill>
      </x:fill>
    </x:dxf>
    <x:dxf>
      <x:font>
        <x:color rgb="FF006100"/>
      </x:font>
      <x:fill>
        <x:patternFill>
          <x:bgColor rgb="FFCCFFCC"/>
        </x:patternFill>
      </x:fill>
    </x:dxf>
    <x:dxf>
      <x:font>
        <x:color rgb="FF006100"/>
      </x:font>
      <x:fill>
        <x:patternFill>
          <x:bgColor rgb="FFCCFF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887f81549664db1" /><Relationship Type="http://schemas.openxmlformats.org/officeDocument/2006/relationships/theme" Target="/xl/theme/theme1.xml" Id="Rd3375a7825414b9a" /><Relationship Type="http://schemas.openxmlformats.org/officeDocument/2006/relationships/sharedStrings" Target="/xl/sharedStrings.xml" Id="R6e1f934273c64f96" /><Relationship Type="http://schemas.openxmlformats.org/officeDocument/2006/relationships/worksheet" Target="/xl/worksheets/sheet1.xml" Id="Rff753c5e07404c55" /><Relationship Type="http://schemas.openxmlformats.org/officeDocument/2006/relationships/worksheet" Target="/xl/worksheets/sheet2.xml" Id="R2073de9ca2e24fe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3.800000190734863"/>
  <x:cols>
    <x:col min="1" max="4" width="18" customWidth="1"/>
    <x:col min="5" max="5" width="28" customWidth="1"/>
    <x:col min="6" max="6" width="47" customWidth="1"/>
    <x:col min="7" max="8" width="15" customWidth="1"/>
  </x:cols>
  <x:sheetData>
    <x:row r="1" ht="31.950000762939453" customHeight="1">
      <x:c r="A1" s="30" t="s">
        <x:v>0</x:v>
      </x:c>
      <x:c r="B1" s="30" t="s">
        <x:v>0</x:v>
      </x:c>
      <x:c r="C1" s="30" t="s">
        <x:v>0</x:v>
      </x:c>
      <x:c r="D1" s="30" t="s">
        <x:v>0</x:v>
      </x:c>
      <x:c r="E1" s="30" t="s">
        <x:v>0</x:v>
      </x:c>
      <x:c r="F1" s="30" t="s">
        <x:v>0</x:v>
      </x:c>
      <x:c r="G1" s="30" t="s">
        <x:v>0</x:v>
      </x:c>
      <x:c r="H1" s="30" t="s">
        <x:v>0</x:v>
      </x:c>
    </x:row>
    <x:row r="2" ht="31.950000762939453" customHeight="1">
      <x:c r="A2" s="30" t="s">
        <x:v>0</x:v>
      </x:c>
      <x:c r="B2" s="30" t="s">
        <x:v>0</x:v>
      </x:c>
      <x:c r="C2" s="30" t="s">
        <x:v>0</x:v>
      </x:c>
      <x:c r="D2" s="30" t="s">
        <x:v>0</x:v>
      </x:c>
      <x:c r="E2" s="30" t="s">
        <x:v>0</x:v>
      </x:c>
      <x:c r="F2" s="30" t="s">
        <x:v>0</x:v>
      </x:c>
      <x:c r="G2" s="30" t="s">
        <x:v>0</x:v>
      </x:c>
      <x:c r="H2" s="30" t="s">
        <x:v>0</x:v>
      </x:c>
    </x:row>
    <x:row r="3" ht="24" customHeight="1">
      <x:c r="A3" s="31" t="str">
        <x:f>"Exact website sequence · "&amp;A6&amp;" of "&amp;D6&amp;" completed · "&amp;B6&amp;" review · "&amp;C6&amp;" to do</x:f>
        <x:v>Exact website sequence · 157 of 178 completed · 2 review · 19 to do</x:v>
      </x:c>
      <x:c r="B3" s="31"/>
      <x:c r="C3" s="31"/>
      <x:c r="D3" s="31"/>
      <x:c r="E3" s="31"/>
      <x:c r="F3" s="31"/>
      <x:c r="G3" s="31"/>
      <x:c r="H3" s="31"/>
    </x:row>
    <x:row r="5" ht="28.049999237060547" customHeight="1">
      <x:c r="A5" s="17" t="s">
        <x:v>1</x:v>
      </x:c>
      <x:c r="B5" s="17" t="s">
        <x:v>2</x:v>
      </x:c>
      <x:c r="C5" s="17" t="s">
        <x:v>3</x:v>
      </x:c>
      <x:c r="D5" s="17" t="s">
        <x:v>4</x:v>
      </x:c>
      <x:c r="F5" s="33" t="str">
        <x:v>Day 11 plan</x:v>
      </x:c>
      <x:c r="G5" s="33" t="s">
        <x:v>5</x:v>
      </x:c>
      <x:c r="H5" s="33" t="s">
        <x:v>5</x:v>
      </x:c>
    </x:row>
    <x:row r="6" ht="28.049999237060547" customHeight="1">
      <x:c r="A6" s="18" t="n">
        <x:f>COUNTIF('Tracker'!$G$6:$G$205,"Completed")</x:f>
        <x:v>157</x:v>
      </x:c>
      <x:c r="B6" s="18" t="n">
        <x:f>COUNTIF('Tracker'!$G$6:$G$205,"Review")</x:f>
        <x:v>2</x:v>
      </x:c>
      <x:c r="C6" s="18" t="n">
        <x:f>COUNTIF('Tracker'!$G$6:$G$205,"To Do")</x:f>
        <x:v>19</x:v>
      </x:c>
      <x:c r="D6" s="18" t="n">
        <x:f>COUNTA('Tracker'!$F$6:$F$205)</x:f>
        <x:v>178</x:v>
      </x:c>
      <x:c r="F6" s="20" t="str">
        <x:v>Date</x:v>
      </x:c>
      <x:c r="G6" s="62" t="n">
        <x:v>46207</x:v>
      </x:c>
      <x:c r="H6" s="34"/>
    </x:row>
    <x:row r="7">
      <x:c r="F7" s="20" t="str">
        <x:v>Remaining</x:v>
      </x:c>
      <x:c r="G7" s="34" t="str">
        <x:v>21 questions · 19 To Do + 2 Review</x:v>
      </x:c>
      <x:c r="H7" s="34"/>
    </x:row>
    <x:row r="8" ht="25.049999237060547" customHeight="1">
      <x:c r="A8" s="32" t="s">
        <x:v>6</x:v>
      </x:c>
      <x:c r="B8" s="32"/>
      <x:c r="C8" s="32"/>
      <x:c r="D8" s="32"/>
      <x:c r="F8" s="20" t="str">
        <x:v>Queue</x:v>
      </x:c>
      <x:c r="G8" s="63" t="str">
        <x:v>study/Day 11.md</x:v>
      </x:c>
      <x:c r="H8" s="35"/>
    </x:row>
    <x:row r="10">
      <x:c r="A10" s="19" t="s">
        <x:v>7</x:v>
      </x:c>
      <x:c r="B10" s="19" t="s">
        <x:v>8</x:v>
      </x:c>
      <x:c r="C10" s="19" t="s">
        <x:v>9</x:v>
      </x:c>
      <x:c r="E10" s="19" t="s">
        <x:v>10</x:v>
      </x:c>
      <x:c r="F10" s="19" t="s">
        <x:v>11</x:v>
      </x:c>
      <x:c r="G10" s="19" t="s">
        <x:v>1</x:v>
      </x:c>
      <x:c r="H10" s="19" t="s">
        <x:v>12</x:v>
      </x:c>
    </x:row>
    <x:row r="11">
      <x:c r="A11" s="21" t="s">
        <x:v>13</x:v>
      </x:c>
      <x:c r="B11" s="65">
        <x:v>46196</x:v>
      </x:c>
      <x:c r="C11" s="23" t="n">
        <x:f>COUNTIFS('Tracker'!$H$6:$H$205,A11,'Tracker'!$G$6:$G$205,"Completed")</x:f>
        <x:v>12</x:v>
      </x:c>
      <x:c r="E11" s="25" t="s">
        <x:v>14</x:v>
      </x:c>
      <x:c r="F11" s="24" t="s">
        <x:v>15</x:v>
      </x:c>
      <x:c r="G11" s="26" t="n">
        <x:f>COUNTIFS('Tracker'!$C$6:$C$205,E11,'Tracker'!$G$6:$G$205,"Completed")</x:f>
        <x:v>2</x:v>
      </x:c>
      <x:c r="H11" s="26" t="n">
        <x:f>COUNTIF('Tracker'!$C$6:$C$205,E11)</x:f>
        <x:v>2</x:v>
      </x:c>
    </x:row>
    <x:row r="12">
      <x:c r="A12" s="21" t="s">
        <x:v>16</x:v>
      </x:c>
      <x:c r="B12" s="65">
        <x:v>46197</x:v>
      </x:c>
      <x:c r="C12" s="23" t="n">
        <x:f>COUNTIFS('Tracker'!$H$6:$H$205,A12,'Tracker'!$G$6:$G$205,"Completed")</x:f>
        <x:v>34</x:v>
      </x:c>
      <x:c r="E12" s="25" t="s">
        <x:v>17</x:v>
      </x:c>
      <x:c r="F12" s="24" t="s">
        <x:v>18</x:v>
      </x:c>
      <x:c r="G12" s="26" t="n">
        <x:f>COUNTIFS('Tracker'!$C$6:$C$205,E12,'Tracker'!$D$6:$D$205,F12,'Tracker'!$G$6:$G$205,"Completed")</x:f>
        <x:v>8</x:v>
      </x:c>
      <x:c r="H12" s="26" t="n">
        <x:f>COUNTIFS('Tracker'!$C$6:$C$205,E12,'Tracker'!$D$6:$D$205,F12)</x:f>
        <x:v>8</x:v>
      </x:c>
    </x:row>
    <x:row r="13">
      <x:c r="A13" s="21" t="s">
        <x:v>19</x:v>
      </x:c>
      <x:c r="B13" s="65">
        <x:v>46198</x:v>
      </x:c>
      <x:c r="C13" s="23" t="n">
        <x:f>COUNTIFS('Tracker'!$H$6:$H$205,A13,'Tracker'!$G$6:$G$205,"Completed")</x:f>
        <x:v>42</x:v>
      </x:c>
      <x:c r="E13" s="25" t="s">
        <x:v>17</x:v>
      </x:c>
      <x:c r="F13" s="24" t="s">
        <x:v>20</x:v>
      </x:c>
      <x:c r="G13" s="26" t="n">
        <x:f>COUNTIFS('Tracker'!$C$6:$C$205,E13,'Tracker'!$D$6:$D$205,F13,'Tracker'!$G$6:$G$205,"Completed")</x:f>
        <x:v>9</x:v>
      </x:c>
      <x:c r="H13" s="26" t="n">
        <x:f>COUNTIFS('Tracker'!$C$6:$C$205,E13,'Tracker'!$D$6:$D$205,F13)</x:f>
        <x:v>9</x:v>
      </x:c>
    </x:row>
    <x:row r="14">
      <x:c r="A14" s="21" t="s">
        <x:v>21</x:v>
      </x:c>
      <x:c r="B14" s="65">
        <x:v>46199</x:v>
      </x:c>
      <x:c r="C14" s="23" t="n">
        <x:f>COUNTIFS('Tracker'!$H$6:$H$205,A14,'Tracker'!$G$6:$G$205,"Completed")</x:f>
        <x:v>19</x:v>
      </x:c>
      <x:c r="E14" s="25" t="s">
        <x:v>17</x:v>
      </x:c>
      <x:c r="F14" s="24" t="s">
        <x:v>22</x:v>
      </x:c>
      <x:c r="G14" s="26" t="n">
        <x:f>COUNTIFS('Tracker'!$C$6:$C$205,E14,'Tracker'!$D$6:$D$205,F14,'Tracker'!$G$6:$G$205,"Completed")</x:f>
        <x:v>9</x:v>
      </x:c>
      <x:c r="H14" s="26" t="n">
        <x:f>COUNTIFS('Tracker'!$C$6:$C$205,E14,'Tracker'!$D$6:$D$205,F14)</x:f>
        <x:v>9</x:v>
      </x:c>
    </x:row>
    <x:row r="15">
      <x:c r="A15" s="21" t="s">
        <x:v>23</x:v>
      </x:c>
      <x:c r="B15" s="65">
        <x:v>46200</x:v>
      </x:c>
      <x:c r="C15" s="23" t="n">
        <x:f>COUNTIFS('Tracker'!$H$6:$H$205,A15,'Tracker'!$G$6:$G$205,"Completed")</x:f>
        <x:v>12</x:v>
      </x:c>
      <x:c r="E15" s="25" t="s">
        <x:v>17</x:v>
      </x:c>
      <x:c r="F15" s="24" t="s">
        <x:v>24</x:v>
      </x:c>
      <x:c r="G15" s="26" t="n">
        <x:f>COUNTIFS('Tracker'!$C$6:$C$205,E15,'Tracker'!$D$6:$D$205,F15,'Tracker'!$G$6:$G$205,"Completed")</x:f>
        <x:v>8</x:v>
      </x:c>
      <x:c r="H15" s="26" t="n">
        <x:f>COUNTIFS('Tracker'!$C$6:$C$205,E15,'Tracker'!$D$6:$D$205,F15)</x:f>
        <x:v>8</x:v>
      </x:c>
    </x:row>
    <x:row r="16">
      <x:c r="A16" s="21" t="s">
        <x:v>25</x:v>
      </x:c>
      <x:c r="B16" s="65">
        <x:v>46201</x:v>
      </x:c>
      <x:c r="C16" s="23" t="n">
        <x:f>COUNTIFS('Tracker'!$H$6:$H$205,A16,'Tracker'!$G$6:$G$205,"Completed")</x:f>
        <x:v>21</x:v>
      </x:c>
      <x:c r="E16" s="25" t="s">
        <x:v>17</x:v>
      </x:c>
      <x:c r="F16" s="24" t="s">
        <x:v>26</x:v>
      </x:c>
      <x:c r="G16" s="26" t="n">
        <x:f>COUNTIFS('Tracker'!$C$6:$C$205,E16,'Tracker'!$D$6:$D$205,F16,'Tracker'!$G$6:$G$205,"Completed")</x:f>
        <x:v>7</x:v>
      </x:c>
      <x:c r="H16" s="26" t="n">
        <x:f>COUNTIFS('Tracker'!$C$6:$C$205,E16,'Tracker'!$D$6:$D$205,F16)</x:f>
        <x:v>7</x:v>
      </x:c>
    </x:row>
    <x:row r="17">
      <x:c r="A17" s="27" t="s">
        <x:v>27</x:v>
      </x:c>
      <x:c r="B17" s="66">
        <x:v>46202</x:v>
      </x:c>
      <x:c r="C17" s="29" t="n">
        <x:f>COUNTIFS('Tracker'!$H$6:$H$205,A17,'Tracker'!$G$6:$G$205,"Completed")</x:f>
        <x:v>1</x:v>
      </x:c>
      <x:c r="E17" s="25" t="s">
        <x:v>28</x:v>
      </x:c>
      <x:c r="F17" s="24" t="s">
        <x:v>29</x:v>
      </x:c>
      <x:c r="G17" s="26" t="n">
        <x:f>COUNTIFS('Tracker'!$C$6:$C$205,E17,'Tracker'!$D$6:$D$205,F17,'Tracker'!$G$6:$G$205,"Completed")</x:f>
        <x:v>17</x:v>
      </x:c>
      <x:c r="H17" s="26" t="n">
        <x:f>COUNTIFS('Tracker'!$C$6:$C$205,E17,'Tracker'!$D$6:$D$205,F17)</x:f>
        <x:v>17</x:v>
      </x:c>
    </x:row>
    <x:row r="18">
      <x:c r="A18" s="27" t="s">
        <x:v>30</x:v>
      </x:c>
      <x:c r="B18" s="66">
        <x:v>46203</x:v>
      </x:c>
      <x:c r="C18" s="29" t="n">
        <x:f>COUNTIFS('Tracker'!$H$6:$H$205,A18,'Tracker'!$G$6:$G$205,"Completed")</x:f>
        <x:v>1</x:v>
      </x:c>
      <x:c r="E18" s="25" t="s">
        <x:v>28</x:v>
      </x:c>
      <x:c r="F18" s="24" t="s">
        <x:v>31</x:v>
      </x:c>
      <x:c r="G18" s="26" t="n">
        <x:f>COUNTIFS('Tracker'!$C$6:$C$205,E18,'Tracker'!$D$6:$D$205,F18,'Tracker'!$G$6:$G$205,"Completed")</x:f>
        <x:v>5</x:v>
      </x:c>
      <x:c r="H18" s="26" t="n">
        <x:f>COUNTIFS('Tracker'!$C$6:$C$205,E18,'Tracker'!$D$6:$D$205,F18)</x:f>
        <x:v>5</x:v>
      </x:c>
    </x:row>
    <x:row r="19">
      <x:c r="A19" s="27" t="s">
        <x:v>32</x:v>
      </x:c>
      <x:c r="B19" s="66">
        <x:v>46205</x:v>
      </x:c>
      <x:c r="C19" s="29" t="n">
        <x:f>COUNTIFS('Tracker'!$H$6:$H$205,A19,'Tracker'!$G$6:$G$205,"Completed")</x:f>
        <x:v>11</x:v>
      </x:c>
      <x:c r="E19" s="25" t="s">
        <x:v>28</x:v>
      </x:c>
      <x:c r="F19" s="24" t="s">
        <x:v>33</x:v>
      </x:c>
      <x:c r="G19" s="26" t="n">
        <x:f>COUNTIFS('Tracker'!$C$6:$C$205,E19,'Tracker'!$D$6:$D$205,F19,'Tracker'!$G$6:$G$205,"Completed")</x:f>
        <x:v>7</x:v>
      </x:c>
      <x:c r="H19" s="26" t="n">
        <x:f>COUNTIFS('Tracker'!$C$6:$C$205,E19,'Tracker'!$D$6:$D$205,F19)</x:f>
        <x:v>7</x:v>
      </x:c>
    </x:row>
    <x:row r="20">
      <x:c r="A20" s="70" t="str">
        <x:v>Day 10</x:v>
      </x:c>
      <x:c r="B20" s="71" t="n">
        <x:v>46206</x:v>
      </x:c>
      <x:c r="C20" s="72" t="n">
        <x:f>COUNTIFS('Tracker'!$H$6:$H$205,A20,'Tracker'!$G$6:$G$205,"Completed")</x:f>
        <x:v>4</x:v>
      </x:c>
      <x:c r="E20" s="25" t="s">
        <x:v>28</x:v>
      </x:c>
      <x:c r="F20" s="24" t="s">
        <x:v>34</x:v>
      </x:c>
      <x:c r="G20" s="26" t="n">
        <x:f>COUNTIFS('Tracker'!$C$6:$C$205,E20,'Tracker'!$D$6:$D$205,F20,'Tracker'!$G$6:$G$205,"Completed")</x:f>
        <x:v>8</x:v>
      </x:c>
      <x:c r="H20" s="26" t="n">
        <x:f>COUNTIFS('Tracker'!$C$6:$C$205,E20,'Tracker'!$D$6:$D$205,F20)</x:f>
        <x:v>8</x:v>
      </x:c>
    </x:row>
    <x:row r="21">
      <x:c r="A21" s="70" t="str">
        <x:v>Day 11</x:v>
      </x:c>
      <x:c r="B21" s="71" t="n">
        <x:v>46207</x:v>
      </x:c>
      <x:c r="C21" s="73" t="n">
        <x:f>COUNTIFS('Tracker'!$H$6:$H$205,A21,'Tracker'!$G$6:$G$205,"Completed")</x:f>
        <x:v>0</x:v>
      </x:c>
      <x:c r="E21" s="25" t="s">
        <x:v>28</x:v>
      </x:c>
      <x:c r="F21" s="24" t="s">
        <x:v>35</x:v>
      </x:c>
      <x:c r="G21" s="26" t="n">
        <x:f>COUNTIFS('Tracker'!$C$6:$C$205,E21,'Tracker'!$D$6:$D$205,F21,'Tracker'!$G$6:$G$205,"Completed")</x:f>
        <x:v>18</x:v>
      </x:c>
      <x:c r="H21" s="26" t="n">
        <x:f>COUNTIFS('Tracker'!$C$6:$C$205,E21,'Tracker'!$D$6:$D$205,F21)</x:f>
        <x:v>18</x:v>
      </x:c>
    </x:row>
    <x:row r="22">
      <x:c r="E22" s="25" t="s">
        <x:v>28</x:v>
      </x:c>
      <x:c r="F22" s="24" t="s">
        <x:v>36</x:v>
      </x:c>
      <x:c r="G22" s="26" t="n">
        <x:f>COUNTIFS('Tracker'!$C$6:$C$205,E22,'Tracker'!$D$6:$D$205,F22,'Tracker'!$G$6:$G$205,"Completed")</x:f>
        <x:v>8</x:v>
      </x:c>
      <x:c r="H22" s="26" t="n">
        <x:f>COUNTIFS('Tracker'!$C$6:$C$205,E22,'Tracker'!$D$6:$D$205,F22)</x:f>
        <x:v>8</x:v>
      </x:c>
    </x:row>
    <x:row r="23">
      <x:c r="E23" s="25" t="s">
        <x:v>28</x:v>
      </x:c>
      <x:c r="F23" s="24" t="s">
        <x:v>37</x:v>
      </x:c>
      <x:c r="G23" s="26" t="n">
        <x:f>COUNTIFS('Tracker'!$C$6:$C$205,E23,'Tracker'!$D$6:$D$205,F23,'Tracker'!$G$6:$G$205,"Completed")</x:f>
        <x:v>9</x:v>
      </x:c>
      <x:c r="H23" s="26" t="n">
        <x:f>COUNTIFS('Tracker'!$C$6:$C$205,E23,'Tracker'!$D$6:$D$205,F23)</x:f>
        <x:v>9</x:v>
      </x:c>
    </x:row>
    <x:row r="24">
      <x:c r="E24" s="25" t="s">
        <x:v>28</x:v>
      </x:c>
      <x:c r="F24" s="24" t="s">
        <x:v>38</x:v>
      </x:c>
      <x:c r="G24" s="26" t="n">
        <x:f>COUNTIFS('Tracker'!$C$6:$C$205,E24,'Tracker'!$D$6:$D$205,F24,'Tracker'!$G$6:$G$205,"Completed")</x:f>
        <x:v>0</x:v>
      </x:c>
      <x:c r="H24" s="26" t="n">
        <x:f>COUNTIFS('Tracker'!$C$6:$C$205,E24,'Tracker'!$D$6:$D$205,F24)</x:f>
        <x:v>3</x:v>
      </x:c>
    </x:row>
    <x:row r="25">
      <x:c r="E25" s="25" t="s">
        <x:v>28</x:v>
      </x:c>
      <x:c r="F25" s="24" t="s">
        <x:v>39</x:v>
      </x:c>
      <x:c r="G25" s="26" t="n">
        <x:f>COUNTIFS('Tracker'!$C$6:$C$205,E25,'Tracker'!$D$6:$D$205,F25,'Tracker'!$G$6:$G$205,"Completed")</x:f>
        <x:v>16</x:v>
      </x:c>
      <x:c r="H25" s="26" t="n">
        <x:f>COUNTIFS('Tracker'!$C$6:$C$205,E25,'Tracker'!$D$6:$D$205,F25)</x:f>
        <x:v>33</x:v>
      </x:c>
    </x:row>
    <x:row r="26">
      <x:c r="E26" s="25" t="s">
        <x:v>28</x:v>
      </x:c>
      <x:c r="F26" s="24" t="s">
        <x:v>40</x:v>
      </x:c>
      <x:c r="G26" s="26" t="n">
        <x:f>COUNTIFS('Tracker'!$C$6:$C$205,E26,'Tracker'!$D$6:$D$205,F26,'Tracker'!$G$6:$G$205,"Completed")</x:f>
        <x:v>6</x:v>
      </x:c>
      <x:c r="H26" s="26" t="n">
        <x:f>COUNTIFS('Tracker'!$C$6:$C$205,E26,'Tracker'!$D$6:$D$205,F26)</x:f>
        <x:v>7</x:v>
      </x:c>
    </x:row>
    <x:row r="27">
      <x:c r="E27" s="25" t="s">
        <x:v>41</x:v>
      </x:c>
      <x:c r="F27" s="24" t="s">
        <x:v>42</x:v>
      </x:c>
      <x:c r="G27" s="26" t="n">
        <x:f>COUNTIFS('Tracker'!$C$6:$C$205,E27,'Tracker'!$D$6:$D$205,F27,'Tracker'!$G$6:$G$205,"Completed")</x:f>
        <x:v>5</x:v>
      </x:c>
      <x:c r="H27" s="26" t="n">
        <x:f>COUNTIFS('Tracker'!$C$6:$C$205,E27,'Tracker'!$D$6:$D$205,F27)</x:f>
        <x:v>5</x:v>
      </x:c>
    </x:row>
    <x:row r="28">
      <x:c r="E28" s="25" t="s">
        <x:v>41</x:v>
      </x:c>
      <x:c r="F28" s="24" t="s">
        <x:v>43</x:v>
      </x:c>
      <x:c r="G28" s="26" t="n">
        <x:f>COUNTIFS('Tracker'!$C$6:$C$205,E28,'Tracker'!$D$6:$D$205,F28,'Tracker'!$G$6:$G$205,"Completed")</x:f>
        <x:v>10</x:v>
      </x:c>
      <x:c r="H28" s="26" t="n">
        <x:f>COUNTIFS('Tracker'!$C$6:$C$205,E28,'Tracker'!$D$6:$D$205,F28)</x:f>
        <x:v>10</x:v>
      </x:c>
    </x:row>
    <x:row r="29">
      <x:c r="E29" s="25" t="s">
        <x:v>44</x:v>
      </x:c>
      <x:c r="F29" s="24" t="s">
        <x:v>15</x:v>
      </x:c>
      <x:c r="G29" s="26" t="n">
        <x:f>COUNTIFS('Tracker'!$C$6:$C$205,E29,'Tracker'!$G$6:$G$205,"Completed")</x:f>
        <x:v>5</x:v>
      </x:c>
      <x:c r="H29" s="26" t="n">
        <x:f>COUNTIF('Tracker'!$C$6:$C$205,E29)</x:f>
        <x:v>5</x:v>
      </x:c>
    </x:row>
  </x:sheetData>
  <x:mergeCells>
    <x:mergeCell ref="A1:H2"/>
    <x:mergeCell ref="A3:H3"/>
    <x:mergeCell ref="A8:D8"/>
    <x:mergeCell ref="F5:H5"/>
    <x:mergeCell ref="G6:H6"/>
    <x:mergeCell ref="G7:H7"/>
    <x:mergeCell ref="G8:H8"/>
  </x:mergeCells>
  <x:conditionalFormatting sqref="G11:G29">
    <x:cfRule type="cellIs" dxfId="3" priority="1" operator="equal">
      <x:formula>H11</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3.800000190734863"/>
  <x:cols>
    <x:col min="1" max="2" width="10" customWidth="1"/>
    <x:col min="3" max="3" width="27" customWidth="1"/>
    <x:col min="4" max="4" width="38" customWidth="1"/>
    <x:col min="5" max="5" width="31" customWidth="1"/>
    <x:col min="6" max="6" width="26" customWidth="1"/>
    <x:col min="7" max="7" width="13" customWidth="1"/>
    <x:col min="8" max="8" width="11" customWidth="1"/>
    <x:col min="9" max="10" width="15" customWidth="1"/>
    <x:col min="11" max="14" width="11" customWidth="1"/>
    <x:col min="15" max="15" width="12" customWidth="1"/>
    <x:col min="16" max="19" width="13" customWidth="1"/>
    <x:col min="20" max="20" width="58" customWidth="1"/>
    <x:col min="21" max="21" width="34" customWidth="1"/>
  </x:cols>
  <x:sheetData>
    <x:row r="1" ht="30" customHeight="1">
      <x:c r="A1" s="36" t="s">
        <x:v>45</x:v>
      </x:c>
      <x:c r="B1" s="36" t="s">
        <x:v>45</x:v>
      </x:c>
      <x:c r="C1" s="36" t="s">
        <x:v>45</x:v>
      </x:c>
      <x:c r="D1" s="36" t="s">
        <x:v>45</x:v>
      </x:c>
      <x:c r="E1" s="36" t="s">
        <x:v>45</x:v>
      </x:c>
      <x:c r="F1" s="36" t="s">
        <x:v>45</x:v>
      </x:c>
      <x:c r="G1" s="36" t="s">
        <x:v>45</x:v>
      </x:c>
      <x:c r="H1" s="36" t="s">
        <x:v>45</x:v>
      </x:c>
      <x:c r="I1" s="36" t="s">
        <x:v>45</x:v>
      </x:c>
      <x:c r="J1" s="36" t="s">
        <x:v>45</x:v>
      </x:c>
      <x:c r="K1" s="36" t="s">
        <x:v>45</x:v>
      </x:c>
      <x:c r="L1" s="36" t="s">
        <x:v>45</x:v>
      </x:c>
      <x:c r="M1" s="36" t="s">
        <x:v>45</x:v>
      </x:c>
      <x:c r="N1" s="36" t="s">
        <x:v>45</x:v>
      </x:c>
      <x:c r="O1" s="36" t="s">
        <x:v>45</x:v>
      </x:c>
      <x:c r="P1" s="36" t="s">
        <x:v>45</x:v>
      </x:c>
      <x:c r="Q1" s="36" t="s">
        <x:v>45</x:v>
      </x:c>
      <x:c r="R1" s="36" t="s">
        <x:v>45</x:v>
      </x:c>
      <x:c r="S1" s="36" t="s">
        <x:v>45</x:v>
      </x:c>
      <x:c r="T1" s="36" t="s">
        <x:v>45</x:v>
      </x:c>
      <x:c r="U1" s="36" t="s">
        <x:v>45</x:v>
      </x:c>
    </x:row>
    <x:row r="2" ht="30" customHeight="1">
      <x:c r="A2" s="36" t="s">
        <x:v>45</x:v>
      </x:c>
      <x:c r="B2" s="36" t="s">
        <x:v>45</x:v>
      </x:c>
      <x:c r="C2" s="36" t="s">
        <x:v>45</x:v>
      </x:c>
      <x:c r="D2" s="36" t="s">
        <x:v>45</x:v>
      </x:c>
      <x:c r="E2" s="36" t="s">
        <x:v>45</x:v>
      </x:c>
      <x:c r="F2" s="36" t="s">
        <x:v>45</x:v>
      </x:c>
      <x:c r="G2" s="36" t="s">
        <x:v>45</x:v>
      </x:c>
      <x:c r="H2" s="36" t="s">
        <x:v>45</x:v>
      </x:c>
      <x:c r="I2" s="36" t="s">
        <x:v>45</x:v>
      </x:c>
      <x:c r="J2" s="36" t="s">
        <x:v>45</x:v>
      </x:c>
      <x:c r="K2" s="36" t="s">
        <x:v>45</x:v>
      </x:c>
      <x:c r="L2" s="36" t="s">
        <x:v>45</x:v>
      </x:c>
      <x:c r="M2" s="36" t="s">
        <x:v>45</x:v>
      </x:c>
      <x:c r="N2" s="36" t="s">
        <x:v>45</x:v>
      </x:c>
      <x:c r="O2" s="36" t="s">
        <x:v>45</x:v>
      </x:c>
      <x:c r="P2" s="36" t="s">
        <x:v>45</x:v>
      </x:c>
      <x:c r="Q2" s="36" t="s">
        <x:v>45</x:v>
      </x:c>
      <x:c r="R2" s="36" t="s">
        <x:v>45</x:v>
      </x:c>
      <x:c r="S2" s="36" t="s">
        <x:v>45</x:v>
      </x:c>
      <x:c r="T2" s="36" t="s">
        <x:v>45</x:v>
      </x:c>
      <x:c r="U2" s="36" t="s">
        <x:v>45</x:v>
      </x:c>
    </x:row>
    <x:row r="3" ht="22.950000762939453" customHeight="1">
      <x:c r="A3" s="37" t="str">
        <x:f>"Website sequence verified: "&amp;'Summary'!$D$6&amp;" of "&amp;'Summary'!$D$6&amp;" IDs in exact order · "&amp;'Summary'!$A$6&amp;" completed · "&amp;'Summary'!$B$6&amp;" review · "&amp;'Summary'!$C$6&amp;" to do</x:f>
        <x:v>Website sequence verified: 178 of 178 IDs in exact order · 157 completed · 2 review · 19 to do</x:v>
      </x:c>
      <x:c r="B3" s="37"/>
      <x:c r="C3" s="37"/>
      <x:c r="D3" s="37"/>
      <x:c r="E3" s="37"/>
      <x:c r="F3" s="37"/>
      <x:c r="G3" s="37"/>
      <x:c r="H3" s="37"/>
      <x:c r="I3" s="37"/>
      <x:c r="J3" s="37"/>
      <x:c r="K3" s="37"/>
      <x:c r="L3" s="37"/>
      <x:c r="M3" s="37"/>
      <x:c r="N3" s="37"/>
      <x:c r="O3" s="37"/>
      <x:c r="P3" s="37"/>
      <x:c r="Q3" s="37"/>
      <x:c r="R3" s="37"/>
      <x:c r="S3" s="37"/>
      <x:c r="T3" s="37"/>
      <x:c r="U3" s="37"/>
    </x:row>
    <x:row r="5" ht="37.95000076293945" customHeight="1">
      <x:c r="A5" s="1" t="s">
        <x:v>46</x:v>
      </x:c>
      <x:c r="B5" s="1" t="s">
        <x:v>47</x:v>
      </x:c>
      <x:c r="C5" s="1" t="s">
        <x:v>10</x:v>
      </x:c>
      <x:c r="D5" s="1" t="s">
        <x:v>11</x:v>
      </x:c>
      <x:c r="E5" s="1" t="s">
        <x:v>48</x:v>
      </x:c>
      <x:c r="F5" s="1" t="s">
        <x:v>49</x:v>
      </x:c>
      <x:c r="G5" s="1" t="s">
        <x:v>50</x:v>
      </x:c>
      <x:c r="H5" s="1" t="s">
        <x:v>7</x:v>
      </x:c>
      <x:c r="I5" s="1" t="s">
        <x:v>51</x:v>
      </x:c>
      <x:c r="J5" s="1" t="s">
        <x:v>52</x:v>
      </x:c>
      <x:c r="K5" s="1" t="s">
        <x:v>53</x:v>
      </x:c>
      <x:c r="L5" s="1" t="s">
        <x:v>54</x:v>
      </x:c>
      <x:c r="M5" s="1" t="s">
        <x:v>55</x:v>
      </x:c>
      <x:c r="N5" s="1" t="s">
        <x:v>56</x:v>
      </x:c>
      <x:c r="O5" s="1" t="s">
        <x:v>57</x:v>
      </x:c>
      <x:c r="P5" s="1" t="s">
        <x:v>58</x:v>
      </x:c>
      <x:c r="Q5" s="1" t="s">
        <x:v>59</x:v>
      </x:c>
      <x:c r="R5" s="1" t="s">
        <x:v>60</x:v>
      </x:c>
      <x:c r="S5" s="1" t="s">
        <x:v>61</x:v>
      </x:c>
      <x:c r="T5" s="1" t="s">
        <x:v>62</x:v>
      </x:c>
      <x:c r="U5" s="1" t="s">
        <x:v>63</x:v>
      </x:c>
    </x:row>
    <x:row r="6" ht="25.049999237060547" customHeight="1">
      <x:c r="A6" s="38" t="s">
        <x:v>64</x:v>
      </x:c>
      <x:c r="B6" s="38"/>
      <x:c r="C6" s="38"/>
      <x:c r="D6" s="38"/>
      <x:c r="E6" s="38"/>
      <x:c r="F6" s="38"/>
      <x:c r="G6" s="38"/>
      <x:c r="H6" s="38"/>
      <x:c r="I6" s="58"/>
      <x:c r="J6" s="38"/>
      <x:c r="K6" s="38"/>
      <x:c r="L6" s="38"/>
      <x:c r="M6" s="38"/>
      <x:c r="N6" s="38"/>
      <x:c r="O6" s="40"/>
      <x:c r="P6" s="38"/>
      <x:c r="Q6" s="38"/>
      <x:c r="R6" s="38"/>
      <x:c r="S6" s="38"/>
      <x:c r="T6" s="38"/>
      <x:c r="U6" s="38"/>
    </x:row>
    <x:row r="7" ht="34.04999923706055" customHeight="1">
      <x:c r="A7" s="3">
        <x:v>1</x:v>
      </x:c>
      <x:c r="B7" s="3" t="n">
        <x:v>151</x:v>
      </x:c>
      <x:c r="C7" s="2" t="str">
        <x:v>Getting Started</x:v>
      </x:c>
      <x:c r="D7" s="2"/>
      <x:c r="E7" s="2" t="str">
        <x:v>Getting Started</x:v>
      </x:c>
      <x:c r="F7" s="2" t="str">
        <x:v>step_one</x:v>
      </x:c>
      <x:c r="G7" s="3" t="str">
        <x:v>Completed</x:v>
      </x:c>
      <x:c r="H7" s="3" t="str">
        <x:v>Day 09</x:v>
      </x:c>
      <x:c r="I7" s="56" t="n">
        <x:v>46205</x:v>
      </x:c>
      <x:c r="J7" s="3" t="str">
        <x:v>9:12:14 PM</x:v>
      </x:c>
      <x:c r="K7" s="3" t="n">
        <x:v>1</x:v>
      </x:c>
      <x:c r="L7" s="3" t="n">
        <x:v>0</x:v>
      </x:c>
      <x:c r="M7" s="3" t="n">
        <x:v>0</x:v>
      </x:c>
      <x:c r="N7" s="3" t="n">
        <x:v>0</x:v>
      </x:c>
      <x:c r="O7" s="6" t="n">
        <x:v>1</x:v>
      </x:c>
      <x:c r="P7" s="4" t="e">
        <x:f>HYPERLINK("https://github.com/kapiltrip/hdlBits/blob/main/study/problems/Day%2009/151-step_one.md","Note")</x:f>
        <x:v>HYPERLINK is not implemented. linkLocation=https://github.com/kapiltrip/hdlBits/blob/main/study/problems/Day%2009/151-step_one.md, friendlyName=Note</x:v>
      </x:c>
      <x:c r="Q7" s="4" t="e">
        <x:f>HYPERLINK("https://github.com/kapiltrip/hdlBits/blob/main/study/images/Day%2009/151-step_one-solution.png","Image")</x:f>
        <x:v>HYPERLINK is not implemented. linkLocation=https://github.com/kapiltrip/hdlBits/blob/main/study/images/Day%2009/151-step_one-solution.png, friendlyName=Image</x:v>
      </x:c>
      <x:c r="R7" s="4" t="e">
        <x:f>HYPERLINK("https://github.com/kapiltrip/hdlBits/blob/main/study/solutions/Day%2009/151-step_one.sv","Code")</x:f>
        <x:v>HYPERLINK is not implemented. linkLocation=https://github.com/kapiltrip/hdlBits/blob/main/study/solutions/Day%2009/151-step_one.sv, friendlyName=Code</x:v>
      </x:c>
      <x:c r="S7" s="4" t="e">
        <x:f>HYPERLINK("https://hdlbits.01xz.net/wiki/step_one","HDLBits")</x:f>
        <x:v>HYPERLINK is not implemented. linkLocation=https://hdlbits.01xz.net/wiki/step_one, friendlyName=HDLBits</x:v>
      </x:c>
      <x:c r="T7" s="2" t="str">
        <x:v>Drive the only output permanently high with a one-bit constant continuous assignment. No input, clock, procedural block, or stored state is required.</x:v>
      </x:c>
      <x:c r="U7" s="2"/>
    </x:row>
    <x:row r="8" ht="34.04999923706055" customHeight="1">
      <x:c r="A8" s="7">
        <x:v>2</x:v>
      </x:c>
      <x:c r="B8" s="7" t="n">
        <x:v>152</x:v>
      </x:c>
      <x:c r="C8" s="8" t="str">
        <x:v>Getting Started</x:v>
      </x:c>
      <x:c r="D8" s="8"/>
      <x:c r="E8" s="8" t="str">
        <x:v>Output Zero</x:v>
      </x:c>
      <x:c r="F8" s="8" t="str">
        <x:v>zero</x:v>
      </x:c>
      <x:c r="G8" s="7" t="str">
        <x:v>Completed</x:v>
      </x:c>
      <x:c r="H8" s="7" t="str">
        <x:v>Day 09</x:v>
      </x:c>
      <x:c r="I8" s="55" t="n">
        <x:v>46205</x:v>
      </x:c>
      <x:c r="J8" s="7" t="str">
        <x:v>9:12:38 PM</x:v>
      </x:c>
      <x:c r="K8" s="7" t="n">
        <x:v>1</x:v>
      </x:c>
      <x:c r="L8" s="7" t="n">
        <x:v>0</x:v>
      </x:c>
      <x:c r="M8" s="7" t="n">
        <x:v>0</x:v>
      </x:c>
      <x:c r="N8" s="7" t="n">
        <x:v>0</x:v>
      </x:c>
      <x:c r="O8" s="10" t="n">
        <x:v>1</x:v>
      </x:c>
      <x:c r="P8" s="11" t="e">
        <x:f>HYPERLINK("https://github.com/kapiltrip/hdlBits/blob/main/study/problems/Day%2009/152-zero.md","Note")</x:f>
        <x:v>HYPERLINK is not implemented. linkLocation=https://github.com/kapiltrip/hdlBits/blob/main/study/problems/Day%2009/152-zero.md, friendlyName=Note</x:v>
      </x:c>
      <x:c r="Q8" s="11" t="e">
        <x:f>HYPERLINK("https://github.com/kapiltrip/hdlBits/blob/main/study/images/Day%2009/152-zero.png","Image")</x:f>
        <x:v>HYPERLINK is not implemented. linkLocation=https://github.com/kapiltrip/hdlBits/blob/main/study/images/Day%2009/152-zero.png, friendlyName=Image</x:v>
      </x:c>
      <x:c r="R8" s="11" t="e">
        <x:f>HYPERLINK("https://github.com/kapiltrip/hdlBits/blob/main/study/solutions/Day%2009/152-zero.sv","Code")</x:f>
        <x:v>HYPERLINK is not implemented. linkLocation=https://github.com/kapiltrip/hdlBits/blob/main/study/solutions/Day%2009/152-zero.sv, friendlyName=Code</x:v>
      </x:c>
      <x:c r="S8" s="11" t="e">
        <x:f>HYPERLINK("https://hdlbits.01xz.net/wiki/zero","HDLBits")</x:f>
        <x:v>HYPERLINK is not implemented. linkLocation=https://hdlbits.01xz.net/wiki/zero, friendlyName=HDLBits</x:v>
      </x:c>
      <x:c r="T8" s="8" t="str">
        <x:v>Drive the only output permanently low with a one-bit constant continuous assignment. This reinforces ANSI-style ports and direct combinational wiring.</x:v>
      </x:c>
      <x:c r="U8" s="8"/>
    </x:row>
    <x:row r="9" ht="25.049999237060547" customHeight="1">
      <x:c r="A9" s="41" t="s">
        <x:v>65</x:v>
      </x:c>
      <x:c r="B9" s="41"/>
      <x:c r="C9" s="41"/>
      <x:c r="D9" s="41"/>
      <x:c r="E9" s="41"/>
      <x:c r="F9" s="41"/>
      <x:c r="G9" s="41"/>
      <x:c r="H9" s="41"/>
      <x:c r="I9" s="59"/>
      <x:c r="J9" s="41"/>
      <x:c r="K9" s="41"/>
      <x:c r="L9" s="41"/>
      <x:c r="M9" s="41"/>
      <x:c r="N9" s="41"/>
      <x:c r="O9" s="43"/>
      <x:c r="P9" s="41"/>
      <x:c r="Q9" s="41"/>
      <x:c r="R9" s="41"/>
      <x:c r="S9" s="41"/>
      <x:c r="T9" s="41"/>
      <x:c r="U9" s="41"/>
    </x:row>
    <x:row r="10" ht="22.049999237060547" customHeight="1">
      <x:c r="A10" s="44" t="s">
        <x:v>66</x:v>
      </x:c>
      <x:c r="B10" s="44"/>
      <x:c r="C10" s="44"/>
      <x:c r="D10" s="44"/>
      <x:c r="E10" s="44"/>
      <x:c r="F10" s="44"/>
      <x:c r="G10" s="44"/>
      <x:c r="H10" s="44"/>
      <x:c r="I10" s="60"/>
      <x:c r="J10" s="44"/>
      <x:c r="K10" s="44"/>
      <x:c r="L10" s="44"/>
      <x:c r="M10" s="44"/>
      <x:c r="N10" s="44"/>
      <x:c r="O10" s="46"/>
      <x:c r="P10" s="44"/>
      <x:c r="Q10" s="44"/>
      <x:c r="R10" s="44"/>
      <x:c r="S10" s="44"/>
      <x:c r="T10" s="44"/>
      <x:c r="U10" s="44"/>
    </x:row>
    <x:row r="11" ht="34.04999923706055" customHeight="1">
      <x:c r="A11" s="3">
        <x:v>3</x:v>
      </x:c>
      <x:c r="B11" s="3">
        <x:v>1</x:v>
      </x:c>
      <x:c r="C11" s="2" t="s">
        <x:v>17</x:v>
      </x:c>
      <x:c r="D11" s="2" t="s">
        <x:v>18</x:v>
      </x:c>
      <x:c r="E11" s="2" t="s">
        <x:v>67</x:v>
      </x:c>
      <x:c r="F11" s="2" t="s">
        <x:v>68</x:v>
      </x:c>
      <x:c r="G11" s="3" t="s">
        <x:v>1</x:v>
      </x:c>
      <x:c r="H11" s="3" t="s">
        <x:v>13</x:v>
      </x:c>
      <x:c r="I11" s="56">
        <x:v>46196</x:v>
      </x:c>
      <x:c r="J11" s="3" t="s">
        <x:v>69</x:v>
      </x:c>
      <x:c r="K11" s="3">
        <x:v>1</x:v>
      </x:c>
      <x:c r="L11" s="3">
        <x:v>0</x:v>
      </x:c>
      <x:c r="M11" s="3">
        <x:v>0</x:v>
      </x:c>
      <x:c r="N11" s="3">
        <x:v>0</x:v>
      </x:c>
      <x:c r="O11" s="6">
        <x:v>1</x:v>
      </x:c>
      <x:c r="P11" s="4" t="e">
        <x:f>HYPERLINK("https://github.com/kapiltrip/hdlBits/blob/main/study/problems/Day%2001/001-wire.md","Note")</x:f>
        <x:v>HYPERLINK is not implemented. linkLocation=https://github.com/kapiltrip/hdlBits/blob/main/study/problems/Day%2001/001-wire.md, friendlyName=Note</x:v>
      </x:c>
      <x:c r="Q11" s="4" t="e">
        <x:f>HYPERLINK("https://github.com/kapiltrip/hdlBits/blob/main/study/images/Day%2001/001-wire.png","Image")</x:f>
        <x:v>HYPERLINK is not implemented. linkLocation=https://github.com/kapiltrip/hdlBits/blob/main/study/images/Day%2001/001-wire.png, friendlyName=Image</x:v>
      </x:c>
      <x:c r="R11" s="4" t="e">
        <x:f>HYPERLINK("https://github.com/kapiltrip/hdlBits/blob/main/study/solutions/Day%2001/001-wire.sv","Code")</x:f>
        <x:v>HYPERLINK is not implemented. linkLocation=https://github.com/kapiltrip/hdlBits/blob/main/study/solutions/Day%2001/001-wire.sv, friendlyName=Code</x:v>
      </x:c>
      <x:c r="S11" s="4" t="e">
        <x:f>HYPERLINK("https://hdlbits.01xz.net/wiki/wire","HDLBits")</x:f>
        <x:v>HYPERLINK is not implemented. linkLocation=https://hdlbits.01xz.net/wiki/wire, friendlyName=HDLBits</x:v>
      </x:c>
      <x:c r="T11" s="2" t="s">
        <x:v>70</x:v>
      </x:c>
      <x:c r="U11" s="2"/>
    </x:row>
    <x:row r="12" ht="34.04999923706055" customHeight="1">
      <x:c r="A12" s="7">
        <x:v>4</x:v>
      </x:c>
      <x:c r="B12" s="7">
        <x:v>2</x:v>
      </x:c>
      <x:c r="C12" s="8" t="s">
        <x:v>17</x:v>
      </x:c>
      <x:c r="D12" s="8" t="s">
        <x:v>18</x:v>
      </x:c>
      <x:c r="E12" s="8" t="s">
        <x:v>71</x:v>
      </x:c>
      <x:c r="F12" s="8" t="s">
        <x:v>72</x:v>
      </x:c>
      <x:c r="G12" s="7" t="s">
        <x:v>1</x:v>
      </x:c>
      <x:c r="H12" s="7" t="s">
        <x:v>13</x:v>
      </x:c>
      <x:c r="I12" s="55">
        <x:v>46196</x:v>
      </x:c>
      <x:c r="J12" s="7" t="s">
        <x:v>73</x:v>
      </x:c>
      <x:c r="K12" s="7">
        <x:v>2</x:v>
      </x:c>
      <x:c r="L12" s="7">
        <x:v>0</x:v>
      </x:c>
      <x:c r="M12" s="7">
        <x:v>1</x:v>
      </x:c>
      <x:c r="N12" s="7">
        <x:v>0</x:v>
      </x:c>
      <x:c r="O12" s="10">
        <x:v>0.5</x:v>
      </x:c>
      <x:c r="P12" s="11" t="e">
        <x:f>HYPERLINK("https://github.com/kapiltrip/hdlBits/blob/main/study/problems/Day%2001/002-wire4.md","Note")</x:f>
        <x:v>HYPERLINK is not implemented. linkLocation=https://github.com/kapiltrip/hdlBits/blob/main/study/problems/Day%2001/002-wire4.md, friendlyName=Note</x:v>
      </x:c>
      <x:c r="Q12" s="11" t="e">
        <x:f>HYPERLINK("https://github.com/kapiltrip/hdlBits/blob/main/study/images/Day%2001/002-wire4.png","Image")</x:f>
        <x:v>HYPERLINK is not implemented. linkLocation=https://github.com/kapiltrip/hdlBits/blob/main/study/images/Day%2001/002-wire4.png, friendlyName=Image</x:v>
      </x:c>
      <x:c r="R12" s="11" t="e">
        <x:f>HYPERLINK("https://github.com/kapiltrip/hdlBits/blob/main/study/solutions/Day%2001/002-wire4.sv","Code")</x:f>
        <x:v>HYPERLINK is not implemented. linkLocation=https://github.com/kapiltrip/hdlBits/blob/main/study/solutions/Day%2001/002-wire4.sv, friendlyName=Code</x:v>
      </x:c>
      <x:c r="S12" s="11" t="e">
        <x:f>HYPERLINK("https://hdlbits.01xz.net/wiki/wire4","HDLBits")</x:f>
        <x:v>HYPERLINK is not implemented. linkLocation=https://hdlbits.01xz.net/wiki/wire4, friendlyName=HDLBits</x:v>
      </x:c>
      <x:c r="T12" s="8" t="s">
        <x:v>74</x:v>
      </x:c>
      <x:c r="U12" s="8"/>
    </x:row>
    <x:row r="13" ht="34.04999923706055" customHeight="1">
      <x:c r="A13" s="3">
        <x:v>5</x:v>
      </x:c>
      <x:c r="B13" s="3">
        <x:v>3</x:v>
      </x:c>
      <x:c r="C13" s="2" t="s">
        <x:v>17</x:v>
      </x:c>
      <x:c r="D13" s="2" t="s">
        <x:v>18</x:v>
      </x:c>
      <x:c r="E13" s="2" t="s">
        <x:v>75</x:v>
      </x:c>
      <x:c r="F13" s="2" t="s">
        <x:v>76</x:v>
      </x:c>
      <x:c r="G13" s="3" t="s">
        <x:v>1</x:v>
      </x:c>
      <x:c r="H13" s="3" t="s">
        <x:v>13</x:v>
      </x:c>
      <x:c r="I13" s="56">
        <x:v>46196</x:v>
      </x:c>
      <x:c r="J13" s="3" t="s">
        <x:v>77</x:v>
      </x:c>
      <x:c r="K13" s="3">
        <x:v>1</x:v>
      </x:c>
      <x:c r="L13" s="3">
        <x:v>0</x:v>
      </x:c>
      <x:c r="M13" s="3">
        <x:v>0</x:v>
      </x:c>
      <x:c r="N13" s="3">
        <x:v>0</x:v>
      </x:c>
      <x:c r="O13" s="6">
        <x:v>1</x:v>
      </x:c>
      <x:c r="P13" s="4" t="e">
        <x:f>HYPERLINK("https://github.com/kapiltrip/hdlBits/blob/main/study/problems/Day%2001/003-notgate.md","Note")</x:f>
        <x:v>HYPERLINK is not implemented. linkLocation=https://github.com/kapiltrip/hdlBits/blob/main/study/problems/Day%2001/003-notgate.md, friendlyName=Note</x:v>
      </x:c>
      <x:c r="Q13" s="4" t="e">
        <x:f>HYPERLINK("https://github.com/kapiltrip/hdlBits/blob/main/study/images/Day%2001/003-notgate.png","Image")</x:f>
        <x:v>HYPERLINK is not implemented. linkLocation=https://github.com/kapiltrip/hdlBits/blob/main/study/images/Day%2001/003-notgate.png, friendlyName=Image</x:v>
      </x:c>
      <x:c r="R13" s="4" t="e">
        <x:f>HYPERLINK("https://github.com/kapiltrip/hdlBits/blob/main/study/solutions/Day%2001/003-notgate.sv","Code")</x:f>
        <x:v>HYPERLINK is not implemented. linkLocation=https://github.com/kapiltrip/hdlBits/blob/main/study/solutions/Day%2001/003-notgate.sv, friendlyName=Code</x:v>
      </x:c>
      <x:c r="S13" s="4" t="e">
        <x:f>HYPERLINK("https://hdlbits.01xz.net/wiki/notgate","HDLBits")</x:f>
        <x:v>HYPERLINK is not implemented. linkLocation=https://hdlbits.01xz.net/wiki/notgate, friendlyName=HDLBits</x:v>
      </x:c>
      <x:c r="T13" s="2" t="s">
        <x:v>78</x:v>
      </x:c>
      <x:c r="U13" s="2"/>
    </x:row>
    <x:row r="14" ht="34.04999923706055" customHeight="1">
      <x:c r="A14" s="7">
        <x:v>6</x:v>
      </x:c>
      <x:c r="B14" s="7">
        <x:v>4</x:v>
      </x:c>
      <x:c r="C14" s="8" t="s">
        <x:v>17</x:v>
      </x:c>
      <x:c r="D14" s="8" t="s">
        <x:v>18</x:v>
      </x:c>
      <x:c r="E14" s="8" t="s">
        <x:v>79</x:v>
      </x:c>
      <x:c r="F14" s="8" t="s">
        <x:v>80</x:v>
      </x:c>
      <x:c r="G14" s="7" t="s">
        <x:v>1</x:v>
      </x:c>
      <x:c r="H14" s="7" t="s">
        <x:v>16</x:v>
      </x:c>
      <x:c r="I14" s="55">
        <x:v>46197</x:v>
      </x:c>
      <x:c r="J14" s="7" t="s">
        <x:v>81</x:v>
      </x:c>
      <x:c r="K14" s="7">
        <x:v>1</x:v>
      </x:c>
      <x:c r="L14" s="7">
        <x:v>0</x:v>
      </x:c>
      <x:c r="M14" s="7">
        <x:v>0</x:v>
      </x:c>
      <x:c r="N14" s="7">
        <x:v>0</x:v>
      </x:c>
      <x:c r="O14" s="10">
        <x:v>1</x:v>
      </x:c>
      <x:c r="P14" s="11" t="e">
        <x:f>HYPERLINK("https://github.com/kapiltrip/hdlBits/blob/main/study/problems/Day%2002/004-andgate.md","Note")</x:f>
        <x:v>HYPERLINK is not implemented. linkLocation=https://github.com/kapiltrip/hdlBits/blob/main/study/problems/Day%2002/004-andgate.md, friendlyName=Note</x:v>
      </x:c>
      <x:c r="Q14" s="11" t="e">
        <x:f>HYPERLINK("https://github.com/kapiltrip/hdlBits/blob/main/study/images/Day%2002/004-andgate.png","Image")</x:f>
        <x:v>HYPERLINK is not implemented. linkLocation=https://github.com/kapiltrip/hdlBits/blob/main/study/images/Day%2002/004-andgate.png, friendlyName=Image</x:v>
      </x:c>
      <x:c r="R14" s="11" t="e">
        <x:f>HYPERLINK("https://github.com/kapiltrip/hdlBits/blob/main/study/solutions/Day%2002/004-andgate.sv","Code")</x:f>
        <x:v>HYPERLINK is not implemented. linkLocation=https://github.com/kapiltrip/hdlBits/blob/main/study/solutions/Day%2002/004-andgate.sv, friendlyName=Code</x:v>
      </x:c>
      <x:c r="S14" s="11" t="e">
        <x:f>HYPERLINK("https://hdlbits.01xz.net/wiki/andgate","HDLBits")</x:f>
        <x:v>HYPERLINK is not implemented. linkLocation=https://hdlbits.01xz.net/wiki/andgate, friendlyName=HDLBits</x:v>
      </x:c>
      <x:c r="T14" s="8" t="s">
        <x:v>82</x:v>
      </x:c>
      <x:c r="U14" s="8"/>
    </x:row>
    <x:row r="15" ht="34.04999923706055" customHeight="1">
      <x:c r="A15" s="3">
        <x:v>7</x:v>
      </x:c>
      <x:c r="B15" s="3">
        <x:v>5</x:v>
      </x:c>
      <x:c r="C15" s="2" t="s">
        <x:v>17</x:v>
      </x:c>
      <x:c r="D15" s="2" t="s">
        <x:v>18</x:v>
      </x:c>
      <x:c r="E15" s="2" t="s">
        <x:v>83</x:v>
      </x:c>
      <x:c r="F15" s="2" t="s">
        <x:v>84</x:v>
      </x:c>
      <x:c r="G15" s="3" t="s">
        <x:v>1</x:v>
      </x:c>
      <x:c r="H15" s="3" t="s">
        <x:v>16</x:v>
      </x:c>
      <x:c r="I15" s="56">
        <x:v>46197</x:v>
      </x:c>
      <x:c r="J15" s="3" t="s">
        <x:v>85</x:v>
      </x:c>
      <x:c r="K15" s="3">
        <x:v>6</x:v>
      </x:c>
      <x:c r="L15" s="3">
        <x:v>0</x:v>
      </x:c>
      <x:c r="M15" s="3">
        <x:v>4</x:v>
      </x:c>
      <x:c r="N15" s="3">
        <x:v>0</x:v>
      </x:c>
      <x:c r="O15" s="6">
        <x:v>0.33</x:v>
      </x:c>
      <x:c r="P15" s="4" t="e">
        <x:f>HYPERLINK("https://github.com/kapiltrip/hdlBits/blob/main/study/problems/Day%2002/005-norgate.md","Note")</x:f>
        <x:v>HYPERLINK is not implemented. linkLocation=https://github.com/kapiltrip/hdlBits/blob/main/study/problems/Day%2002/005-norgate.md, friendlyName=Note</x:v>
      </x:c>
      <x:c r="Q15" s="4" t="e">
        <x:f>HYPERLINK("https://github.com/kapiltrip/hdlBits/blob/main/study/images/Day%2002/005-norgate.png","Image")</x:f>
        <x:v>HYPERLINK is not implemented. linkLocation=https://github.com/kapiltrip/hdlBits/blob/main/study/images/Day%2002/005-norgate.png, friendlyName=Image</x:v>
      </x:c>
      <x:c r="R15" s="4" t="e">
        <x:f>HYPERLINK("https://github.com/kapiltrip/hdlBits/blob/main/study/solutions/Day%2002/005-norgate.sv","Code")</x:f>
        <x:v>HYPERLINK is not implemented. linkLocation=https://github.com/kapiltrip/hdlBits/blob/main/study/solutions/Day%2002/005-norgate.sv, friendlyName=Code</x:v>
      </x:c>
      <x:c r="S15" s="4" t="e">
        <x:f>HYPERLINK("https://hdlbits.01xz.net/wiki/norgate","HDLBits")</x:f>
        <x:v>HYPERLINK is not implemented. linkLocation=https://hdlbits.01xz.net/wiki/norgate, friendlyName=HDLBits</x:v>
      </x:c>
      <x:c r="T15" s="2" t="s">
        <x:v>86</x:v>
      </x:c>
      <x:c r="U15" s="2"/>
    </x:row>
    <x:row r="16" ht="34.04999923706055" customHeight="1">
      <x:c r="A16" s="7">
        <x:v>8</x:v>
      </x:c>
      <x:c r="B16" s="7">
        <x:v>6</x:v>
      </x:c>
      <x:c r="C16" s="8" t="s">
        <x:v>17</x:v>
      </x:c>
      <x:c r="D16" s="8" t="s">
        <x:v>18</x:v>
      </x:c>
      <x:c r="E16" s="8" t="s">
        <x:v>87</x:v>
      </x:c>
      <x:c r="F16" s="8" t="s">
        <x:v>88</x:v>
      </x:c>
      <x:c r="G16" s="7" t="s">
        <x:v>1</x:v>
      </x:c>
      <x:c r="H16" s="7" t="s">
        <x:v>16</x:v>
      </x:c>
      <x:c r="I16" s="55">
        <x:v>46197</x:v>
      </x:c>
      <x:c r="J16" s="7" t="s">
        <x:v>89</x:v>
      </x:c>
      <x:c r="K16" s="7">
        <x:v>2</x:v>
      </x:c>
      <x:c r="L16" s="7">
        <x:v>0</x:v>
      </x:c>
      <x:c r="M16" s="7">
        <x:v>0</x:v>
      </x:c>
      <x:c r="N16" s="7">
        <x:v>0</x:v>
      </x:c>
      <x:c r="O16" s="10">
        <x:v>1</x:v>
      </x:c>
      <x:c r="P16" s="11" t="e">
        <x:f>HYPERLINK("https://github.com/kapiltrip/hdlBits/blob/main/study/problems/Day%2002/006-xnorgate.md","Note")</x:f>
        <x:v>HYPERLINK is not implemented. linkLocation=https://github.com/kapiltrip/hdlBits/blob/main/study/problems/Day%2002/006-xnorgate.md, friendlyName=Note</x:v>
      </x:c>
      <x:c r="Q16" s="11" t="e">
        <x:f>HYPERLINK("https://github.com/kapiltrip/hdlBits/blob/main/study/images/Day%2002/006-xnorgate.png","Image")</x:f>
        <x:v>HYPERLINK is not implemented. linkLocation=https://github.com/kapiltrip/hdlBits/blob/main/study/images/Day%2002/006-xnorgate.png, friendlyName=Image</x:v>
      </x:c>
      <x:c r="R16" s="11" t="e">
        <x:f>HYPERLINK("https://github.com/kapiltrip/hdlBits/blob/main/study/solutions/Day%2002/006-xnorgate.sv","Code")</x:f>
        <x:v>HYPERLINK is not implemented. linkLocation=https://github.com/kapiltrip/hdlBits/blob/main/study/solutions/Day%2002/006-xnorgate.sv, friendlyName=Code</x:v>
      </x:c>
      <x:c r="S16" s="11" t="e">
        <x:f>HYPERLINK("https://hdlbits.01xz.net/wiki/xnorgate","HDLBits")</x:f>
        <x:v>HYPERLINK is not implemented. linkLocation=https://hdlbits.01xz.net/wiki/xnorgate, friendlyName=HDLBits</x:v>
      </x:c>
      <x:c r="T16" s="8" t="s">
        <x:v>90</x:v>
      </x:c>
      <x:c r="U16" s="8"/>
    </x:row>
    <x:row r="17" ht="34.04999923706055" customHeight="1">
      <x:c r="A17" s="3">
        <x:v>9</x:v>
      </x:c>
      <x:c r="B17" s="3">
        <x:v>7</x:v>
      </x:c>
      <x:c r="C17" s="2" t="s">
        <x:v>17</x:v>
      </x:c>
      <x:c r="D17" s="2" t="s">
        <x:v>18</x:v>
      </x:c>
      <x:c r="E17" s="2" t="s">
        <x:v>91</x:v>
      </x:c>
      <x:c r="F17" s="2" t="s">
        <x:v>92</x:v>
      </x:c>
      <x:c r="G17" s="3" t="s">
        <x:v>1</x:v>
      </x:c>
      <x:c r="H17" s="3" t="s">
        <x:v>16</x:v>
      </x:c>
      <x:c r="I17" s="56">
        <x:v>46197</x:v>
      </x:c>
      <x:c r="J17" s="3" t="s">
        <x:v>93</x:v>
      </x:c>
      <x:c r="K17" s="3">
        <x:v>1</x:v>
      </x:c>
      <x:c r="L17" s="3">
        <x:v>0</x:v>
      </x:c>
      <x:c r="M17" s="3">
        <x:v>0</x:v>
      </x:c>
      <x:c r="N17" s="3">
        <x:v>0</x:v>
      </x:c>
      <x:c r="O17" s="6">
        <x:v>1</x:v>
      </x:c>
      <x:c r="P17" s="4" t="e">
        <x:f>HYPERLINK("https://github.com/kapiltrip/hdlBits/blob/main/study/problems/Day%2002/007-wire_decl.md","Note")</x:f>
        <x:v>HYPERLINK is not implemented. linkLocation=https://github.com/kapiltrip/hdlBits/blob/main/study/problems/Day%2002/007-wire_decl.md, friendlyName=Note</x:v>
      </x:c>
      <x:c r="Q17" s="4" t="e">
        <x:f>HYPERLINK("https://github.com/kapiltrip/hdlBits/blob/main/study/images/Day%2002/007-wire_decl.png","Image")</x:f>
        <x:v>HYPERLINK is not implemented. linkLocation=https://github.com/kapiltrip/hdlBits/blob/main/study/images/Day%2002/007-wire_decl.png, friendlyName=Image</x:v>
      </x:c>
      <x:c r="R17" s="4" t="e">
        <x:f>HYPERLINK("https://github.com/kapiltrip/hdlBits/blob/main/study/solutions/Day%2002/007-wire_decl.sv","Code")</x:f>
        <x:v>HYPERLINK is not implemented. linkLocation=https://github.com/kapiltrip/hdlBits/blob/main/study/solutions/Day%2002/007-wire_decl.sv, friendlyName=Code</x:v>
      </x:c>
      <x:c r="S17" s="4" t="e">
        <x:f>HYPERLINK("https://hdlbits.01xz.net/wiki/wire_decl","HDLBits")</x:f>
        <x:v>HYPERLINK is not implemented. linkLocation=https://hdlbits.01xz.net/wiki/wire_decl, friendlyName=HDLBits</x:v>
      </x:c>
      <x:c r="T17" s="2" t="s">
        <x:v>94</x:v>
      </x:c>
      <x:c r="U17" s="2"/>
    </x:row>
    <x:row r="18" ht="34.04999923706055" customHeight="1">
      <x:c r="A18" s="7">
        <x:v>10</x:v>
      </x:c>
      <x:c r="B18" s="7">
        <x:v>8</x:v>
      </x:c>
      <x:c r="C18" s="8" t="s">
        <x:v>17</x:v>
      </x:c>
      <x:c r="D18" s="8" t="s">
        <x:v>18</x:v>
      </x:c>
      <x:c r="E18" s="8" t="s">
        <x:v>95</x:v>
      </x:c>
      <x:c r="F18" s="8" t="s">
        <x:v>96</x:v>
      </x:c>
      <x:c r="G18" s="7" t="s">
        <x:v>1</x:v>
      </x:c>
      <x:c r="H18" s="7" t="s">
        <x:v>13</x:v>
      </x:c>
      <x:c r="I18" s="55">
        <x:v>46196</x:v>
      </x:c>
      <x:c r="J18" s="7" t="s">
        <x:v>97</x:v>
      </x:c>
      <x:c r="K18" s="7">
        <x:v>1</x:v>
      </x:c>
      <x:c r="L18" s="7">
        <x:v>0</x:v>
      </x:c>
      <x:c r="M18" s="7">
        <x:v>0</x:v>
      </x:c>
      <x:c r="N18" s="7">
        <x:v>0</x:v>
      </x:c>
      <x:c r="O18" s="10">
        <x:v>1</x:v>
      </x:c>
      <x:c r="P18" s="11" t="e">
        <x:f>HYPERLINK("https://github.com/kapiltrip/hdlBits/blob/main/study/problems/Day%2001/008-7458.md","Note")</x:f>
        <x:v>HYPERLINK is not implemented. linkLocation=https://github.com/kapiltrip/hdlBits/blob/main/study/problems/Day%2001/008-7458.md, friendlyName=Note</x:v>
      </x:c>
      <x:c r="Q18" s="11" t="e">
        <x:f>HYPERLINK("https://github.com/kapiltrip/hdlBits/blob/main/study/images/Day%2001/008-7458.png","Image")</x:f>
        <x:v>HYPERLINK is not implemented. linkLocation=https://github.com/kapiltrip/hdlBits/blob/main/study/images/Day%2001/008-7458.png, friendlyName=Image</x:v>
      </x:c>
      <x:c r="R18" s="11" t="e">
        <x:f>HYPERLINK("https://github.com/kapiltrip/hdlBits/blob/main/study/solutions/Day%2001/008-7458.sv","Code")</x:f>
        <x:v>HYPERLINK is not implemented. linkLocation=https://github.com/kapiltrip/hdlBits/blob/main/study/solutions/Day%2001/008-7458.sv, friendlyName=Code</x:v>
      </x:c>
      <x:c r="S18" s="11" t="e">
        <x:f>HYPERLINK("https://hdlbits.01xz.net/wiki/7458","HDLBits")</x:f>
        <x:v>HYPERLINK is not implemented. linkLocation=https://hdlbits.01xz.net/wiki/7458, friendlyName=HDLBits</x:v>
      </x:c>
      <x:c r="T18" s="8" t="s">
        <x:v>98</x:v>
      </x:c>
      <x:c r="U18" s="8"/>
    </x:row>
    <x:row r="19" ht="22.049999237060547" customHeight="1">
      <x:c r="A19" s="44" t="s">
        <x:v>99</x:v>
      </x:c>
      <x:c r="B19" s="44"/>
      <x:c r="C19" s="44"/>
      <x:c r="D19" s="44"/>
      <x:c r="E19" s="44"/>
      <x:c r="F19" s="44"/>
      <x:c r="G19" s="44"/>
      <x:c r="H19" s="44"/>
      <x:c r="I19" s="60"/>
      <x:c r="J19" s="44"/>
      <x:c r="K19" s="44"/>
      <x:c r="L19" s="44"/>
      <x:c r="M19" s="44"/>
      <x:c r="N19" s="44"/>
      <x:c r="O19" s="46"/>
      <x:c r="P19" s="44"/>
      <x:c r="Q19" s="44"/>
      <x:c r="R19" s="44"/>
      <x:c r="S19" s="44"/>
      <x:c r="T19" s="44"/>
      <x:c r="U19" s="44"/>
    </x:row>
    <x:row r="20" ht="34.04999923706055" customHeight="1">
      <x:c r="A20" s="3">
        <x:v>11</x:v>
      </x:c>
      <x:c r="B20" s="3">
        <x:v>9</x:v>
      </x:c>
      <x:c r="C20" s="2" t="s">
        <x:v>17</x:v>
      </x:c>
      <x:c r="D20" s="2" t="s">
        <x:v>20</x:v>
      </x:c>
      <x:c r="E20" s="2" t="s">
        <x:v>20</x:v>
      </x:c>
      <x:c r="F20" s="2" t="s">
        <x:v>100</x:v>
      </x:c>
      <x:c r="G20" s="3" t="s">
        <x:v>1</x:v>
      </x:c>
      <x:c r="H20" s="3" t="s">
        <x:v>13</x:v>
      </x:c>
      <x:c r="I20" s="56">
        <x:v>46196</x:v>
      </x:c>
      <x:c r="J20" s="3" t="s">
        <x:v>101</x:v>
      </x:c>
      <x:c r="K20" s="3">
        <x:v>1</x:v>
      </x:c>
      <x:c r="L20" s="3">
        <x:v>0</x:v>
      </x:c>
      <x:c r="M20" s="3">
        <x:v>0</x:v>
      </x:c>
      <x:c r="N20" s="3">
        <x:v>0</x:v>
      </x:c>
      <x:c r="O20" s="6">
        <x:v>1</x:v>
      </x:c>
      <x:c r="P20" s="4" t="e">
        <x:f>HYPERLINK("https://github.com/kapiltrip/hdlBits/blob/main/study/problems/Day%2001/009-vector0.md","Note")</x:f>
        <x:v>HYPERLINK is not implemented. linkLocation=https://github.com/kapiltrip/hdlBits/blob/main/study/problems/Day%2001/009-vector0.md, friendlyName=Note</x:v>
      </x:c>
      <x:c r="Q20" s="4" t="e">
        <x:f>HYPERLINK("https://github.com/kapiltrip/hdlBits/blob/main/study/images/Day%2001/009-vector0.png","Image")</x:f>
        <x:v>HYPERLINK is not implemented. linkLocation=https://github.com/kapiltrip/hdlBits/blob/main/study/images/Day%2001/009-vector0.png, friendlyName=Image</x:v>
      </x:c>
      <x:c r="R20" s="4" t="e">
        <x:f>HYPERLINK("https://github.com/kapiltrip/hdlBits/blob/main/study/solutions/Day%2001/009-vector0.sv","Code")</x:f>
        <x:v>HYPERLINK is not implemented. linkLocation=https://github.com/kapiltrip/hdlBits/blob/main/study/solutions/Day%2001/009-vector0.sv, friendlyName=Code</x:v>
      </x:c>
      <x:c r="S20" s="4" t="e">
        <x:f>HYPERLINK("https://hdlbits.01xz.net/wiki/vector0","HDLBits")</x:f>
        <x:v>HYPERLINK is not implemented. linkLocation=https://hdlbits.01xz.net/wiki/vector0, friendlyName=HDLBits</x:v>
      </x:c>
      <x:c r="T20" s="2" t="s">
        <x:v>102</x:v>
      </x:c>
      <x:c r="U20" s="2"/>
    </x:row>
    <x:row r="21" ht="34.04999923706055" customHeight="1">
      <x:c r="A21" s="7">
        <x:v>12</x:v>
      </x:c>
      <x:c r="B21" s="7">
        <x:v>10</x:v>
      </x:c>
      <x:c r="C21" s="8" t="s">
        <x:v>17</x:v>
      </x:c>
      <x:c r="D21" s="8" t="s">
        <x:v>20</x:v>
      </x:c>
      <x:c r="E21" s="8" t="s">
        <x:v>103</x:v>
      </x:c>
      <x:c r="F21" s="8" t="s">
        <x:v>104</x:v>
      </x:c>
      <x:c r="G21" s="7" t="s">
        <x:v>1</x:v>
      </x:c>
      <x:c r="H21" s="7" t="s">
        <x:v>13</x:v>
      </x:c>
      <x:c r="I21" s="55">
        <x:v>46196</x:v>
      </x:c>
      <x:c r="J21" s="7" t="s">
        <x:v>105</x:v>
      </x:c>
      <x:c r="K21" s="7">
        <x:v>10</x:v>
      </x:c>
      <x:c r="L21" s="7">
        <x:v>0</x:v>
      </x:c>
      <x:c r="M21" s="7">
        <x:v>9</x:v>
      </x:c>
      <x:c r="N21" s="7">
        <x:v>0</x:v>
      </x:c>
      <x:c r="O21" s="10">
        <x:v>0.1</x:v>
      </x:c>
      <x:c r="P21" s="11" t="e">
        <x:f>HYPERLINK("https://github.com/kapiltrip/hdlBits/blob/main/study/problems/Day%2001/010-vector1.md","Note")</x:f>
        <x:v>HYPERLINK is not implemented. linkLocation=https://github.com/kapiltrip/hdlBits/blob/main/study/problems/Day%2001/010-vector1.md, friendlyName=Note</x:v>
      </x:c>
      <x:c r="Q21" s="11" t="e">
        <x:f>HYPERLINK("https://github.com/kapiltrip/hdlBits/blob/main/study/images/Day%2001/010-vector1.png","Image")</x:f>
        <x:v>HYPERLINK is not implemented. linkLocation=https://github.com/kapiltrip/hdlBits/blob/main/study/images/Day%2001/010-vector1.png, friendlyName=Image</x:v>
      </x:c>
      <x:c r="R21" s="11" t="e">
        <x:f>HYPERLINK("https://github.com/kapiltrip/hdlBits/blob/main/study/solutions/Day%2001/010-vector1.sv","Code")</x:f>
        <x:v>HYPERLINK is not implemented. linkLocation=https://github.com/kapiltrip/hdlBits/blob/main/study/solutions/Day%2001/010-vector1.sv, friendlyName=Code</x:v>
      </x:c>
      <x:c r="S21" s="11" t="e">
        <x:f>HYPERLINK("https://hdlbits.01xz.net/wiki/vector1","HDLBits")</x:f>
        <x:v>HYPERLINK is not implemented. linkLocation=https://hdlbits.01xz.net/wiki/vector1, friendlyName=HDLBits</x:v>
      </x:c>
      <x:c r="T21" s="8" t="s">
        <x:v>106</x:v>
      </x:c>
      <x:c r="U21" s="8"/>
    </x:row>
    <x:row r="22" ht="34.04999923706055" customHeight="1">
      <x:c r="A22" s="3">
        <x:v>13</x:v>
      </x:c>
      <x:c r="B22" s="3">
        <x:v>11</x:v>
      </x:c>
      <x:c r="C22" s="2" t="s">
        <x:v>17</x:v>
      </x:c>
      <x:c r="D22" s="2" t="s">
        <x:v>20</x:v>
      </x:c>
      <x:c r="E22" s="2" t="s">
        <x:v>107</x:v>
      </x:c>
      <x:c r="F22" s="2" t="s">
        <x:v>108</x:v>
      </x:c>
      <x:c r="G22" s="3" t="s">
        <x:v>1</x:v>
      </x:c>
      <x:c r="H22" s="3" t="s">
        <x:v>13</x:v>
      </x:c>
      <x:c r="I22" s="56">
        <x:v>46196</x:v>
      </x:c>
      <x:c r="J22" s="3" t="s">
        <x:v>109</x:v>
      </x:c>
      <x:c r="K22" s="3">
        <x:v>3</x:v>
      </x:c>
      <x:c r="L22" s="3">
        <x:v>0</x:v>
      </x:c>
      <x:c r="M22" s="3">
        <x:v>2</x:v>
      </x:c>
      <x:c r="N22" s="3">
        <x:v>0</x:v>
      </x:c>
      <x:c r="O22" s="6">
        <x:v>0.33</x:v>
      </x:c>
      <x:c r="P22" s="4" t="e">
        <x:f>HYPERLINK("https://github.com/kapiltrip/hdlBits/blob/main/study/problems/Day%2001/011-vector2.md","Note")</x:f>
        <x:v>HYPERLINK is not implemented. linkLocation=https://github.com/kapiltrip/hdlBits/blob/main/study/problems/Day%2001/011-vector2.md, friendlyName=Note</x:v>
      </x:c>
      <x:c r="Q22" s="4" t="e">
        <x:f>HYPERLINK("https://github.com/kapiltrip/hdlBits/blob/main/study/images/Day%2001/011-vector2.png","Image")</x:f>
        <x:v>HYPERLINK is not implemented. linkLocation=https://github.com/kapiltrip/hdlBits/blob/main/study/images/Day%2001/011-vector2.png, friendlyName=Image</x:v>
      </x:c>
      <x:c r="R22" s="4" t="e">
        <x:f>HYPERLINK("https://github.com/kapiltrip/hdlBits/blob/main/study/solutions/Day%2001/011-vector2.sv","Code")</x:f>
        <x:v>HYPERLINK is not implemented. linkLocation=https://github.com/kapiltrip/hdlBits/blob/main/study/solutions/Day%2001/011-vector2.sv, friendlyName=Code</x:v>
      </x:c>
      <x:c r="S22" s="4" t="e">
        <x:f>HYPERLINK("https://hdlbits.01xz.net/wiki/vector2","HDLBits")</x:f>
        <x:v>HYPERLINK is not implemented. linkLocation=https://hdlbits.01xz.net/wiki/vector2, friendlyName=HDLBits</x:v>
      </x:c>
      <x:c r="T22" s="2" t="s">
        <x:v>110</x:v>
      </x:c>
      <x:c r="U22" s="2"/>
    </x:row>
    <x:row r="23" ht="34.04999923706055" customHeight="1">
      <x:c r="A23" s="7">
        <x:v>14</x:v>
      </x:c>
      <x:c r="B23" s="7">
        <x:v>12</x:v>
      </x:c>
      <x:c r="C23" s="8" t="s">
        <x:v>17</x:v>
      </x:c>
      <x:c r="D23" s="8" t="s">
        <x:v>20</x:v>
      </x:c>
      <x:c r="E23" s="8" t="s">
        <x:v>111</x:v>
      </x:c>
      <x:c r="F23" s="8" t="s">
        <x:v>112</x:v>
      </x:c>
      <x:c r="G23" s="7" t="s">
        <x:v>1</x:v>
      </x:c>
      <x:c r="H23" s="7" t="s">
        <x:v>13</x:v>
      </x:c>
      <x:c r="I23" s="55">
        <x:v>46196</x:v>
      </x:c>
      <x:c r="J23" s="7" t="s">
        <x:v>113</x:v>
      </x:c>
      <x:c r="K23" s="7">
        <x:v>1</x:v>
      </x:c>
      <x:c r="L23" s="7">
        <x:v>0</x:v>
      </x:c>
      <x:c r="M23" s="7">
        <x:v>0</x:v>
      </x:c>
      <x:c r="N23" s="7">
        <x:v>0</x:v>
      </x:c>
      <x:c r="O23" s="10">
        <x:v>1</x:v>
      </x:c>
      <x:c r="P23" s="11" t="e">
        <x:f>HYPERLINK("https://github.com/kapiltrip/hdlBits/blob/main/study/problems/Day%2001/012-vectorgates.md","Note")</x:f>
        <x:v>HYPERLINK is not implemented. linkLocation=https://github.com/kapiltrip/hdlBits/blob/main/study/problems/Day%2001/012-vectorgates.md, friendlyName=Note</x:v>
      </x:c>
      <x:c r="Q23" s="11" t="e">
        <x:f>HYPERLINK("https://github.com/kapiltrip/hdlBits/blob/main/study/images/Day%2001/012-vectorgates.png","Image")</x:f>
        <x:v>HYPERLINK is not implemented. linkLocation=https://github.com/kapiltrip/hdlBits/blob/main/study/images/Day%2001/012-vectorgates.png, friendlyName=Image</x:v>
      </x:c>
      <x:c r="R23" s="11" t="e">
        <x:f>HYPERLINK("https://github.com/kapiltrip/hdlBits/blob/main/study/solutions/Day%2001/012-vectorgates.sv","Code")</x:f>
        <x:v>HYPERLINK is not implemented. linkLocation=https://github.com/kapiltrip/hdlBits/blob/main/study/solutions/Day%2001/012-vectorgates.sv, friendlyName=Code</x:v>
      </x:c>
      <x:c r="S23" s="11" t="e">
        <x:f>HYPERLINK("https://hdlbits.01xz.net/wiki/vectorgates","HDLBits")</x:f>
        <x:v>HYPERLINK is not implemented. linkLocation=https://hdlbits.01xz.net/wiki/vectorgates, friendlyName=HDLBits</x:v>
      </x:c>
      <x:c r="T23" s="8" t="s">
        <x:v>114</x:v>
      </x:c>
      <x:c r="U23" s="8"/>
    </x:row>
    <x:row r="24" ht="34.04999923706055" customHeight="1">
      <x:c r="A24" s="3">
        <x:v>15</x:v>
      </x:c>
      <x:c r="B24" s="3">
        <x:v>13</x:v>
      </x:c>
      <x:c r="C24" s="2" t="s">
        <x:v>17</x:v>
      </x:c>
      <x:c r="D24" s="2" t="s">
        <x:v>20</x:v>
      </x:c>
      <x:c r="E24" s="2" t="s">
        <x:v>115</x:v>
      </x:c>
      <x:c r="F24" s="2" t="s">
        <x:v>116</x:v>
      </x:c>
      <x:c r="G24" s="3" t="s">
        <x:v>1</x:v>
      </x:c>
      <x:c r="H24" s="3" t="s">
        <x:v>13</x:v>
      </x:c>
      <x:c r="I24" s="56">
        <x:v>46196</x:v>
      </x:c>
      <x:c r="J24" s="3" t="s">
        <x:v>117</x:v>
      </x:c>
      <x:c r="K24" s="3">
        <x:v>8</x:v>
      </x:c>
      <x:c r="L24" s="3">
        <x:v>0</x:v>
      </x:c>
      <x:c r="M24" s="3">
        <x:v>7</x:v>
      </x:c>
      <x:c r="N24" s="3">
        <x:v>0</x:v>
      </x:c>
      <x:c r="O24" s="6">
        <x:v>0.13</x:v>
      </x:c>
      <x:c r="P24" s="4" t="e">
        <x:f>HYPERLINK("https://github.com/kapiltrip/hdlBits/blob/main/study/problems/Day%2001/013-gates4.md","Note")</x:f>
        <x:v>HYPERLINK is not implemented. linkLocation=https://github.com/kapiltrip/hdlBits/blob/main/study/problems/Day%2001/013-gates4.md, friendlyName=Note</x:v>
      </x:c>
      <x:c r="Q24" s="4" t="e">
        <x:f>HYPERLINK("https://github.com/kapiltrip/hdlBits/blob/main/study/images/Day%2001/013-gates4.png","Image")</x:f>
        <x:v>HYPERLINK is not implemented. linkLocation=https://github.com/kapiltrip/hdlBits/blob/main/study/images/Day%2001/013-gates4.png, friendlyName=Image</x:v>
      </x:c>
      <x:c r="R24" s="4" t="e">
        <x:f>HYPERLINK("https://github.com/kapiltrip/hdlBits/blob/main/study/solutions/Day%2001/013-gates4.sv","Code")</x:f>
        <x:v>HYPERLINK is not implemented. linkLocation=https://github.com/kapiltrip/hdlBits/blob/main/study/solutions/Day%2001/013-gates4.sv, friendlyName=Code</x:v>
      </x:c>
      <x:c r="S24" s="4" t="e">
        <x:f>HYPERLINK("https://hdlbits.01xz.net/wiki/gates4","HDLBits")</x:f>
        <x:v>HYPERLINK is not implemented. linkLocation=https://hdlbits.01xz.net/wiki/gates4, friendlyName=HDLBits</x:v>
      </x:c>
      <x:c r="T24" s="2" t="s">
        <x:v>118</x:v>
      </x:c>
      <x:c r="U24" s="2"/>
    </x:row>
    <x:row r="25" ht="34.04999923706055" customHeight="1">
      <x:c r="A25" s="7">
        <x:v>16</x:v>
      </x:c>
      <x:c r="B25" s="7">
        <x:v>14</x:v>
      </x:c>
      <x:c r="C25" s="8" t="s">
        <x:v>17</x:v>
      </x:c>
      <x:c r="D25" s="8" t="s">
        <x:v>20</x:v>
      </x:c>
      <x:c r="E25" s="8" t="s">
        <x:v>119</x:v>
      </x:c>
      <x:c r="F25" s="8" t="s">
        <x:v>120</x:v>
      </x:c>
      <x:c r="G25" s="7" t="s">
        <x:v>1</x:v>
      </x:c>
      <x:c r="H25" s="7" t="s">
        <x:v>13</x:v>
      </x:c>
      <x:c r="I25" s="55">
        <x:v>46196</x:v>
      </x:c>
      <x:c r="J25" s="7" t="s">
        <x:v>121</x:v>
      </x:c>
      <x:c r="K25" s="7">
        <x:v>8</x:v>
      </x:c>
      <x:c r="L25" s="7">
        <x:v>0</x:v>
      </x:c>
      <x:c r="M25" s="7">
        <x:v>7</x:v>
      </x:c>
      <x:c r="N25" s="7">
        <x:v>0</x:v>
      </x:c>
      <x:c r="O25" s="10">
        <x:v>0.13</x:v>
      </x:c>
      <x:c r="P25" s="11" t="e">
        <x:f>HYPERLINK("https://github.com/kapiltrip/hdlBits/blob/main/study/problems/Day%2001/014-vector3.md","Note")</x:f>
        <x:v>HYPERLINK is not implemented. linkLocation=https://github.com/kapiltrip/hdlBits/blob/main/study/problems/Day%2001/014-vector3.md, friendlyName=Note</x:v>
      </x:c>
      <x:c r="Q25" s="11" t="e">
        <x:f>HYPERLINK("https://github.com/kapiltrip/hdlBits/blob/main/study/images/Day%2001/014-vector3.png","Image")</x:f>
        <x:v>HYPERLINK is not implemented. linkLocation=https://github.com/kapiltrip/hdlBits/blob/main/study/images/Day%2001/014-vector3.png, friendlyName=Image</x:v>
      </x:c>
      <x:c r="R25" s="11" t="e">
        <x:f>HYPERLINK("https://github.com/kapiltrip/hdlBits/blob/main/study/solutions/Day%2001/014-vector3.sv","Code")</x:f>
        <x:v>HYPERLINK is not implemented. linkLocation=https://github.com/kapiltrip/hdlBits/blob/main/study/solutions/Day%2001/014-vector3.sv, friendlyName=Code</x:v>
      </x:c>
      <x:c r="S25" s="11" t="e">
        <x:f>HYPERLINK("https://hdlbits.01xz.net/wiki/vector3","HDLBits")</x:f>
        <x:v>HYPERLINK is not implemented. linkLocation=https://hdlbits.01xz.net/wiki/vector3, friendlyName=HDLBits</x:v>
      </x:c>
      <x:c r="T25" s="8" t="s">
        <x:v>122</x:v>
      </x:c>
      <x:c r="U25" s="8"/>
    </x:row>
    <x:row r="26" ht="34.04999923706055" customHeight="1">
      <x:c r="A26" s="3">
        <x:v>17</x:v>
      </x:c>
      <x:c r="B26" s="3">
        <x:v>15</x:v>
      </x:c>
      <x:c r="C26" s="2" t="s">
        <x:v>17</x:v>
      </x:c>
      <x:c r="D26" s="2" t="s">
        <x:v>20</x:v>
      </x:c>
      <x:c r="E26" s="2" t="s">
        <x:v>123</x:v>
      </x:c>
      <x:c r="F26" s="2" t="s">
        <x:v>124</x:v>
      </x:c>
      <x:c r="G26" s="3" t="s">
        <x:v>1</x:v>
      </x:c>
      <x:c r="H26" s="3" t="s">
        <x:v>13</x:v>
      </x:c>
      <x:c r="I26" s="56">
        <x:v>46196</x:v>
      </x:c>
      <x:c r="J26" s="3" t="s">
        <x:v>125</x:v>
      </x:c>
      <x:c r="K26" s="3">
        <x:v>2</x:v>
      </x:c>
      <x:c r="L26" s="3">
        <x:v>0</x:v>
      </x:c>
      <x:c r="M26" s="3">
        <x:v>1</x:v>
      </x:c>
      <x:c r="N26" s="3">
        <x:v>0</x:v>
      </x:c>
      <x:c r="O26" s="6">
        <x:v>0.5</x:v>
      </x:c>
      <x:c r="P26" s="4" t="e">
        <x:f>HYPERLINK("https://github.com/kapiltrip/hdlBits/blob/main/study/problems/Day%2001/015-vectorr.md","Note")</x:f>
        <x:v>HYPERLINK is not implemented. linkLocation=https://github.com/kapiltrip/hdlBits/blob/main/study/problems/Day%2001/015-vectorr.md, friendlyName=Note</x:v>
      </x:c>
      <x:c r="Q26" s="4" t="e">
        <x:f>HYPERLINK("https://github.com/kapiltrip/hdlBits/blob/main/study/images/Day%2001/015-vectorr.png","Image")</x:f>
        <x:v>HYPERLINK is not implemented. linkLocation=https://github.com/kapiltrip/hdlBits/blob/main/study/images/Day%2001/015-vectorr.png, friendlyName=Image</x:v>
      </x:c>
      <x:c r="R26" s="4" t="e">
        <x:f>HYPERLINK("https://github.com/kapiltrip/hdlBits/blob/main/study/solutions/Day%2001/015-vectorr.sv","Code")</x:f>
        <x:v>HYPERLINK is not implemented. linkLocation=https://github.com/kapiltrip/hdlBits/blob/main/study/solutions/Day%2001/015-vectorr.sv, friendlyName=Code</x:v>
      </x:c>
      <x:c r="S26" s="4" t="e">
        <x:f>HYPERLINK("https://hdlbits.01xz.net/wiki/vectorr","HDLBits")</x:f>
        <x:v>HYPERLINK is not implemented. linkLocation=https://hdlbits.01xz.net/wiki/vectorr, friendlyName=HDLBits</x:v>
      </x:c>
      <x:c r="T26" s="2" t="s">
        <x:v>126</x:v>
      </x:c>
      <x:c r="U26" s="2"/>
    </x:row>
    <x:row r="27" ht="34.04999923706055" customHeight="1">
      <x:c r="A27" s="7">
        <x:v>18</x:v>
      </x:c>
      <x:c r="B27" s="7">
        <x:v>16</x:v>
      </x:c>
      <x:c r="C27" s="8" t="s">
        <x:v>17</x:v>
      </x:c>
      <x:c r="D27" s="8" t="s">
        <x:v>20</x:v>
      </x:c>
      <x:c r="E27" s="8" t="s">
        <x:v>127</x:v>
      </x:c>
      <x:c r="F27" s="8" t="s">
        <x:v>128</x:v>
      </x:c>
      <x:c r="G27" s="7" t="s">
        <x:v>1</x:v>
      </x:c>
      <x:c r="H27" s="7" t="s">
        <x:v>13</x:v>
      </x:c>
      <x:c r="I27" s="55">
        <x:v>46196</x:v>
      </x:c>
      <x:c r="J27" s="7" t="s">
        <x:v>129</x:v>
      </x:c>
      <x:c r="K27" s="7">
        <x:v>9</x:v>
      </x:c>
      <x:c r="L27" s="7">
        <x:v>0</x:v>
      </x:c>
      <x:c r="M27" s="7">
        <x:v>8</x:v>
      </x:c>
      <x:c r="N27" s="7">
        <x:v>0</x:v>
      </x:c>
      <x:c r="O27" s="10">
        <x:v>0.11</x:v>
      </x:c>
      <x:c r="P27" s="11" t="e">
        <x:f>HYPERLINK("https://github.com/kapiltrip/hdlBits/blob/main/study/problems/Day%2001/016-vector4.md","Note")</x:f>
        <x:v>HYPERLINK is not implemented. linkLocation=https://github.com/kapiltrip/hdlBits/blob/main/study/problems/Day%2001/016-vector4.md, friendlyName=Note</x:v>
      </x:c>
      <x:c r="Q27" s="11" t="e">
        <x:f>HYPERLINK("https://github.com/kapiltrip/hdlBits/blob/main/study/images/Day%2001/016-vector4.png","Image")</x:f>
        <x:v>HYPERLINK is not implemented. linkLocation=https://github.com/kapiltrip/hdlBits/blob/main/study/images/Day%2001/016-vector4.png, friendlyName=Image</x:v>
      </x:c>
      <x:c r="R27" s="11" t="e">
        <x:f>HYPERLINK("https://github.com/kapiltrip/hdlBits/blob/main/study/solutions/Day%2001/016-vector4.sv","Code")</x:f>
        <x:v>HYPERLINK is not implemented. linkLocation=https://github.com/kapiltrip/hdlBits/blob/main/study/solutions/Day%2001/016-vector4.sv, friendlyName=Code</x:v>
      </x:c>
      <x:c r="S27" s="11" t="e">
        <x:f>HYPERLINK("https://hdlbits.01xz.net/wiki/vector4","HDLBits")</x:f>
        <x:v>HYPERLINK is not implemented. linkLocation=https://hdlbits.01xz.net/wiki/vector4, friendlyName=HDLBits</x:v>
      </x:c>
      <x:c r="T27" s="8" t="s">
        <x:v>130</x:v>
      </x:c>
      <x:c r="U27" s="8"/>
    </x:row>
    <x:row r="28" ht="34.04999923706055" customHeight="1">
      <x:c r="A28" s="3">
        <x:v>19</x:v>
      </x:c>
      <x:c r="B28" s="3">
        <x:v>17</x:v>
      </x:c>
      <x:c r="C28" s="2" t="s">
        <x:v>17</x:v>
      </x:c>
      <x:c r="D28" s="2" t="s">
        <x:v>20</x:v>
      </x:c>
      <x:c r="E28" s="2" t="s">
        <x:v>131</x:v>
      </x:c>
      <x:c r="F28" s="2" t="s">
        <x:v>132</x:v>
      </x:c>
      <x:c r="G28" s="3" t="s">
        <x:v>1</x:v>
      </x:c>
      <x:c r="H28" s="3" t="s">
        <x:v>16</x:v>
      </x:c>
      <x:c r="I28" s="56">
        <x:v>46197</x:v>
      </x:c>
      <x:c r="J28" s="3" t="s">
        <x:v>133</x:v>
      </x:c>
      <x:c r="K28" s="3">
        <x:v>5</x:v>
      </x:c>
      <x:c r="L28" s="3">
        <x:v>0</x:v>
      </x:c>
      <x:c r="M28" s="3">
        <x:v>4</x:v>
      </x:c>
      <x:c r="N28" s="3">
        <x:v>0</x:v>
      </x:c>
      <x:c r="O28" s="6">
        <x:v>0.2</x:v>
      </x:c>
      <x:c r="P28" s="4" t="e">
        <x:f>HYPERLINK("https://github.com/kapiltrip/hdlBits/blob/main/study/problems/Day%2002/017-vector5.md","Note")</x:f>
        <x:v>HYPERLINK is not implemented. linkLocation=https://github.com/kapiltrip/hdlBits/blob/main/study/problems/Day%2002/017-vector5.md, friendlyName=Note</x:v>
      </x:c>
      <x:c r="Q28" s="4" t="e">
        <x:f>HYPERLINK("https://github.com/kapiltrip/hdlBits/blob/main/study/images/Day%2002/017-vector5.png","Image")</x:f>
        <x:v>HYPERLINK is not implemented. linkLocation=https://github.com/kapiltrip/hdlBits/blob/main/study/images/Day%2002/017-vector5.png, friendlyName=Image</x:v>
      </x:c>
      <x:c r="R28" s="4" t="e">
        <x:f>HYPERLINK("https://github.com/kapiltrip/hdlBits/blob/main/study/solutions/Day%2002/017-vector5.sv","Code")</x:f>
        <x:v>HYPERLINK is not implemented. linkLocation=https://github.com/kapiltrip/hdlBits/blob/main/study/solutions/Day%2002/017-vector5.sv, friendlyName=Code</x:v>
      </x:c>
      <x:c r="S28" s="4" t="e">
        <x:f>HYPERLINK("https://hdlbits.01xz.net/wiki/vector5","HDLBits")</x:f>
        <x:v>HYPERLINK is not implemented. linkLocation=https://hdlbits.01xz.net/wiki/vector5, friendlyName=HDLBits</x:v>
      </x:c>
      <x:c r="T28" s="2" t="s">
        <x:v>134</x:v>
      </x:c>
      <x:c r="U28" s="2"/>
    </x:row>
    <x:row r="29" ht="22.049999237060547" customHeight="1">
      <x:c r="A29" s="44" t="s">
        <x:v>135</x:v>
      </x:c>
      <x:c r="B29" s="44"/>
      <x:c r="C29" s="44"/>
      <x:c r="D29" s="44"/>
      <x:c r="E29" s="44"/>
      <x:c r="F29" s="44"/>
      <x:c r="G29" s="44"/>
      <x:c r="H29" s="44"/>
      <x:c r="I29" s="60"/>
      <x:c r="J29" s="44"/>
      <x:c r="K29" s="44"/>
      <x:c r="L29" s="44"/>
      <x:c r="M29" s="44"/>
      <x:c r="N29" s="44"/>
      <x:c r="O29" s="46"/>
      <x:c r="P29" s="44"/>
      <x:c r="Q29" s="44"/>
      <x:c r="R29" s="44"/>
      <x:c r="S29" s="44"/>
      <x:c r="T29" s="44"/>
      <x:c r="U29" s="44"/>
    </x:row>
    <x:row r="30" ht="34.04999923706055" customHeight="1">
      <x:c r="A30" s="7">
        <x:v>20</x:v>
      </x:c>
      <x:c r="B30" s="7">
        <x:v>18</x:v>
      </x:c>
      <x:c r="C30" s="8" t="s">
        <x:v>17</x:v>
      </x:c>
      <x:c r="D30" s="8" t="s">
        <x:v>22</x:v>
      </x:c>
      <x:c r="E30" s="8" t="s">
        <x:v>136</x:v>
      </x:c>
      <x:c r="F30" s="8" t="s">
        <x:v>137</x:v>
      </x:c>
      <x:c r="G30" s="7" t="s">
        <x:v>1</x:v>
      </x:c>
      <x:c r="H30" s="7" t="s">
        <x:v>16</x:v>
      </x:c>
      <x:c r="I30" s="55">
        <x:v>46197</x:v>
      </x:c>
      <x:c r="J30" s="7" t="s">
        <x:v>138</x:v>
      </x:c>
      <x:c r="K30" s="7">
        <x:v>1</x:v>
      </x:c>
      <x:c r="L30" s="7">
        <x:v>0</x:v>
      </x:c>
      <x:c r="M30" s="7">
        <x:v>0</x:v>
      </x:c>
      <x:c r="N30" s="7">
        <x:v>0</x:v>
      </x:c>
      <x:c r="O30" s="10">
        <x:v>1</x:v>
      </x:c>
      <x:c r="P30" s="11" t="e">
        <x:f>HYPERLINK("https://github.com/kapiltrip/hdlBits/blob/main/study/problems/Day%2002/018-module.md","Note")</x:f>
        <x:v>HYPERLINK is not implemented. linkLocation=https://github.com/kapiltrip/hdlBits/blob/main/study/problems/Day%2002/018-module.md, friendlyName=Note</x:v>
      </x:c>
      <x:c r="Q30" s="11" t="e">
        <x:f>HYPERLINK("https://github.com/kapiltrip/hdlBits/blob/main/study/images/Day%2002/018-module.png","Image")</x:f>
        <x:v>HYPERLINK is not implemented. linkLocation=https://github.com/kapiltrip/hdlBits/blob/main/study/images/Day%2002/018-module.png, friendlyName=Image</x:v>
      </x:c>
      <x:c r="R30" s="11" t="e">
        <x:f>HYPERLINK("https://github.com/kapiltrip/hdlBits/blob/main/study/solutions/Day%2002/018-module.sv","Code")</x:f>
        <x:v>HYPERLINK is not implemented. linkLocation=https://github.com/kapiltrip/hdlBits/blob/main/study/solutions/Day%2002/018-module.sv, friendlyName=Code</x:v>
      </x:c>
      <x:c r="S30" s="11" t="e">
        <x:f>HYPERLINK("https://hdlbits.01xz.net/wiki/module","HDLBits")</x:f>
        <x:v>HYPERLINK is not implemented. linkLocation=https://hdlbits.01xz.net/wiki/module, friendlyName=HDLBits</x:v>
      </x:c>
      <x:c r="T30" s="8" t="s">
        <x:v>139</x:v>
      </x:c>
      <x:c r="U30" s="8"/>
    </x:row>
    <x:row r="31" ht="34.04999923706055" customHeight="1">
      <x:c r="A31" s="3">
        <x:v>21</x:v>
      </x:c>
      <x:c r="B31" s="3">
        <x:v>19</x:v>
      </x:c>
      <x:c r="C31" s="2" t="s">
        <x:v>17</x:v>
      </x:c>
      <x:c r="D31" s="2" t="s">
        <x:v>22</x:v>
      </x:c>
      <x:c r="E31" s="2" t="s">
        <x:v>140</x:v>
      </x:c>
      <x:c r="F31" s="2" t="s">
        <x:v>141</x:v>
      </x:c>
      <x:c r="G31" s="3" t="s">
        <x:v>1</x:v>
      </x:c>
      <x:c r="H31" s="3" t="s">
        <x:v>16</x:v>
      </x:c>
      <x:c r="I31" s="56">
        <x:v>46197</x:v>
      </x:c>
      <x:c r="J31" s="3" t="s">
        <x:v>142</x:v>
      </x:c>
      <x:c r="K31" s="3">
        <x:v>2</x:v>
      </x:c>
      <x:c r="L31" s="3">
        <x:v>0</x:v>
      </x:c>
      <x:c r="M31" s="3">
        <x:v>0</x:v>
      </x:c>
      <x:c r="N31" s="3">
        <x:v>0</x:v>
      </x:c>
      <x:c r="O31" s="6">
        <x:v>1</x:v>
      </x:c>
      <x:c r="P31" s="4" t="e">
        <x:f>HYPERLINK("https://github.com/kapiltrip/hdlBits/blob/main/study/problems/Day%2002/019-module_pos.md","Note")</x:f>
        <x:v>HYPERLINK is not implemented. linkLocation=https://github.com/kapiltrip/hdlBits/blob/main/study/problems/Day%2002/019-module_pos.md, friendlyName=Note</x:v>
      </x:c>
      <x:c r="Q31" s="4" t="e">
        <x:f>HYPERLINK("https://github.com/kapiltrip/hdlBits/blob/main/study/images/Day%2002/019-module_pos.png","Image")</x:f>
        <x:v>HYPERLINK is not implemented. linkLocation=https://github.com/kapiltrip/hdlBits/blob/main/study/images/Day%2002/019-module_pos.png, friendlyName=Image</x:v>
      </x:c>
      <x:c r="R31" s="4" t="e">
        <x:f>HYPERLINK("https://github.com/kapiltrip/hdlBits/blob/main/study/solutions/Day%2002/019-module_pos.sv","Code")</x:f>
        <x:v>HYPERLINK is not implemented. linkLocation=https://github.com/kapiltrip/hdlBits/blob/main/study/solutions/Day%2002/019-module_pos.sv, friendlyName=Code</x:v>
      </x:c>
      <x:c r="S31" s="4" t="e">
        <x:f>HYPERLINK("https://hdlbits.01xz.net/wiki/module_pos","HDLBits")</x:f>
        <x:v>HYPERLINK is not implemented. linkLocation=https://hdlbits.01xz.net/wiki/module_pos, friendlyName=HDLBits</x:v>
      </x:c>
      <x:c r="T31" s="2" t="s">
        <x:v>143</x:v>
      </x:c>
      <x:c r="U31" s="2"/>
    </x:row>
    <x:row r="32" ht="34.04999923706055" customHeight="1">
      <x:c r="A32" s="7">
        <x:v>22</x:v>
      </x:c>
      <x:c r="B32" s="7">
        <x:v>20</x:v>
      </x:c>
      <x:c r="C32" s="8" t="s">
        <x:v>17</x:v>
      </x:c>
      <x:c r="D32" s="8" t="s">
        <x:v>22</x:v>
      </x:c>
      <x:c r="E32" s="8" t="s">
        <x:v>144</x:v>
      </x:c>
      <x:c r="F32" s="8" t="s">
        <x:v>145</x:v>
      </x:c>
      <x:c r="G32" s="7" t="s">
        <x:v>1</x:v>
      </x:c>
      <x:c r="H32" s="7" t="s">
        <x:v>16</x:v>
      </x:c>
      <x:c r="I32" s="55">
        <x:v>46197</x:v>
      </x:c>
      <x:c r="J32" s="7" t="s">
        <x:v>146</x:v>
      </x:c>
      <x:c r="K32" s="7">
        <x:v>1</x:v>
      </x:c>
      <x:c r="L32" s="7">
        <x:v>0</x:v>
      </x:c>
      <x:c r="M32" s="7">
        <x:v>0</x:v>
      </x:c>
      <x:c r="N32" s="7">
        <x:v>0</x:v>
      </x:c>
      <x:c r="O32" s="10">
        <x:v>1</x:v>
      </x:c>
      <x:c r="P32" s="11" t="e">
        <x:f>HYPERLINK("https://github.com/kapiltrip/hdlBits/blob/main/study/problems/Day%2002/020-module_name.md","Note")</x:f>
        <x:v>HYPERLINK is not implemented. linkLocation=https://github.com/kapiltrip/hdlBits/blob/main/study/problems/Day%2002/020-module_name.md, friendlyName=Note</x:v>
      </x:c>
      <x:c r="Q32" s="11" t="e">
        <x:f>HYPERLINK("https://github.com/kapiltrip/hdlBits/blob/main/study/images/Day%2002/020-module_name.png","Image")</x:f>
        <x:v>HYPERLINK is not implemented. linkLocation=https://github.com/kapiltrip/hdlBits/blob/main/study/images/Day%2002/020-module_name.png, friendlyName=Image</x:v>
      </x:c>
      <x:c r="R32" s="11" t="e">
        <x:f>HYPERLINK("https://github.com/kapiltrip/hdlBits/blob/main/study/solutions/Day%2002/020-module_name.sv","Code")</x:f>
        <x:v>HYPERLINK is not implemented. linkLocation=https://github.com/kapiltrip/hdlBits/blob/main/study/solutions/Day%2002/020-module_name.sv, friendlyName=Code</x:v>
      </x:c>
      <x:c r="S32" s="11" t="e">
        <x:f>HYPERLINK("https://hdlbits.01xz.net/wiki/module_name","HDLBits")</x:f>
        <x:v>HYPERLINK is not implemented. linkLocation=https://hdlbits.01xz.net/wiki/module_name, friendlyName=HDLBits</x:v>
      </x:c>
      <x:c r="T32" s="8" t="s">
        <x:v>147</x:v>
      </x:c>
      <x:c r="U32" s="8"/>
    </x:row>
    <x:row r="33" ht="34.04999923706055" customHeight="1">
      <x:c r="A33" s="3">
        <x:v>23</x:v>
      </x:c>
      <x:c r="B33" s="3">
        <x:v>21</x:v>
      </x:c>
      <x:c r="C33" s="2" t="s">
        <x:v>17</x:v>
      </x:c>
      <x:c r="D33" s="2" t="s">
        <x:v>22</x:v>
      </x:c>
      <x:c r="E33" s="2" t="s">
        <x:v>148</x:v>
      </x:c>
      <x:c r="F33" s="2" t="s">
        <x:v>149</x:v>
      </x:c>
      <x:c r="G33" s="3" t="s">
        <x:v>1</x:v>
      </x:c>
      <x:c r="H33" s="3" t="s">
        <x:v>16</x:v>
      </x:c>
      <x:c r="I33" s="56">
        <x:v>46197</x:v>
      </x:c>
      <x:c r="J33" s="3" t="s">
        <x:v>150</x:v>
      </x:c>
      <x:c r="K33" s="3">
        <x:v>2</x:v>
      </x:c>
      <x:c r="L33" s="3">
        <x:v>0</x:v>
      </x:c>
      <x:c r="M33" s="3">
        <x:v>1</x:v>
      </x:c>
      <x:c r="N33" s="3">
        <x:v>0</x:v>
      </x:c>
      <x:c r="O33" s="6">
        <x:v>0.5</x:v>
      </x:c>
      <x:c r="P33" s="4" t="e">
        <x:f>HYPERLINK("https://github.com/kapiltrip/hdlBits/blob/main/study/problems/Day%2002/021-module_shift.md","Note")</x:f>
        <x:v>HYPERLINK is not implemented. linkLocation=https://github.com/kapiltrip/hdlBits/blob/main/study/problems/Day%2002/021-module_shift.md, friendlyName=Note</x:v>
      </x:c>
      <x:c r="Q33" s="4" t="e">
        <x:f>HYPERLINK("https://github.com/kapiltrip/hdlBits/blob/main/study/images/Day%2002/021-module_shift.png","Image")</x:f>
        <x:v>HYPERLINK is not implemented. linkLocation=https://github.com/kapiltrip/hdlBits/blob/main/study/images/Day%2002/021-module_shift.png, friendlyName=Image</x:v>
      </x:c>
      <x:c r="R33" s="4" t="e">
        <x:f>HYPERLINK("https://github.com/kapiltrip/hdlBits/blob/main/study/solutions/Day%2002/021-module_shift.sv","Code")</x:f>
        <x:v>HYPERLINK is not implemented. linkLocation=https://github.com/kapiltrip/hdlBits/blob/main/study/solutions/Day%2002/021-module_shift.sv, friendlyName=Code</x:v>
      </x:c>
      <x:c r="S33" s="4" t="e">
        <x:f>HYPERLINK("https://hdlbits.01xz.net/wiki/module_shift","HDLBits")</x:f>
        <x:v>HYPERLINK is not implemented. linkLocation=https://hdlbits.01xz.net/wiki/module_shift, friendlyName=HDLBits</x:v>
      </x:c>
      <x:c r="T33" s="2" t="s">
        <x:v>151</x:v>
      </x:c>
      <x:c r="U33" s="2"/>
    </x:row>
    <x:row r="34" ht="34.04999923706055" customHeight="1">
      <x:c r="A34" s="7">
        <x:v>24</x:v>
      </x:c>
      <x:c r="B34" s="7">
        <x:v>22</x:v>
      </x:c>
      <x:c r="C34" s="8" t="s">
        <x:v>17</x:v>
      </x:c>
      <x:c r="D34" s="8" t="s">
        <x:v>22</x:v>
      </x:c>
      <x:c r="E34" s="8" t="s">
        <x:v>152</x:v>
      </x:c>
      <x:c r="F34" s="8" t="s">
        <x:v>153</x:v>
      </x:c>
      <x:c r="G34" s="7" t="s">
        <x:v>1</x:v>
      </x:c>
      <x:c r="H34" s="7" t="s">
        <x:v>16</x:v>
      </x:c>
      <x:c r="I34" s="55">
        <x:v>46197</x:v>
      </x:c>
      <x:c r="J34" s="7" t="s">
        <x:v>154</x:v>
      </x:c>
      <x:c r="K34" s="7">
        <x:v>7</x:v>
      </x:c>
      <x:c r="L34" s="7">
        <x:v>2</x:v>
      </x:c>
      <x:c r="M34" s="7">
        <x:v>4</x:v>
      </x:c>
      <x:c r="N34" s="7">
        <x:v>0</x:v>
      </x:c>
      <x:c r="O34" s="10">
        <x:v>0.14000000000000001</x:v>
      </x:c>
      <x:c r="P34" s="11" t="e">
        <x:f>HYPERLINK("https://github.com/kapiltrip/hdlBits/blob/main/study/problems/Day%2002/022-module_shift8.md","Note")</x:f>
        <x:v>HYPERLINK is not implemented. linkLocation=https://github.com/kapiltrip/hdlBits/blob/main/study/problems/Day%2002/022-module_shift8.md, friendlyName=Note</x:v>
      </x:c>
      <x:c r="Q34" s="11" t="e">
        <x:f>HYPERLINK("https://github.com/kapiltrip/hdlBits/blob/main/study/images/Day%2002/022-module_shift8.png","Image")</x:f>
        <x:v>HYPERLINK is not implemented. linkLocation=https://github.com/kapiltrip/hdlBits/blob/main/study/images/Day%2002/022-module_shift8.png, friendlyName=Image</x:v>
      </x:c>
      <x:c r="R34" s="11" t="e">
        <x:f>HYPERLINK("https://github.com/kapiltrip/hdlBits/blob/main/study/solutions/Day%2002/022-module_shift8.sv","Code")</x:f>
        <x:v>HYPERLINK is not implemented. linkLocation=https://github.com/kapiltrip/hdlBits/blob/main/study/solutions/Day%2002/022-module_shift8.sv, friendlyName=Code</x:v>
      </x:c>
      <x:c r="S34" s="11" t="e">
        <x:f>HYPERLINK("https://hdlbits.01xz.net/wiki/module_shift8","HDLBits")</x:f>
        <x:v>HYPERLINK is not implemented. linkLocation=https://hdlbits.01xz.net/wiki/module_shift8, friendlyName=HDLBits</x:v>
      </x:c>
      <x:c r="T34" s="8" t="s">
        <x:v>155</x:v>
      </x:c>
      <x:c r="U34" s="8"/>
    </x:row>
    <x:row r="35" ht="34.04999923706055" customHeight="1">
      <x:c r="A35" s="3">
        <x:v>25</x:v>
      </x:c>
      <x:c r="B35" s="3">
        <x:v>23</x:v>
      </x:c>
      <x:c r="C35" s="2" t="s">
        <x:v>17</x:v>
      </x:c>
      <x:c r="D35" s="2" t="s">
        <x:v>22</x:v>
      </x:c>
      <x:c r="E35" s="2" t="s">
        <x:v>156</x:v>
      </x:c>
      <x:c r="F35" s="2" t="s">
        <x:v>157</x:v>
      </x:c>
      <x:c r="G35" s="3" t="s">
        <x:v>1</x:v>
      </x:c>
      <x:c r="H35" s="3" t="s">
        <x:v>16</x:v>
      </x:c>
      <x:c r="I35" s="56">
        <x:v>46197</x:v>
      </x:c>
      <x:c r="J35" s="3" t="s">
        <x:v>158</x:v>
      </x:c>
      <x:c r="K35" s="3">
        <x:v>1</x:v>
      </x:c>
      <x:c r="L35" s="3">
        <x:v>0</x:v>
      </x:c>
      <x:c r="M35" s="3">
        <x:v>0</x:v>
      </x:c>
      <x:c r="N35" s="3">
        <x:v>0</x:v>
      </x:c>
      <x:c r="O35" s="6">
        <x:v>1</x:v>
      </x:c>
      <x:c r="P35" s="4" t="e">
        <x:f>HYPERLINK("https://github.com/kapiltrip/hdlBits/blob/main/study/problems/Day%2002/023-module_add.md","Note")</x:f>
        <x:v>HYPERLINK is not implemented. linkLocation=https://github.com/kapiltrip/hdlBits/blob/main/study/problems/Day%2002/023-module_add.md, friendlyName=Note</x:v>
      </x:c>
      <x:c r="Q35" s="4" t="e">
        <x:f>HYPERLINK("https://github.com/kapiltrip/hdlBits/blob/main/study/images/Day%2002/023-module_add.png","Image")</x:f>
        <x:v>HYPERLINK is not implemented. linkLocation=https://github.com/kapiltrip/hdlBits/blob/main/study/images/Day%2002/023-module_add.png, friendlyName=Image</x:v>
      </x:c>
      <x:c r="R35" s="4" t="e">
        <x:f>HYPERLINK("https://github.com/kapiltrip/hdlBits/blob/main/study/solutions/Day%2002/023-module_add.sv","Code")</x:f>
        <x:v>HYPERLINK is not implemented. linkLocation=https://github.com/kapiltrip/hdlBits/blob/main/study/solutions/Day%2002/023-module_add.sv, friendlyName=Code</x:v>
      </x:c>
      <x:c r="S35" s="4" t="e">
        <x:f>HYPERLINK("https://hdlbits.01xz.net/wiki/module_add","HDLBits")</x:f>
        <x:v>HYPERLINK is not implemented. linkLocation=https://hdlbits.01xz.net/wiki/module_add, friendlyName=HDLBits</x:v>
      </x:c>
      <x:c r="T35" s="2" t="s">
        <x:v>159</x:v>
      </x:c>
      <x:c r="U35" s="2"/>
    </x:row>
    <x:row r="36" ht="34.04999923706055" customHeight="1">
      <x:c r="A36" s="7">
        <x:v>26</x:v>
      </x:c>
      <x:c r="B36" s="7">
        <x:v>24</x:v>
      </x:c>
      <x:c r="C36" s="8" t="s">
        <x:v>17</x:v>
      </x:c>
      <x:c r="D36" s="8" t="s">
        <x:v>22</x:v>
      </x:c>
      <x:c r="E36" s="8" t="s">
        <x:v>160</x:v>
      </x:c>
      <x:c r="F36" s="8" t="s">
        <x:v>161</x:v>
      </x:c>
      <x:c r="G36" s="7" t="s">
        <x:v>1</x:v>
      </x:c>
      <x:c r="H36" s="7" t="s">
        <x:v>16</x:v>
      </x:c>
      <x:c r="I36" s="55">
        <x:v>46197</x:v>
      </x:c>
      <x:c r="J36" s="7" t="s">
        <x:v>162</x:v>
      </x:c>
      <x:c r="K36" s="7">
        <x:v>4</x:v>
      </x:c>
      <x:c r="L36" s="7">
        <x:v>1</x:v>
      </x:c>
      <x:c r="M36" s="7">
        <x:v>2</x:v>
      </x:c>
      <x:c r="N36" s="7">
        <x:v>0</x:v>
      </x:c>
      <x:c r="O36" s="10">
        <x:v>0.25</x:v>
      </x:c>
      <x:c r="P36" s="11" t="e">
        <x:f>HYPERLINK("https://github.com/kapiltrip/hdlBits/blob/main/study/problems/Day%2002/024-module_fadd.md","Note")</x:f>
        <x:v>HYPERLINK is not implemented. linkLocation=https://github.com/kapiltrip/hdlBits/blob/main/study/problems/Day%2002/024-module_fadd.md, friendlyName=Note</x:v>
      </x:c>
      <x:c r="Q36" s="11" t="e">
        <x:f>HYPERLINK("https://github.com/kapiltrip/hdlBits/blob/main/study/images/Day%2002/024-module_fadd.png","Image")</x:f>
        <x:v>HYPERLINK is not implemented. linkLocation=https://github.com/kapiltrip/hdlBits/blob/main/study/images/Day%2002/024-module_fadd.png, friendlyName=Image</x:v>
      </x:c>
      <x:c r="R36" s="11" t="e">
        <x:f>HYPERLINK("https://github.com/kapiltrip/hdlBits/blob/main/study/solutions/Day%2002/024-module_fadd.sv","Code")</x:f>
        <x:v>HYPERLINK is not implemented. linkLocation=https://github.com/kapiltrip/hdlBits/blob/main/study/solutions/Day%2002/024-module_fadd.sv, friendlyName=Code</x:v>
      </x:c>
      <x:c r="S36" s="11" t="e">
        <x:f>HYPERLINK("https://hdlbits.01xz.net/wiki/module_fadd","HDLBits")</x:f>
        <x:v>HYPERLINK is not implemented. linkLocation=https://hdlbits.01xz.net/wiki/module_fadd, friendlyName=HDLBits</x:v>
      </x:c>
      <x:c r="T36" s="8" t="s">
        <x:v>163</x:v>
      </x:c>
      <x:c r="U36" s="8"/>
    </x:row>
    <x:row r="37" ht="34.04999923706055" customHeight="1">
      <x:c r="A37" s="3">
        <x:v>27</x:v>
      </x:c>
      <x:c r="B37" s="3">
        <x:v>25</x:v>
      </x:c>
      <x:c r="C37" s="2" t="s">
        <x:v>17</x:v>
      </x:c>
      <x:c r="D37" s="2" t="s">
        <x:v>22</x:v>
      </x:c>
      <x:c r="E37" s="2" t="s">
        <x:v>164</x:v>
      </x:c>
      <x:c r="F37" s="2" t="s">
        <x:v>165</x:v>
      </x:c>
      <x:c r="G37" s="3" t="s">
        <x:v>1</x:v>
      </x:c>
      <x:c r="H37" s="3" t="s">
        <x:v>16</x:v>
      </x:c>
      <x:c r="I37" s="56">
        <x:v>46197</x:v>
      </x:c>
      <x:c r="J37" s="3" t="s">
        <x:v>166</x:v>
      </x:c>
      <x:c r="K37" s="3">
        <x:v>2</x:v>
      </x:c>
      <x:c r="L37" s="3">
        <x:v>0</x:v>
      </x:c>
      <x:c r="M37" s="3">
        <x:v>1</x:v>
      </x:c>
      <x:c r="N37" s="3">
        <x:v>0</x:v>
      </x:c>
      <x:c r="O37" s="6">
        <x:v>0.5</x:v>
      </x:c>
      <x:c r="P37" s="4" t="e">
        <x:f>HYPERLINK("https://github.com/kapiltrip/hdlBits/blob/main/study/problems/Day%2002/025-module_cseladd.md","Note")</x:f>
        <x:v>HYPERLINK is not implemented. linkLocation=https://github.com/kapiltrip/hdlBits/blob/main/study/problems/Day%2002/025-module_cseladd.md, friendlyName=Note</x:v>
      </x:c>
      <x:c r="Q37" s="4" t="e">
        <x:f>HYPERLINK("https://github.com/kapiltrip/hdlBits/blob/main/study/images/Day%2002/025-module_cseladd.png","Image")</x:f>
        <x:v>HYPERLINK is not implemented. linkLocation=https://github.com/kapiltrip/hdlBits/blob/main/study/images/Day%2002/025-module_cseladd.png, friendlyName=Image</x:v>
      </x:c>
      <x:c r="R37" s="4" t="e">
        <x:f>HYPERLINK("https://github.com/kapiltrip/hdlBits/blob/main/study/solutions/Day%2002/025-module_cseladd.sv","Code")</x:f>
        <x:v>HYPERLINK is not implemented. linkLocation=https://github.com/kapiltrip/hdlBits/blob/main/study/solutions/Day%2002/025-module_cseladd.sv, friendlyName=Code</x:v>
      </x:c>
      <x:c r="S37" s="4" t="e">
        <x:f>HYPERLINK("https://hdlbits.01xz.net/wiki/module_cseladd","HDLBits")</x:f>
        <x:v>HYPERLINK is not implemented. linkLocation=https://hdlbits.01xz.net/wiki/module_cseladd, friendlyName=HDLBits</x:v>
      </x:c>
      <x:c r="T37" s="2" t="s">
        <x:v>167</x:v>
      </x:c>
      <x:c r="U37" s="2"/>
    </x:row>
    <x:row r="38" ht="34.04999923706055" customHeight="1">
      <x:c r="A38" s="7">
        <x:v>28</x:v>
      </x:c>
      <x:c r="B38" s="7">
        <x:v>26</x:v>
      </x:c>
      <x:c r="C38" s="8" t="s">
        <x:v>17</x:v>
      </x:c>
      <x:c r="D38" s="8" t="s">
        <x:v>22</x:v>
      </x:c>
      <x:c r="E38" s="8" t="s">
        <x:v>168</x:v>
      </x:c>
      <x:c r="F38" s="8" t="s">
        <x:v>169</x:v>
      </x:c>
      <x:c r="G38" s="7" t="s">
        <x:v>1</x:v>
      </x:c>
      <x:c r="H38" s="7" t="s">
        <x:v>16</x:v>
      </x:c>
      <x:c r="I38" s="55">
        <x:v>46197</x:v>
      </x:c>
      <x:c r="J38" s="7" t="s">
        <x:v>170</x:v>
      </x:c>
      <x:c r="K38" s="7">
        <x:v>1</x:v>
      </x:c>
      <x:c r="L38" s="7">
        <x:v>0</x:v>
      </x:c>
      <x:c r="M38" s="7">
        <x:v>0</x:v>
      </x:c>
      <x:c r="N38" s="7">
        <x:v>0</x:v>
      </x:c>
      <x:c r="O38" s="10">
        <x:v>1</x:v>
      </x:c>
      <x:c r="P38" s="11" t="e">
        <x:f>HYPERLINK("https://github.com/kapiltrip/hdlBits/blob/main/study/problems/Day%2002/026-module_addsub.md","Note")</x:f>
        <x:v>HYPERLINK is not implemented. linkLocation=https://github.com/kapiltrip/hdlBits/blob/main/study/problems/Day%2002/026-module_addsub.md, friendlyName=Note</x:v>
      </x:c>
      <x:c r="Q38" s="11" t="e">
        <x:f>HYPERLINK("https://github.com/kapiltrip/hdlBits/blob/main/study/images/Day%2002/026-module_addsub.png","Image")</x:f>
        <x:v>HYPERLINK is not implemented. linkLocation=https://github.com/kapiltrip/hdlBits/blob/main/study/images/Day%2002/026-module_addsub.png, friendlyName=Image</x:v>
      </x:c>
      <x:c r="R38" s="11" t="e">
        <x:f>HYPERLINK("https://github.com/kapiltrip/hdlBits/blob/main/study/solutions/Day%2002/026-module_addsub.sv","Code")</x:f>
        <x:v>HYPERLINK is not implemented. linkLocation=https://github.com/kapiltrip/hdlBits/blob/main/study/solutions/Day%2002/026-module_addsub.sv, friendlyName=Code</x:v>
      </x:c>
      <x:c r="S38" s="11" t="e">
        <x:f>HYPERLINK("https://hdlbits.01xz.net/wiki/module_addsub","HDLBits")</x:f>
        <x:v>HYPERLINK is not implemented. linkLocation=https://hdlbits.01xz.net/wiki/module_addsub, friendlyName=HDLBits</x:v>
      </x:c>
      <x:c r="T38" s="8" t="s">
        <x:v>171</x:v>
      </x:c>
      <x:c r="U38" s="8"/>
    </x:row>
    <x:row r="39" ht="22.049999237060547" customHeight="1">
      <x:c r="A39" s="44" t="s">
        <x:v>172</x:v>
      </x:c>
      <x:c r="B39" s="44"/>
      <x:c r="C39" s="44"/>
      <x:c r="D39" s="44"/>
      <x:c r="E39" s="44"/>
      <x:c r="F39" s="44"/>
      <x:c r="G39" s="44"/>
      <x:c r="H39" s="44"/>
      <x:c r="I39" s="60"/>
      <x:c r="J39" s="44"/>
      <x:c r="K39" s="44"/>
      <x:c r="L39" s="44"/>
      <x:c r="M39" s="44"/>
      <x:c r="N39" s="44"/>
      <x:c r="O39" s="46"/>
      <x:c r="P39" s="44"/>
      <x:c r="Q39" s="44"/>
      <x:c r="R39" s="44"/>
      <x:c r="S39" s="44"/>
      <x:c r="T39" s="44"/>
      <x:c r="U39" s="44"/>
    </x:row>
    <x:row r="40" ht="34.04999923706055" customHeight="1">
      <x:c r="A40" s="3">
        <x:v>29</x:v>
      </x:c>
      <x:c r="B40" s="3">
        <x:v>27</x:v>
      </x:c>
      <x:c r="C40" s="2" t="s">
        <x:v>17</x:v>
      </x:c>
      <x:c r="D40" s="2" t="s">
        <x:v>24</x:v>
      </x:c>
      <x:c r="E40" s="2" t="s">
        <x:v>173</x:v>
      </x:c>
      <x:c r="F40" s="2" t="s">
        <x:v>174</x:v>
      </x:c>
      <x:c r="G40" s="3" t="s">
        <x:v>1</x:v>
      </x:c>
      <x:c r="H40" s="3" t="s">
        <x:v>16</x:v>
      </x:c>
      <x:c r="I40" s="56">
        <x:v>46197</x:v>
      </x:c>
      <x:c r="J40" s="3" t="s">
        <x:v>175</x:v>
      </x:c>
      <x:c r="K40" s="3">
        <x:v>1</x:v>
      </x:c>
      <x:c r="L40" s="3">
        <x:v>0</x:v>
      </x:c>
      <x:c r="M40" s="3">
        <x:v>0</x:v>
      </x:c>
      <x:c r="N40" s="3">
        <x:v>0</x:v>
      </x:c>
      <x:c r="O40" s="6">
        <x:v>1</x:v>
      </x:c>
      <x:c r="P40" s="4" t="e">
        <x:f>HYPERLINK("https://github.com/kapiltrip/hdlBits/blob/main/study/problems/Day%2002/027-alwaysblock1.md","Note")</x:f>
        <x:v>HYPERLINK is not implemented. linkLocation=https://github.com/kapiltrip/hdlBits/blob/main/study/problems/Day%2002/027-alwaysblock1.md, friendlyName=Note</x:v>
      </x:c>
      <x:c r="Q40" s="4" t="e">
        <x:f>HYPERLINK("https://github.com/kapiltrip/hdlBits/blob/main/study/images/Day%2002/027-alwaysblock1.png","Image")</x:f>
        <x:v>HYPERLINK is not implemented. linkLocation=https://github.com/kapiltrip/hdlBits/blob/main/study/images/Day%2002/027-alwaysblock1.png, friendlyName=Image</x:v>
      </x:c>
      <x:c r="R40" s="4" t="e">
        <x:f>HYPERLINK("https://github.com/kapiltrip/hdlBits/blob/main/study/solutions/Day%2002/027-alwaysblock1.sv","Code")</x:f>
        <x:v>HYPERLINK is not implemented. linkLocation=https://github.com/kapiltrip/hdlBits/blob/main/study/solutions/Day%2002/027-alwaysblock1.sv, friendlyName=Code</x:v>
      </x:c>
      <x:c r="S40" s="4" t="e">
        <x:f>HYPERLINK("https://hdlbits.01xz.net/wiki/alwaysblock1","HDLBits")</x:f>
        <x:v>HYPERLINK is not implemented. linkLocation=https://hdlbits.01xz.net/wiki/alwaysblock1, friendlyName=HDLBits</x:v>
      </x:c>
      <x:c r="T40" s="2" t="s">
        <x:v>176</x:v>
      </x:c>
      <x:c r="U40" s="2"/>
    </x:row>
    <x:row r="41" ht="34.04999923706055" customHeight="1">
      <x:c r="A41" s="7">
        <x:v>30</x:v>
      </x:c>
      <x:c r="B41" s="7">
        <x:v>28</x:v>
      </x:c>
      <x:c r="C41" s="8" t="s">
        <x:v>17</x:v>
      </x:c>
      <x:c r="D41" s="8" t="s">
        <x:v>24</x:v>
      </x:c>
      <x:c r="E41" s="8" t="s">
        <x:v>177</x:v>
      </x:c>
      <x:c r="F41" s="8" t="s">
        <x:v>178</x:v>
      </x:c>
      <x:c r="G41" s="7" t="s">
        <x:v>1</x:v>
      </x:c>
      <x:c r="H41" s="7" t="s">
        <x:v>16</x:v>
      </x:c>
      <x:c r="I41" s="55">
        <x:v>46197</x:v>
      </x:c>
      <x:c r="J41" s="7" t="s">
        <x:v>179</x:v>
      </x:c>
      <x:c r="K41" s="7">
        <x:v>1</x:v>
      </x:c>
      <x:c r="L41" s="7">
        <x:v>0</x:v>
      </x:c>
      <x:c r="M41" s="7">
        <x:v>0</x:v>
      </x:c>
      <x:c r="N41" s="7">
        <x:v>0</x:v>
      </x:c>
      <x:c r="O41" s="10">
        <x:v>1</x:v>
      </x:c>
      <x:c r="P41" s="11" t="e">
        <x:f>HYPERLINK("https://github.com/kapiltrip/hdlBits/blob/main/study/problems/Day%2002/028-alwaysblock2.md","Note")</x:f>
        <x:v>HYPERLINK is not implemented. linkLocation=https://github.com/kapiltrip/hdlBits/blob/main/study/problems/Day%2002/028-alwaysblock2.md, friendlyName=Note</x:v>
      </x:c>
      <x:c r="Q41" s="11" t="e">
        <x:f>HYPERLINK("https://github.com/kapiltrip/hdlBits/blob/main/study/images/Day%2002/028-alwaysblock2.png","Image")</x:f>
        <x:v>HYPERLINK is not implemented. linkLocation=https://github.com/kapiltrip/hdlBits/blob/main/study/images/Day%2002/028-alwaysblock2.png, friendlyName=Image</x:v>
      </x:c>
      <x:c r="R41" s="11" t="e">
        <x:f>HYPERLINK("https://github.com/kapiltrip/hdlBits/blob/main/study/solutions/Day%2002/028-alwaysblock2.sv","Code")</x:f>
        <x:v>HYPERLINK is not implemented. linkLocation=https://github.com/kapiltrip/hdlBits/blob/main/study/solutions/Day%2002/028-alwaysblock2.sv, friendlyName=Code</x:v>
      </x:c>
      <x:c r="S41" s="11" t="e">
        <x:f>HYPERLINK("https://hdlbits.01xz.net/wiki/alwaysblock2","HDLBits")</x:f>
        <x:v>HYPERLINK is not implemented. linkLocation=https://hdlbits.01xz.net/wiki/alwaysblock2, friendlyName=HDLBits</x:v>
      </x:c>
      <x:c r="T41" s="8" t="s">
        <x:v>180</x:v>
      </x:c>
      <x:c r="U41" s="8"/>
    </x:row>
    <x:row r="42" ht="34.04999923706055" customHeight="1">
      <x:c r="A42" s="3">
        <x:v>31</x:v>
      </x:c>
      <x:c r="B42" s="3">
        <x:v>29</x:v>
      </x:c>
      <x:c r="C42" s="2" t="s">
        <x:v>17</x:v>
      </x:c>
      <x:c r="D42" s="2" t="s">
        <x:v>24</x:v>
      </x:c>
      <x:c r="E42" s="2" t="s">
        <x:v>181</x:v>
      </x:c>
      <x:c r="F42" s="2" t="s">
        <x:v>182</x:v>
      </x:c>
      <x:c r="G42" s="3" t="s">
        <x:v>1</x:v>
      </x:c>
      <x:c r="H42" s="3" t="s">
        <x:v>16</x:v>
      </x:c>
      <x:c r="I42" s="56">
        <x:v>46197</x:v>
      </x:c>
      <x:c r="J42" s="3" t="s">
        <x:v>183</x:v>
      </x:c>
      <x:c r="K42" s="3">
        <x:v>1</x:v>
      </x:c>
      <x:c r="L42" s="3">
        <x:v>0</x:v>
      </x:c>
      <x:c r="M42" s="3">
        <x:v>0</x:v>
      </x:c>
      <x:c r="N42" s="3">
        <x:v>0</x:v>
      </x:c>
      <x:c r="O42" s="6">
        <x:v>1</x:v>
      </x:c>
      <x:c r="P42" s="4" t="e">
        <x:f>HYPERLINK("https://github.com/kapiltrip/hdlBits/blob/main/study/problems/Day%2002/029-always_if.md","Note")</x:f>
        <x:v>HYPERLINK is not implemented. linkLocation=https://github.com/kapiltrip/hdlBits/blob/main/study/problems/Day%2002/029-always_if.md, friendlyName=Note</x:v>
      </x:c>
      <x:c r="Q42" s="4" t="e">
        <x:f>HYPERLINK("https://github.com/kapiltrip/hdlBits/blob/main/study/images/Day%2002/029-always_if.png","Image")</x:f>
        <x:v>HYPERLINK is not implemented. linkLocation=https://github.com/kapiltrip/hdlBits/blob/main/study/images/Day%2002/029-always_if.png, friendlyName=Image</x:v>
      </x:c>
      <x:c r="R42" s="4" t="e">
        <x:f>HYPERLINK("https://github.com/kapiltrip/hdlBits/blob/main/study/solutions/Day%2002/029-always_if.sv","Code")</x:f>
        <x:v>HYPERLINK is not implemented. linkLocation=https://github.com/kapiltrip/hdlBits/blob/main/study/solutions/Day%2002/029-always_if.sv, friendlyName=Code</x:v>
      </x:c>
      <x:c r="S42" s="4" t="e">
        <x:f>HYPERLINK("https://hdlbits.01xz.net/wiki/always_if","HDLBits")</x:f>
        <x:v>HYPERLINK is not implemented. linkLocation=https://hdlbits.01xz.net/wiki/always_if, friendlyName=HDLBits</x:v>
      </x:c>
      <x:c r="T42" s="2" t="s">
        <x:v>184</x:v>
      </x:c>
      <x:c r="U42" s="2"/>
    </x:row>
    <x:row r="43" ht="34.04999923706055" customHeight="1">
      <x:c r="A43" s="7">
        <x:v>32</x:v>
      </x:c>
      <x:c r="B43" s="7">
        <x:v>30</x:v>
      </x:c>
      <x:c r="C43" s="8" t="s">
        <x:v>17</x:v>
      </x:c>
      <x:c r="D43" s="8" t="s">
        <x:v>24</x:v>
      </x:c>
      <x:c r="E43" s="8" t="s">
        <x:v>185</x:v>
      </x:c>
      <x:c r="F43" s="8" t="s">
        <x:v>186</x:v>
      </x:c>
      <x:c r="G43" s="7" t="s">
        <x:v>1</x:v>
      </x:c>
      <x:c r="H43" s="7" t="s">
        <x:v>16</x:v>
      </x:c>
      <x:c r="I43" s="55">
        <x:v>46197</x:v>
      </x:c>
      <x:c r="J43" s="7" t="s">
        <x:v>187</x:v>
      </x:c>
      <x:c r="K43" s="7">
        <x:v>5</x:v>
      </x:c>
      <x:c r="L43" s="7">
        <x:v>3</x:v>
      </x:c>
      <x:c r="M43" s="7">
        <x:v>0</x:v>
      </x:c>
      <x:c r="N43" s="7">
        <x:v>0</x:v>
      </x:c>
      <x:c r="O43" s="10">
        <x:v>0.4</x:v>
      </x:c>
      <x:c r="P43" s="11" t="e">
        <x:f>HYPERLINK("https://github.com/kapiltrip/hdlBits/blob/main/study/problems/Day%2002/030-always_if2.md","Note")</x:f>
        <x:v>HYPERLINK is not implemented. linkLocation=https://github.com/kapiltrip/hdlBits/blob/main/study/problems/Day%2002/030-always_if2.md, friendlyName=Note</x:v>
      </x:c>
      <x:c r="Q43" s="11" t="e">
        <x:f>HYPERLINK("https://github.com/kapiltrip/hdlBits/blob/main/study/images/Day%2002/030-always_if2.png","Image")</x:f>
        <x:v>HYPERLINK is not implemented. linkLocation=https://github.com/kapiltrip/hdlBits/blob/main/study/images/Day%2002/030-always_if2.png, friendlyName=Image</x:v>
      </x:c>
      <x:c r="R43" s="11" t="e">
        <x:f>HYPERLINK("https://github.com/kapiltrip/hdlBits/blob/main/study/solutions/Day%2002/030-always_if2.sv","Code")</x:f>
        <x:v>HYPERLINK is not implemented. linkLocation=https://github.com/kapiltrip/hdlBits/blob/main/study/solutions/Day%2002/030-always_if2.sv, friendlyName=Code</x:v>
      </x:c>
      <x:c r="S43" s="11" t="e">
        <x:f>HYPERLINK("https://hdlbits.01xz.net/wiki/always_if2","HDLBits")</x:f>
        <x:v>HYPERLINK is not implemented. linkLocation=https://hdlbits.01xz.net/wiki/always_if2, friendlyName=HDLBits</x:v>
      </x:c>
      <x:c r="T43" s="8" t="s">
        <x:v>188</x:v>
      </x:c>
      <x:c r="U43" s="8"/>
    </x:row>
    <x:row r="44" ht="34.04999923706055" customHeight="1">
      <x:c r="A44" s="3">
        <x:v>33</x:v>
      </x:c>
      <x:c r="B44" s="3">
        <x:v>31</x:v>
      </x:c>
      <x:c r="C44" s="2" t="s">
        <x:v>17</x:v>
      </x:c>
      <x:c r="D44" s="2" t="s">
        <x:v>24</x:v>
      </x:c>
      <x:c r="E44" s="2" t="s">
        <x:v>189</x:v>
      </x:c>
      <x:c r="F44" s="2" t="s">
        <x:v>190</x:v>
      </x:c>
      <x:c r="G44" s="3" t="s">
        <x:v>1</x:v>
      </x:c>
      <x:c r="H44" s="3" t="s">
        <x:v>16</x:v>
      </x:c>
      <x:c r="I44" s="56">
        <x:v>46197</x:v>
      </x:c>
      <x:c r="J44" s="3" t="s">
        <x:v>191</x:v>
      </x:c>
      <x:c r="K44" s="3">
        <x:v>2</x:v>
      </x:c>
      <x:c r="L44" s="3">
        <x:v>0</x:v>
      </x:c>
      <x:c r="M44" s="3">
        <x:v>1</x:v>
      </x:c>
      <x:c r="N44" s="3">
        <x:v>0</x:v>
      </x:c>
      <x:c r="O44" s="6">
        <x:v>0.5</x:v>
      </x:c>
      <x:c r="P44" s="4" t="e">
        <x:f>HYPERLINK("https://github.com/kapiltrip/hdlBits/blob/main/study/problems/Day%2002/031-always_case.md","Note")</x:f>
        <x:v>HYPERLINK is not implemented. linkLocation=https://github.com/kapiltrip/hdlBits/blob/main/study/problems/Day%2002/031-always_case.md, friendlyName=Note</x:v>
      </x:c>
      <x:c r="Q44" s="4" t="e">
        <x:f>HYPERLINK("https://github.com/kapiltrip/hdlBits/blob/main/study/images/Day%2002/031-always_case.png","Image")</x:f>
        <x:v>HYPERLINK is not implemented. linkLocation=https://github.com/kapiltrip/hdlBits/blob/main/study/images/Day%2002/031-always_case.png, friendlyName=Image</x:v>
      </x:c>
      <x:c r="R44" s="4" t="e">
        <x:f>HYPERLINK("https://github.com/kapiltrip/hdlBits/blob/main/study/solutions/Day%2002/031-always_case.sv","Code")</x:f>
        <x:v>HYPERLINK is not implemented. linkLocation=https://github.com/kapiltrip/hdlBits/blob/main/study/solutions/Day%2002/031-always_case.sv, friendlyName=Code</x:v>
      </x:c>
      <x:c r="S44" s="4" t="e">
        <x:f>HYPERLINK("https://hdlbits.01xz.net/wiki/always_case","HDLBits")</x:f>
        <x:v>HYPERLINK is not implemented. linkLocation=https://hdlbits.01xz.net/wiki/always_case, friendlyName=HDLBits</x:v>
      </x:c>
      <x:c r="T44" s="2" t="s">
        <x:v>192</x:v>
      </x:c>
      <x:c r="U44" s="2"/>
    </x:row>
    <x:row r="45" ht="34.04999923706055" customHeight="1">
      <x:c r="A45" s="7">
        <x:v>34</x:v>
      </x:c>
      <x:c r="B45" s="7">
        <x:v>32</x:v>
      </x:c>
      <x:c r="C45" s="8" t="s">
        <x:v>17</x:v>
      </x:c>
      <x:c r="D45" s="8" t="s">
        <x:v>24</x:v>
      </x:c>
      <x:c r="E45" s="8" t="s">
        <x:v>193</x:v>
      </x:c>
      <x:c r="F45" s="8" t="s">
        <x:v>194</x:v>
      </x:c>
      <x:c r="G45" s="7" t="s">
        <x:v>1</x:v>
      </x:c>
      <x:c r="H45" s="7" t="s">
        <x:v>16</x:v>
      </x:c>
      <x:c r="I45" s="55">
        <x:v>46197</x:v>
      </x:c>
      <x:c r="J45" s="7" t="s">
        <x:v>195</x:v>
      </x:c>
      <x:c r="K45" s="7">
        <x:v>15</x:v>
      </x:c>
      <x:c r="L45" s="7">
        <x:v>11</x:v>
      </x:c>
      <x:c r="M45" s="7">
        <x:v>3</x:v>
      </x:c>
      <x:c r="N45" s="7">
        <x:v>0</x:v>
      </x:c>
      <x:c r="O45" s="10">
        <x:v>7.0000000000000007E-2</x:v>
      </x:c>
      <x:c r="P45" s="11" t="e">
        <x:f>HYPERLINK("https://github.com/kapiltrip/hdlBits/blob/main/study/problems/Day%2002/032-always_case2.md","Note")</x:f>
        <x:v>HYPERLINK is not implemented. linkLocation=https://github.com/kapiltrip/hdlBits/blob/main/study/problems/Day%2002/032-always_case2.md, friendlyName=Note</x:v>
      </x:c>
      <x:c r="Q45" s="11" t="e">
        <x:f>HYPERLINK("https://github.com/kapiltrip/hdlBits/blob/main/study/images/Day%2002/032-always_case2.png","Image")</x:f>
        <x:v>HYPERLINK is not implemented. linkLocation=https://github.com/kapiltrip/hdlBits/blob/main/study/images/Day%2002/032-always_case2.png, friendlyName=Image</x:v>
      </x:c>
      <x:c r="R45" s="11" t="e">
        <x:f>HYPERLINK("https://github.com/kapiltrip/hdlBits/blob/main/study/solutions/Day%2002/032-always_case2.sv","Code")</x:f>
        <x:v>HYPERLINK is not implemented. linkLocation=https://github.com/kapiltrip/hdlBits/blob/main/study/solutions/Day%2002/032-always_case2.sv, friendlyName=Code</x:v>
      </x:c>
      <x:c r="S45" s="11" t="e">
        <x:f>HYPERLINK("https://hdlbits.01xz.net/wiki/always_case2","HDLBits")</x:f>
        <x:v>HYPERLINK is not implemented. linkLocation=https://hdlbits.01xz.net/wiki/always_case2, friendlyName=HDLBits</x:v>
      </x:c>
      <x:c r="T45" s="8" t="s">
        <x:v>196</x:v>
      </x:c>
      <x:c r="U45" s="8"/>
    </x:row>
    <x:row r="46" ht="34.04999923706055" customHeight="1">
      <x:c r="A46" s="3">
        <x:v>35</x:v>
      </x:c>
      <x:c r="B46" s="3">
        <x:v>33</x:v>
      </x:c>
      <x:c r="C46" s="2" t="s">
        <x:v>17</x:v>
      </x:c>
      <x:c r="D46" s="2" t="s">
        <x:v>24</x:v>
      </x:c>
      <x:c r="E46" s="2" t="s">
        <x:v>197</x:v>
      </x:c>
      <x:c r="F46" s="2" t="s">
        <x:v>198</x:v>
      </x:c>
      <x:c r="G46" s="3" t="s">
        <x:v>1</x:v>
      </x:c>
      <x:c r="H46" s="3" t="s">
        <x:v>16</x:v>
      </x:c>
      <x:c r="I46" s="56">
        <x:v>46197</x:v>
      </x:c>
      <x:c r="J46" s="3" t="s">
        <x:v>199</x:v>
      </x:c>
      <x:c r="K46" s="3">
        <x:v>2</x:v>
      </x:c>
      <x:c r="L46" s="3">
        <x:v>1</x:v>
      </x:c>
      <x:c r="M46" s="3">
        <x:v>0</x:v>
      </x:c>
      <x:c r="N46" s="3">
        <x:v>0</x:v>
      </x:c>
      <x:c r="O46" s="6">
        <x:v>0.5</x:v>
      </x:c>
      <x:c r="P46" s="4" t="e">
        <x:f>HYPERLINK("https://github.com/kapiltrip/hdlBits/blob/main/study/problems/Day%2002/033-always_casez.md","Note")</x:f>
        <x:v>HYPERLINK is not implemented. linkLocation=https://github.com/kapiltrip/hdlBits/blob/main/study/problems/Day%2002/033-always_casez.md, friendlyName=Note</x:v>
      </x:c>
      <x:c r="Q46" s="4" t="e">
        <x:f>HYPERLINK("https://github.com/kapiltrip/hdlBits/blob/main/study/images/Day%2002/033-always_casez.png","Image")</x:f>
        <x:v>HYPERLINK is not implemented. linkLocation=https://github.com/kapiltrip/hdlBits/blob/main/study/images/Day%2002/033-always_casez.png, friendlyName=Image</x:v>
      </x:c>
      <x:c r="R46" s="4" t="e">
        <x:f>HYPERLINK("https://github.com/kapiltrip/hdlBits/blob/main/study/solutions/Day%2002/033-always_casez.sv","Code")</x:f>
        <x:v>HYPERLINK is not implemented. linkLocation=https://github.com/kapiltrip/hdlBits/blob/main/study/solutions/Day%2002/033-always_casez.sv, friendlyName=Code</x:v>
      </x:c>
      <x:c r="S46" s="4" t="e">
        <x:f>HYPERLINK("https://hdlbits.01xz.net/wiki/always_casez","HDLBits")</x:f>
        <x:v>HYPERLINK is not implemented. linkLocation=https://hdlbits.01xz.net/wiki/always_casez, friendlyName=HDLBits</x:v>
      </x:c>
      <x:c r="T46" s="2" t="s">
        <x:v>200</x:v>
      </x:c>
      <x:c r="U46" s="2"/>
    </x:row>
    <x:row r="47" ht="34.04999923706055" customHeight="1">
      <x:c r="A47" s="7">
        <x:v>36</x:v>
      </x:c>
      <x:c r="B47" s="7">
        <x:v>34</x:v>
      </x:c>
      <x:c r="C47" s="8" t="s">
        <x:v>17</x:v>
      </x:c>
      <x:c r="D47" s="8" t="s">
        <x:v>24</x:v>
      </x:c>
      <x:c r="E47" s="8" t="s">
        <x:v>201</x:v>
      </x:c>
      <x:c r="F47" s="8" t="s">
        <x:v>202</x:v>
      </x:c>
      <x:c r="G47" s="7" t="s">
        <x:v>1</x:v>
      </x:c>
      <x:c r="H47" s="7" t="s">
        <x:v>16</x:v>
      </x:c>
      <x:c r="I47" s="55">
        <x:v>46197</x:v>
      </x:c>
      <x:c r="J47" s="7" t="s">
        <x:v>203</x:v>
      </x:c>
      <x:c r="K47" s="7">
        <x:v>3</x:v>
      </x:c>
      <x:c r="L47" s="7">
        <x:v>0</x:v>
      </x:c>
      <x:c r="M47" s="7">
        <x:v>2</x:v>
      </x:c>
      <x:c r="N47" s="7">
        <x:v>0</x:v>
      </x:c>
      <x:c r="O47" s="10">
        <x:v>0.33</x:v>
      </x:c>
      <x:c r="P47" s="11" t="e">
        <x:f>HYPERLINK("https://github.com/kapiltrip/hdlBits/blob/main/study/problems/Day%2002/034-always_nolatches.md","Note")</x:f>
        <x:v>HYPERLINK is not implemented. linkLocation=https://github.com/kapiltrip/hdlBits/blob/main/study/problems/Day%2002/034-always_nolatches.md, friendlyName=Note</x:v>
      </x:c>
      <x:c r="Q47" s="11" t="e">
        <x:f>HYPERLINK("https://github.com/kapiltrip/hdlBits/blob/main/study/images/Day%2002/034-always_nolatches.png","Image")</x:f>
        <x:v>HYPERLINK is not implemented. linkLocation=https://github.com/kapiltrip/hdlBits/blob/main/study/images/Day%2002/034-always_nolatches.png, friendlyName=Image</x:v>
      </x:c>
      <x:c r="R47" s="11" t="e">
        <x:f>HYPERLINK("https://github.com/kapiltrip/hdlBits/blob/main/study/solutions/Day%2002/034-always_nolatches.sv","Code")</x:f>
        <x:v>HYPERLINK is not implemented. linkLocation=https://github.com/kapiltrip/hdlBits/blob/main/study/solutions/Day%2002/034-always_nolatches.sv, friendlyName=Code</x:v>
      </x:c>
      <x:c r="S47" s="11" t="e">
        <x:f>HYPERLINK("https://hdlbits.01xz.net/wiki/always_nolatches","HDLBits")</x:f>
        <x:v>HYPERLINK is not implemented. linkLocation=https://hdlbits.01xz.net/wiki/always_nolatches, friendlyName=HDLBits</x:v>
      </x:c>
      <x:c r="T47" s="8" t="s">
        <x:v>204</x:v>
      </x:c>
      <x:c r="U47" s="8"/>
    </x:row>
    <x:row r="48" ht="22.049999237060547" customHeight="1">
      <x:c r="A48" s="44" t="s">
        <x:v>205</x:v>
      </x:c>
      <x:c r="B48" s="44"/>
      <x:c r="C48" s="44"/>
      <x:c r="D48" s="44"/>
      <x:c r="E48" s="44"/>
      <x:c r="F48" s="44"/>
      <x:c r="G48" s="44"/>
      <x:c r="H48" s="44"/>
      <x:c r="I48" s="60"/>
      <x:c r="J48" s="44"/>
      <x:c r="K48" s="44"/>
      <x:c r="L48" s="44"/>
      <x:c r="M48" s="44"/>
      <x:c r="N48" s="44"/>
      <x:c r="O48" s="46"/>
      <x:c r="P48" s="44"/>
      <x:c r="Q48" s="44"/>
      <x:c r="R48" s="44"/>
      <x:c r="S48" s="44"/>
      <x:c r="T48" s="44"/>
      <x:c r="U48" s="44"/>
    </x:row>
    <x:row r="49" ht="34.04999923706055" customHeight="1">
      <x:c r="A49" s="3">
        <x:v>37</x:v>
      </x:c>
      <x:c r="B49" s="3">
        <x:v>35</x:v>
      </x:c>
      <x:c r="C49" s="2" t="s">
        <x:v>17</x:v>
      </x:c>
      <x:c r="D49" s="2" t="s">
        <x:v>26</x:v>
      </x:c>
      <x:c r="E49" s="2" t="s">
        <x:v>206</x:v>
      </x:c>
      <x:c r="F49" s="2" t="s">
        <x:v>207</x:v>
      </x:c>
      <x:c r="G49" s="3" t="s">
        <x:v>1</x:v>
      </x:c>
      <x:c r="H49" s="3" t="s">
        <x:v>16</x:v>
      </x:c>
      <x:c r="I49" s="56">
        <x:v>46197</x:v>
      </x:c>
      <x:c r="J49" s="3" t="s">
        <x:v>208</x:v>
      </x:c>
      <x:c r="K49" s="3">
        <x:v>1</x:v>
      </x:c>
      <x:c r="L49" s="3">
        <x:v>0</x:v>
      </x:c>
      <x:c r="M49" s="3">
        <x:v>0</x:v>
      </x:c>
      <x:c r="N49" s="3">
        <x:v>0</x:v>
      </x:c>
      <x:c r="O49" s="6">
        <x:v>1</x:v>
      </x:c>
      <x:c r="P49" s="4" t="e">
        <x:f>HYPERLINK("https://github.com/kapiltrip/hdlBits/blob/main/study/problems/Day%2002/035-conditional.md","Note")</x:f>
        <x:v>HYPERLINK is not implemented. linkLocation=https://github.com/kapiltrip/hdlBits/blob/main/study/problems/Day%2002/035-conditional.md, friendlyName=Note</x:v>
      </x:c>
      <x:c r="Q49" s="4" t="e">
        <x:f>HYPERLINK("https://github.com/kapiltrip/hdlBits/blob/main/study/images/Day%2002/035-conditional.png","Image")</x:f>
        <x:v>HYPERLINK is not implemented. linkLocation=https://github.com/kapiltrip/hdlBits/blob/main/study/images/Day%2002/035-conditional.png, friendlyName=Image</x:v>
      </x:c>
      <x:c r="R49" s="4" t="e">
        <x:f>HYPERLINK("https://github.com/kapiltrip/hdlBits/blob/main/study/solutions/Day%2002/035-conditional.sv","Code")</x:f>
        <x:v>HYPERLINK is not implemented. linkLocation=https://github.com/kapiltrip/hdlBits/blob/main/study/solutions/Day%2002/035-conditional.sv, friendlyName=Code</x:v>
      </x:c>
      <x:c r="S49" s="4" t="e">
        <x:f>HYPERLINK("https://hdlbits.01xz.net/wiki/conditional","HDLBits")</x:f>
        <x:v>HYPERLINK is not implemented. linkLocation=https://hdlbits.01xz.net/wiki/conditional, friendlyName=HDLBits</x:v>
      </x:c>
      <x:c r="T49" s="2" t="s">
        <x:v>209</x:v>
      </x:c>
      <x:c r="U49" s="2"/>
    </x:row>
    <x:row r="50" ht="34.04999923706055" customHeight="1">
      <x:c r="A50" s="7">
        <x:v>38</x:v>
      </x:c>
      <x:c r="B50" s="7">
        <x:v>36</x:v>
      </x:c>
      <x:c r="C50" s="8" t="s">
        <x:v>17</x:v>
      </x:c>
      <x:c r="D50" s="8" t="s">
        <x:v>26</x:v>
      </x:c>
      <x:c r="E50" s="8" t="s">
        <x:v>210</x:v>
      </x:c>
      <x:c r="F50" s="8" t="s">
        <x:v>211</x:v>
      </x:c>
      <x:c r="G50" s="7" t="s">
        <x:v>1</x:v>
      </x:c>
      <x:c r="H50" s="7" t="s">
        <x:v>16</x:v>
      </x:c>
      <x:c r="I50" s="55">
        <x:v>46197</x:v>
      </x:c>
      <x:c r="J50" s="7" t="s">
        <x:v>212</x:v>
      </x:c>
      <x:c r="K50" s="7">
        <x:v>2</x:v>
      </x:c>
      <x:c r="L50" s="7">
        <x:v>1</x:v>
      </x:c>
      <x:c r="M50" s="7">
        <x:v>0</x:v>
      </x:c>
      <x:c r="N50" s="7">
        <x:v>0</x:v>
      </x:c>
      <x:c r="O50" s="10">
        <x:v>0.5</x:v>
      </x:c>
      <x:c r="P50" s="11" t="e">
        <x:f>HYPERLINK("https://github.com/kapiltrip/hdlBits/blob/main/study/problems/Day%2002/036-reduction.md","Note")</x:f>
        <x:v>HYPERLINK is not implemented. linkLocation=https://github.com/kapiltrip/hdlBits/blob/main/study/problems/Day%2002/036-reduction.md, friendlyName=Note</x:v>
      </x:c>
      <x:c r="Q50" s="11" t="e">
        <x:f>HYPERLINK("https://github.com/kapiltrip/hdlBits/blob/main/study/images/Day%2002/036-reduction.png","Image")</x:f>
        <x:v>HYPERLINK is not implemented. linkLocation=https://github.com/kapiltrip/hdlBits/blob/main/study/images/Day%2002/036-reduction.png, friendlyName=Image</x:v>
      </x:c>
      <x:c r="R50" s="11" t="e">
        <x:f>HYPERLINK("https://github.com/kapiltrip/hdlBits/blob/main/study/solutions/Day%2002/036-reduction.sv","Code")</x:f>
        <x:v>HYPERLINK is not implemented. linkLocation=https://github.com/kapiltrip/hdlBits/blob/main/study/solutions/Day%2002/036-reduction.sv, friendlyName=Code</x:v>
      </x:c>
      <x:c r="S50" s="11" t="e">
        <x:f>HYPERLINK("https://hdlbits.01xz.net/wiki/reduction","HDLBits")</x:f>
        <x:v>HYPERLINK is not implemented. linkLocation=https://hdlbits.01xz.net/wiki/reduction, friendlyName=HDLBits</x:v>
      </x:c>
      <x:c r="T50" s="8" t="s">
        <x:v>213</x:v>
      </x:c>
      <x:c r="U50" s="8"/>
    </x:row>
    <x:row r="51" ht="34.04999923706055" customHeight="1">
      <x:c r="A51" s="3">
        <x:v>39</x:v>
      </x:c>
      <x:c r="B51" s="3">
        <x:v>37</x:v>
      </x:c>
      <x:c r="C51" s="2" t="s">
        <x:v>17</x:v>
      </x:c>
      <x:c r="D51" s="2" t="s">
        <x:v>26</x:v>
      </x:c>
      <x:c r="E51" s="2" t="s">
        <x:v>214</x:v>
      </x:c>
      <x:c r="F51" s="2" t="s">
        <x:v>215</x:v>
      </x:c>
      <x:c r="G51" s="3" t="s">
        <x:v>1</x:v>
      </x:c>
      <x:c r="H51" s="3" t="s">
        <x:v>16</x:v>
      </x:c>
      <x:c r="I51" s="56">
        <x:v>46197</x:v>
      </x:c>
      <x:c r="J51" s="3" t="s">
        <x:v>216</x:v>
      </x:c>
      <x:c r="K51" s="3">
        <x:v>1</x:v>
      </x:c>
      <x:c r="L51" s="3">
        <x:v>0</x:v>
      </x:c>
      <x:c r="M51" s="3">
        <x:v>0</x:v>
      </x:c>
      <x:c r="N51" s="3">
        <x:v>0</x:v>
      </x:c>
      <x:c r="O51" s="6">
        <x:v>1</x:v>
      </x:c>
      <x:c r="P51" s="4" t="e">
        <x:f>HYPERLINK("https://github.com/kapiltrip/hdlBits/blob/main/study/problems/Day%2002/037-gates100.md","Note")</x:f>
        <x:v>HYPERLINK is not implemented. linkLocation=https://github.com/kapiltrip/hdlBits/blob/main/study/problems/Day%2002/037-gates100.md, friendlyName=Note</x:v>
      </x:c>
      <x:c r="Q51" s="4" t="e">
        <x:f>HYPERLINK("https://github.com/kapiltrip/hdlBits/blob/main/study/images/Day%2002/037-gates100.png","Image")</x:f>
        <x:v>HYPERLINK is not implemented. linkLocation=https://github.com/kapiltrip/hdlBits/blob/main/study/images/Day%2002/037-gates100.png, friendlyName=Image</x:v>
      </x:c>
      <x:c r="R51" s="4" t="e">
        <x:f>HYPERLINK("https://github.com/kapiltrip/hdlBits/blob/main/study/solutions/Day%2002/037-gates100.sv","Code")</x:f>
        <x:v>HYPERLINK is not implemented. linkLocation=https://github.com/kapiltrip/hdlBits/blob/main/study/solutions/Day%2002/037-gates100.sv, friendlyName=Code</x:v>
      </x:c>
      <x:c r="S51" s="4" t="e">
        <x:f>HYPERLINK("https://hdlbits.01xz.net/wiki/gates100","HDLBits")</x:f>
        <x:v>HYPERLINK is not implemented. linkLocation=https://hdlbits.01xz.net/wiki/gates100, friendlyName=HDLBits</x:v>
      </x:c>
      <x:c r="T51" s="2" t="s">
        <x:v>217</x:v>
      </x:c>
      <x:c r="U51" s="2"/>
    </x:row>
    <x:row r="52" ht="34.04999923706055" customHeight="1">
      <x:c r="A52" s="7">
        <x:v>40</x:v>
      </x:c>
      <x:c r="B52" s="7">
        <x:v>38</x:v>
      </x:c>
      <x:c r="C52" s="8" t="s">
        <x:v>17</x:v>
      </x:c>
      <x:c r="D52" s="8" t="s">
        <x:v>26</x:v>
      </x:c>
      <x:c r="E52" s="8" t="s">
        <x:v>218</x:v>
      </x:c>
      <x:c r="F52" s="8" t="s">
        <x:v>219</x:v>
      </x:c>
      <x:c r="G52" s="7" t="s">
        <x:v>1</x:v>
      </x:c>
      <x:c r="H52" s="7" t="s">
        <x:v>16</x:v>
      </x:c>
      <x:c r="I52" s="55">
        <x:v>46197</x:v>
      </x:c>
      <x:c r="J52" s="7" t="s">
        <x:v>220</x:v>
      </x:c>
      <x:c r="K52" s="7">
        <x:v>8</x:v>
      </x:c>
      <x:c r="L52" s="7">
        <x:v>1</x:v>
      </x:c>
      <x:c r="M52" s="7">
        <x:v>4</x:v>
      </x:c>
      <x:c r="N52" s="7">
        <x:v>0</x:v>
      </x:c>
      <x:c r="O52" s="10">
        <x:v>0.38</x:v>
      </x:c>
      <x:c r="P52" s="11" t="e">
        <x:f>HYPERLINK("https://github.com/kapiltrip/hdlBits/blob/main/study/problems/Day%2002/038-vector100r.md","Note")</x:f>
        <x:v>HYPERLINK is not implemented. linkLocation=https://github.com/kapiltrip/hdlBits/blob/main/study/problems/Day%2002/038-vector100r.md, friendlyName=Note</x:v>
      </x:c>
      <x:c r="Q52" s="11" t="e">
        <x:f>HYPERLINK("https://github.com/kapiltrip/hdlBits/blob/main/study/images/Day%2002/038-vector100r.png","Image")</x:f>
        <x:v>HYPERLINK is not implemented. linkLocation=https://github.com/kapiltrip/hdlBits/blob/main/study/images/Day%2002/038-vector100r.png, friendlyName=Image</x:v>
      </x:c>
      <x:c r="R52" s="11" t="e">
        <x:f>HYPERLINK("https://github.com/kapiltrip/hdlBits/blob/main/study/solutions/Day%2002/038-vector100r.sv","Code")</x:f>
        <x:v>HYPERLINK is not implemented. linkLocation=https://github.com/kapiltrip/hdlBits/blob/main/study/solutions/Day%2002/038-vector100r.sv, friendlyName=Code</x:v>
      </x:c>
      <x:c r="S52" s="11" t="e">
        <x:f>HYPERLINK("https://hdlbits.01xz.net/wiki/vector100r","HDLBits")</x:f>
        <x:v>HYPERLINK is not implemented. linkLocation=https://hdlbits.01xz.net/wiki/vector100r, friendlyName=HDLBits</x:v>
      </x:c>
      <x:c r="T52" s="8" t="s">
        <x:v>221</x:v>
      </x:c>
      <x:c r="U52" s="8"/>
    </x:row>
    <x:row r="53" ht="34.04999923706055" customHeight="1">
      <x:c r="A53" s="3">
        <x:v>41</x:v>
      </x:c>
      <x:c r="B53" s="3">
        <x:v>39</x:v>
      </x:c>
      <x:c r="C53" s="2" t="s">
        <x:v>17</x:v>
      </x:c>
      <x:c r="D53" s="2" t="s">
        <x:v>26</x:v>
      </x:c>
      <x:c r="E53" s="2" t="s">
        <x:v>222</x:v>
      </x:c>
      <x:c r="F53" s="2" t="s">
        <x:v>223</x:v>
      </x:c>
      <x:c r="G53" s="3" t="s">
        <x:v>1</x:v>
      </x:c>
      <x:c r="H53" s="3" t="s">
        <x:v>16</x:v>
      </x:c>
      <x:c r="I53" s="56">
        <x:v>46197</x:v>
      </x:c>
      <x:c r="J53" s="3" t="s">
        <x:v>224</x:v>
      </x:c>
      <x:c r="K53" s="3">
        <x:v>22</x:v>
      </x:c>
      <x:c r="L53" s="3">
        <x:v>5</x:v>
      </x:c>
      <x:c r="M53" s="3">
        <x:v>16</x:v>
      </x:c>
      <x:c r="N53" s="3">
        <x:v>0</x:v>
      </x:c>
      <x:c r="O53" s="6">
        <x:v>0.05</x:v>
      </x:c>
      <x:c r="P53" s="4" t="e">
        <x:f>HYPERLINK("https://github.com/kapiltrip/hdlBits/blob/main/study/problems/Day%2002/039-popcount255.md","Note")</x:f>
        <x:v>HYPERLINK is not implemented. linkLocation=https://github.com/kapiltrip/hdlBits/blob/main/study/problems/Day%2002/039-popcount255.md, friendlyName=Note</x:v>
      </x:c>
      <x:c r="Q53" s="4" t="e">
        <x:f>HYPERLINK("https://github.com/kapiltrip/hdlBits/blob/main/study/images/Day%2002/039-popcount255.png","Image")</x:f>
        <x:v>HYPERLINK is not implemented. linkLocation=https://github.com/kapiltrip/hdlBits/blob/main/study/images/Day%2002/039-popcount255.png, friendlyName=Image</x:v>
      </x:c>
      <x:c r="R53" s="4" t="e">
        <x:f>HYPERLINK("https://github.com/kapiltrip/hdlBits/blob/main/study/solutions/Day%2002/039-popcount255.sv","Code")</x:f>
        <x:v>HYPERLINK is not implemented. linkLocation=https://github.com/kapiltrip/hdlBits/blob/main/study/solutions/Day%2002/039-popcount255.sv, friendlyName=Code</x:v>
      </x:c>
      <x:c r="S53" s="4" t="e">
        <x:f>HYPERLINK("https://hdlbits.01xz.net/wiki/popcount255","HDLBits")</x:f>
        <x:v>HYPERLINK is not implemented. linkLocation=https://hdlbits.01xz.net/wiki/popcount255, friendlyName=HDLBits</x:v>
      </x:c>
      <x:c r="T53" s="2" t="s">
        <x:v>225</x:v>
      </x:c>
      <x:c r="U53" s="2"/>
    </x:row>
    <x:row r="54" ht="34.04999923706055" customHeight="1">
      <x:c r="A54" s="7">
        <x:v>42</x:v>
      </x:c>
      <x:c r="B54" s="7">
        <x:v>40</x:v>
      </x:c>
      <x:c r="C54" s="8" t="s">
        <x:v>17</x:v>
      </x:c>
      <x:c r="D54" s="8" t="s">
        <x:v>26</x:v>
      </x:c>
      <x:c r="E54" s="8" t="s">
        <x:v>226</x:v>
      </x:c>
      <x:c r="F54" s="8" t="s">
        <x:v>227</x:v>
      </x:c>
      <x:c r="G54" s="7" t="s">
        <x:v>1</x:v>
      </x:c>
      <x:c r="H54" s="7" t="s">
        <x:v>16</x:v>
      </x:c>
      <x:c r="I54" s="55">
        <x:v>46197</x:v>
      </x:c>
      <x:c r="J54" s="7" t="s">
        <x:v>228</x:v>
      </x:c>
      <x:c r="K54" s="7">
        <x:v>19</x:v>
      </x:c>
      <x:c r="L54" s="7">
        <x:v>11</x:v>
      </x:c>
      <x:c r="M54" s="7">
        <x:v>7</x:v>
      </x:c>
      <x:c r="N54" s="7">
        <x:v>0</x:v>
      </x:c>
      <x:c r="O54" s="10">
        <x:v>0.05</x:v>
      </x:c>
      <x:c r="P54" s="11" t="e">
        <x:f>HYPERLINK("https://github.com/kapiltrip/hdlBits/blob/main/study/problems/Day%2002/040-adder100i.md","Note")</x:f>
        <x:v>HYPERLINK is not implemented. linkLocation=https://github.com/kapiltrip/hdlBits/blob/main/study/problems/Day%2002/040-adder100i.md, friendlyName=Note</x:v>
      </x:c>
      <x:c r="Q54" s="11" t="e">
        <x:f>HYPERLINK("https://github.com/kapiltrip/hdlBits/blob/main/study/images/Day%2002/040-adder100i.png","Image")</x:f>
        <x:v>HYPERLINK is not implemented. linkLocation=https://github.com/kapiltrip/hdlBits/blob/main/study/images/Day%2002/040-adder100i.png, friendlyName=Image</x:v>
      </x:c>
      <x:c r="R54" s="11" t="e">
        <x:f>HYPERLINK("https://github.com/kapiltrip/hdlBits/blob/main/study/solutions/Day%2002/040-adder100i.sv","Code")</x:f>
        <x:v>HYPERLINK is not implemented. linkLocation=https://github.com/kapiltrip/hdlBits/blob/main/study/solutions/Day%2002/040-adder100i.sv, friendlyName=Code</x:v>
      </x:c>
      <x:c r="S54" s="11" t="e">
        <x:f>HYPERLINK("https://hdlbits.01xz.net/wiki/adder100i","HDLBits")</x:f>
        <x:v>HYPERLINK is not implemented. linkLocation=https://hdlbits.01xz.net/wiki/adder100i, friendlyName=HDLBits</x:v>
      </x:c>
      <x:c r="T54" s="8" t="s">
        <x:v>229</x:v>
      </x:c>
      <x:c r="U54" s="8"/>
    </x:row>
    <x:row r="55" ht="34.04999923706055" customHeight="1">
      <x:c r="A55" s="3">
        <x:v>43</x:v>
      </x:c>
      <x:c r="B55" s="3">
        <x:v>41</x:v>
      </x:c>
      <x:c r="C55" s="2" t="s">
        <x:v>17</x:v>
      </x:c>
      <x:c r="D55" s="2" t="s">
        <x:v>26</x:v>
      </x:c>
      <x:c r="E55" s="2" t="s">
        <x:v>230</x:v>
      </x:c>
      <x:c r="F55" s="2" t="s">
        <x:v>231</x:v>
      </x:c>
      <x:c r="G55" s="3" t="s">
        <x:v>1</x:v>
      </x:c>
      <x:c r="H55" s="3" t="s">
        <x:v>19</x:v>
      </x:c>
      <x:c r="I55" s="56">
        <x:v>46198</x:v>
      </x:c>
      <x:c r="J55" s="3" t="s">
        <x:v>232</x:v>
      </x:c>
      <x:c r="K55" s="3">
        <x:v>6</x:v>
      </x:c>
      <x:c r="L55" s="3">
        <x:v>2</x:v>
      </x:c>
      <x:c r="M55" s="3">
        <x:v>3</x:v>
      </x:c>
      <x:c r="N55" s="3">
        <x:v>0</x:v>
      </x:c>
      <x:c r="O55" s="6">
        <x:v>0.17</x:v>
      </x:c>
      <x:c r="P55" s="4" t="e">
        <x:f>HYPERLINK("https://github.com/kapiltrip/hdlBits/blob/main/study/problems/Day%2003/041-bcdadd100.md","Note")</x:f>
        <x:v>HYPERLINK is not implemented. linkLocation=https://github.com/kapiltrip/hdlBits/blob/main/study/problems/Day%2003/041-bcdadd100.md, friendlyName=Note</x:v>
      </x:c>
      <x:c r="Q55" s="4" t="e">
        <x:f>HYPERLINK("https://github.com/kapiltrip/hdlBits/blob/main/study/images/Day%2003/041-bcdadd100.png","Image")</x:f>
        <x:v>HYPERLINK is not implemented. linkLocation=https://github.com/kapiltrip/hdlBits/blob/main/study/images/Day%2003/041-bcdadd100.png, friendlyName=Image</x:v>
      </x:c>
      <x:c r="R55" s="4" t="e">
        <x:f>HYPERLINK("https://github.com/kapiltrip/hdlBits/blob/main/study/solutions/Day%2003/041-bcdadd100.sv","Code")</x:f>
        <x:v>HYPERLINK is not implemented. linkLocation=https://github.com/kapiltrip/hdlBits/blob/main/study/solutions/Day%2003/041-bcdadd100.sv, friendlyName=Code</x:v>
      </x:c>
      <x:c r="S55" s="4" t="e">
        <x:f>HYPERLINK("https://hdlbits.01xz.net/wiki/bcdadd100","HDLBits")</x:f>
        <x:v>HYPERLINK is not implemented. linkLocation=https://hdlbits.01xz.net/wiki/bcdadd100, friendlyName=HDLBits</x:v>
      </x:c>
      <x:c r="T55" s="2" t="s">
        <x:v>233</x:v>
      </x:c>
      <x:c r="U55" s="2"/>
    </x:row>
    <x:row r="56" ht="25.049999237060547" customHeight="1">
      <x:c r="A56" s="41" t="s">
        <x:v>234</x:v>
      </x:c>
      <x:c r="B56" s="41"/>
      <x:c r="C56" s="41"/>
      <x:c r="D56" s="41"/>
      <x:c r="E56" s="41"/>
      <x:c r="F56" s="41"/>
      <x:c r="G56" s="41"/>
      <x:c r="H56" s="41"/>
      <x:c r="I56" s="59"/>
      <x:c r="J56" s="41"/>
      <x:c r="K56" s="41"/>
      <x:c r="L56" s="41"/>
      <x:c r="M56" s="41"/>
      <x:c r="N56" s="41"/>
      <x:c r="O56" s="43"/>
      <x:c r="P56" s="41"/>
      <x:c r="Q56" s="41"/>
      <x:c r="R56" s="41"/>
      <x:c r="S56" s="41"/>
      <x:c r="T56" s="41"/>
      <x:c r="U56" s="41"/>
    </x:row>
    <x:row r="57" ht="22.049999237060547" customHeight="1">
      <x:c r="A57" s="44" t="s">
        <x:v>235</x:v>
      </x:c>
      <x:c r="B57" s="44"/>
      <x:c r="C57" s="44"/>
      <x:c r="D57" s="44"/>
      <x:c r="E57" s="44"/>
      <x:c r="F57" s="44"/>
      <x:c r="G57" s="44"/>
      <x:c r="H57" s="44"/>
      <x:c r="I57" s="60"/>
      <x:c r="J57" s="44"/>
      <x:c r="K57" s="44"/>
      <x:c r="L57" s="44"/>
      <x:c r="M57" s="44"/>
      <x:c r="N57" s="44"/>
      <x:c r="O57" s="46"/>
      <x:c r="P57" s="44"/>
      <x:c r="Q57" s="44"/>
      <x:c r="R57" s="44"/>
      <x:c r="S57" s="44"/>
      <x:c r="T57" s="44"/>
      <x:c r="U57" s="44"/>
    </x:row>
    <x:row r="58" ht="34.04999923706055" customHeight="1">
      <x:c r="A58" s="7">
        <x:v>44</x:v>
      </x:c>
      <x:c r="B58" s="7">
        <x:v>42</x:v>
      </x:c>
      <x:c r="C58" s="8" t="s">
        <x:v>28</x:v>
      </x:c>
      <x:c r="D58" s="8" t="s">
        <x:v>29</x:v>
      </x:c>
      <x:c r="E58" s="8" t="s">
        <x:v>236</x:v>
      </x:c>
      <x:c r="F58" s="8" t="s">
        <x:v>237</x:v>
      </x:c>
      <x:c r="G58" s="7" t="s">
        <x:v>1</x:v>
      </x:c>
      <x:c r="H58" s="7" t="s">
        <x:v>16</x:v>
      </x:c>
      <x:c r="I58" s="55">
        <x:v>46197</x:v>
      </x:c>
      <x:c r="J58" s="7" t="s">
        <x:v>238</x:v>
      </x:c>
      <x:c r="K58" s="7">
        <x:v>1</x:v>
      </x:c>
      <x:c r="L58" s="7">
        <x:v>0</x:v>
      </x:c>
      <x:c r="M58" s="7">
        <x:v>0</x:v>
      </x:c>
      <x:c r="N58" s="7">
        <x:v>0</x:v>
      </x:c>
      <x:c r="O58" s="10">
        <x:v>1</x:v>
      </x:c>
      <x:c r="P58" s="11" t="e">
        <x:f>HYPERLINK("https://github.com/kapiltrip/hdlBits/blob/main/study/problems/Day%2002/042-exams__m2014_q4h.md","Note")</x:f>
        <x:v>HYPERLINK is not implemented. linkLocation=https://github.com/kapiltrip/hdlBits/blob/main/study/problems/Day%2002/042-exams__m2014_q4h.md, friendlyName=Note</x:v>
      </x:c>
      <x:c r="Q58" s="11" t="e">
        <x:f>HYPERLINK("https://github.com/kapiltrip/hdlBits/blob/main/study/images/Day%2002/042-exams__m2014_q4h.png","Image")</x:f>
        <x:v>HYPERLINK is not implemented. linkLocation=https://github.com/kapiltrip/hdlBits/blob/main/study/images/Day%2002/042-exams__m2014_q4h.png, friendlyName=Image</x:v>
      </x:c>
      <x:c r="R58" s="11" t="e">
        <x:f>HYPERLINK("https://github.com/kapiltrip/hdlBits/blob/main/study/solutions/Day%2002/042-exams__m2014_q4h.sv","Code")</x:f>
        <x:v>HYPERLINK is not implemented. linkLocation=https://github.com/kapiltrip/hdlBits/blob/main/study/solutions/Day%2002/042-exams__m2014_q4h.sv, friendlyName=Code</x:v>
      </x:c>
      <x:c r="S58" s="11" t="e">
        <x:f>HYPERLINK("https://hdlbits.01xz.net/wiki/exams/m2014_q4h","HDLBits")</x:f>
        <x:v>HYPERLINK is not implemented. linkLocation=https://hdlbits.01xz.net/wiki/exams/m2014_q4h, friendlyName=HDLBits</x:v>
      </x:c>
      <x:c r="T58" s="8" t="s">
        <x:v>239</x:v>
      </x:c>
      <x:c r="U58" s="8"/>
    </x:row>
    <x:row r="59" ht="34.04999923706055" customHeight="1">
      <x:c r="A59" s="3">
        <x:v>45</x:v>
      </x:c>
      <x:c r="B59" s="3">
        <x:v>43</x:v>
      </x:c>
      <x:c r="C59" s="2" t="s">
        <x:v>28</x:v>
      </x:c>
      <x:c r="D59" s="2" t="s">
        <x:v>29</x:v>
      </x:c>
      <x:c r="E59" s="2" t="s">
        <x:v>240</x:v>
      </x:c>
      <x:c r="F59" s="2" t="s">
        <x:v>241</x:v>
      </x:c>
      <x:c r="G59" s="3" t="s">
        <x:v>1</x:v>
      </x:c>
      <x:c r="H59" s="3" t="s">
        <x:v>16</x:v>
      </x:c>
      <x:c r="I59" s="56">
        <x:v>46197</x:v>
      </x:c>
      <x:c r="J59" s="3" t="s">
        <x:v>242</x:v>
      </x:c>
      <x:c r="K59" s="3">
        <x:v>1</x:v>
      </x:c>
      <x:c r="L59" s="3">
        <x:v>0</x:v>
      </x:c>
      <x:c r="M59" s="3">
        <x:v>0</x:v>
      </x:c>
      <x:c r="N59" s="3">
        <x:v>0</x:v>
      </x:c>
      <x:c r="O59" s="6">
        <x:v>1</x:v>
      </x:c>
      <x:c r="P59" s="4" t="e">
        <x:f>HYPERLINK("https://github.com/kapiltrip/hdlBits/blob/main/study/problems/Day%2002/043-exams__m2014_q4i.md","Note")</x:f>
        <x:v>HYPERLINK is not implemented. linkLocation=https://github.com/kapiltrip/hdlBits/blob/main/study/problems/Day%2002/043-exams__m2014_q4i.md, friendlyName=Note</x:v>
      </x:c>
      <x:c r="Q59" s="4" t="e">
        <x:f>HYPERLINK("https://github.com/kapiltrip/hdlBits/blob/main/study/images/Day%2002/043-exams__m2014_q4i.png","Image")</x:f>
        <x:v>HYPERLINK is not implemented. linkLocation=https://github.com/kapiltrip/hdlBits/blob/main/study/images/Day%2002/043-exams__m2014_q4i.png, friendlyName=Image</x:v>
      </x:c>
      <x:c r="R59" s="4" t="e">
        <x:f>HYPERLINK("https://github.com/kapiltrip/hdlBits/blob/main/study/solutions/Day%2002/043-exams__m2014_q4i.sv","Code")</x:f>
        <x:v>HYPERLINK is not implemented. linkLocation=https://github.com/kapiltrip/hdlBits/blob/main/study/solutions/Day%2002/043-exams__m2014_q4i.sv, friendlyName=Code</x:v>
      </x:c>
      <x:c r="S59" s="4" t="e">
        <x:f>HYPERLINK("https://hdlbits.01xz.net/wiki/exams/m2014_q4i","HDLBits")</x:f>
        <x:v>HYPERLINK is not implemented. linkLocation=https://hdlbits.01xz.net/wiki/exams/m2014_q4i, friendlyName=HDLBits</x:v>
      </x:c>
      <x:c r="T59" s="2" t="s">
        <x:v>243</x:v>
      </x:c>
      <x:c r="U59" s="2"/>
    </x:row>
    <x:row r="60" ht="34.04999923706055" customHeight="1">
      <x:c r="A60" s="7">
        <x:v>46</x:v>
      </x:c>
      <x:c r="B60" s="7">
        <x:v>44</x:v>
      </x:c>
      <x:c r="C60" s="8" t="s">
        <x:v>28</x:v>
      </x:c>
      <x:c r="D60" s="8" t="s">
        <x:v>29</x:v>
      </x:c>
      <x:c r="E60" s="8" t="s">
        <x:v>244</x:v>
      </x:c>
      <x:c r="F60" s="8" t="s">
        <x:v>245</x:v>
      </x:c>
      <x:c r="G60" s="7" t="s">
        <x:v>1</x:v>
      </x:c>
      <x:c r="H60" s="7" t="s">
        <x:v>16</x:v>
      </x:c>
      <x:c r="I60" s="55">
        <x:v>46197</x:v>
      </x:c>
      <x:c r="J60" s="7" t="s">
        <x:v>246</x:v>
      </x:c>
      <x:c r="K60" s="7">
        <x:v>2</x:v>
      </x:c>
      <x:c r="L60" s="7">
        <x:v>1</x:v>
      </x:c>
      <x:c r="M60" s="7">
        <x:v>0</x:v>
      </x:c>
      <x:c r="N60" s="7">
        <x:v>0</x:v>
      </x:c>
      <x:c r="O60" s="10">
        <x:v>0.5</x:v>
      </x:c>
      <x:c r="P60" s="11" t="e">
        <x:f>HYPERLINK("https://github.com/kapiltrip/hdlBits/blob/main/study/problems/Day%2002/044-exams__m2014_q4e.md","Note")</x:f>
        <x:v>HYPERLINK is not implemented. linkLocation=https://github.com/kapiltrip/hdlBits/blob/main/study/problems/Day%2002/044-exams__m2014_q4e.md, friendlyName=Note</x:v>
      </x:c>
      <x:c r="Q60" s="11" t="e">
        <x:f>HYPERLINK("https://github.com/kapiltrip/hdlBits/blob/main/study/images/Day%2002/044-exams__m2014_q4e.png","Image")</x:f>
        <x:v>HYPERLINK is not implemented. linkLocation=https://github.com/kapiltrip/hdlBits/blob/main/study/images/Day%2002/044-exams__m2014_q4e.png, friendlyName=Image</x:v>
      </x:c>
      <x:c r="R60" s="11" t="e">
        <x:f>HYPERLINK("https://github.com/kapiltrip/hdlBits/blob/main/study/solutions/Day%2002/044-exams__m2014_q4e.sv","Code")</x:f>
        <x:v>HYPERLINK is not implemented. linkLocation=https://github.com/kapiltrip/hdlBits/blob/main/study/solutions/Day%2002/044-exams__m2014_q4e.sv, friendlyName=Code</x:v>
      </x:c>
      <x:c r="S60" s="11" t="e">
        <x:f>HYPERLINK("https://hdlbits.01xz.net/wiki/exams/m2014_q4e","HDLBits")</x:f>
        <x:v>HYPERLINK is not implemented. linkLocation=https://hdlbits.01xz.net/wiki/exams/m2014_q4e, friendlyName=HDLBits</x:v>
      </x:c>
      <x:c r="T60" s="8" t="s">
        <x:v>247</x:v>
      </x:c>
      <x:c r="U60" s="8"/>
    </x:row>
    <x:row r="61" ht="34.04999923706055" customHeight="1">
      <x:c r="A61" s="3">
        <x:v>47</x:v>
      </x:c>
      <x:c r="B61" s="3">
        <x:v>45</x:v>
      </x:c>
      <x:c r="C61" s="2" t="s">
        <x:v>28</x:v>
      </x:c>
      <x:c r="D61" s="2" t="s">
        <x:v>29</x:v>
      </x:c>
      <x:c r="E61" s="2" t="s">
        <x:v>248</x:v>
      </x:c>
      <x:c r="F61" s="2" t="s">
        <x:v>249</x:v>
      </x:c>
      <x:c r="G61" s="3" t="s">
        <x:v>1</x:v>
      </x:c>
      <x:c r="H61" s="3" t="s">
        <x:v>16</x:v>
      </x:c>
      <x:c r="I61" s="56">
        <x:v>46197</x:v>
      </x:c>
      <x:c r="J61" s="3" t="s">
        <x:v>250</x:v>
      </x:c>
      <x:c r="K61" s="3">
        <x:v>1</x:v>
      </x:c>
      <x:c r="L61" s="3">
        <x:v>0</x:v>
      </x:c>
      <x:c r="M61" s="3">
        <x:v>0</x:v>
      </x:c>
      <x:c r="N61" s="3">
        <x:v>0</x:v>
      </x:c>
      <x:c r="O61" s="6">
        <x:v>1</x:v>
      </x:c>
      <x:c r="P61" s="4" t="e">
        <x:f>HYPERLINK("https://github.com/kapiltrip/hdlBits/blob/main/study/problems/Day%2002/045-exams__m2014_q4f.md","Note")</x:f>
        <x:v>HYPERLINK is not implemented. linkLocation=https://github.com/kapiltrip/hdlBits/blob/main/study/problems/Day%2002/045-exams__m2014_q4f.md, friendlyName=Note</x:v>
      </x:c>
      <x:c r="Q61" s="4" t="e">
        <x:f>HYPERLINK("https://github.com/kapiltrip/hdlBits/blob/main/study/images/Day%2002/045-exams__m2014_q4f.png","Image")</x:f>
        <x:v>HYPERLINK is not implemented. linkLocation=https://github.com/kapiltrip/hdlBits/blob/main/study/images/Day%2002/045-exams__m2014_q4f.png, friendlyName=Image</x:v>
      </x:c>
      <x:c r="R61" s="4" t="e">
        <x:f>HYPERLINK("https://github.com/kapiltrip/hdlBits/blob/main/study/solutions/Day%2002/045-exams__m2014_q4f.sv","Code")</x:f>
        <x:v>HYPERLINK is not implemented. linkLocation=https://github.com/kapiltrip/hdlBits/blob/main/study/solutions/Day%2002/045-exams__m2014_q4f.sv, friendlyName=Code</x:v>
      </x:c>
      <x:c r="S61" s="4" t="e">
        <x:f>HYPERLINK("https://hdlbits.01xz.net/wiki/exams/m2014_q4f","HDLBits")</x:f>
        <x:v>HYPERLINK is not implemented. linkLocation=https://hdlbits.01xz.net/wiki/exams/m2014_q4f, friendlyName=HDLBits</x:v>
      </x:c>
      <x:c r="T61" s="2" t="s">
        <x:v>251</x:v>
      </x:c>
      <x:c r="U61" s="2"/>
    </x:row>
    <x:row r="62" ht="34.04999923706055" customHeight="1">
      <x:c r="A62" s="7">
        <x:v>48</x:v>
      </x:c>
      <x:c r="B62" s="7">
        <x:v>46</x:v>
      </x:c>
      <x:c r="C62" s="8" t="s">
        <x:v>28</x:v>
      </x:c>
      <x:c r="D62" s="8" t="s">
        <x:v>29</x:v>
      </x:c>
      <x:c r="E62" s="8" t="s">
        <x:v>252</x:v>
      </x:c>
      <x:c r="F62" s="8" t="s">
        <x:v>253</x:v>
      </x:c>
      <x:c r="G62" s="7" t="s">
        <x:v>1</x:v>
      </x:c>
      <x:c r="H62" s="7" t="s">
        <x:v>16</x:v>
      </x:c>
      <x:c r="I62" s="55">
        <x:v>46197</x:v>
      </x:c>
      <x:c r="J62" s="7" t="s">
        <x:v>254</x:v>
      </x:c>
      <x:c r="K62" s="7">
        <x:v>1</x:v>
      </x:c>
      <x:c r="L62" s="7">
        <x:v>0</x:v>
      </x:c>
      <x:c r="M62" s="7">
        <x:v>0</x:v>
      </x:c>
      <x:c r="N62" s="7">
        <x:v>0</x:v>
      </x:c>
      <x:c r="O62" s="10">
        <x:v>1</x:v>
      </x:c>
      <x:c r="P62" s="11" t="e">
        <x:f>HYPERLINK("https://github.com/kapiltrip/hdlBits/blob/main/study/problems/Day%2002/046-exams__m2014_q4g.md","Note")</x:f>
        <x:v>HYPERLINK is not implemented. linkLocation=https://github.com/kapiltrip/hdlBits/blob/main/study/problems/Day%2002/046-exams__m2014_q4g.md, friendlyName=Note</x:v>
      </x:c>
      <x:c r="Q62" s="11" t="e">
        <x:f>HYPERLINK("https://github.com/kapiltrip/hdlBits/blob/main/study/images/Day%2002/046-exams__m2014_q4g.png","Image")</x:f>
        <x:v>HYPERLINK is not implemented. linkLocation=https://github.com/kapiltrip/hdlBits/blob/main/study/images/Day%2002/046-exams__m2014_q4g.png, friendlyName=Image</x:v>
      </x:c>
      <x:c r="R62" s="11" t="e">
        <x:f>HYPERLINK("https://github.com/kapiltrip/hdlBits/blob/main/study/solutions/Day%2002/046-exams__m2014_q4g.sv","Code")</x:f>
        <x:v>HYPERLINK is not implemented. linkLocation=https://github.com/kapiltrip/hdlBits/blob/main/study/solutions/Day%2002/046-exams__m2014_q4g.sv, friendlyName=Code</x:v>
      </x:c>
      <x:c r="S62" s="11" t="e">
        <x:f>HYPERLINK("https://hdlbits.01xz.net/wiki/exams/m2014_q4g","HDLBits")</x:f>
        <x:v>HYPERLINK is not implemented. linkLocation=https://hdlbits.01xz.net/wiki/exams/m2014_q4g, friendlyName=HDLBits</x:v>
      </x:c>
      <x:c r="T62" s="8" t="s">
        <x:v>255</x:v>
      </x:c>
      <x:c r="U62" s="8"/>
    </x:row>
    <x:row r="63" ht="34.04999923706055" customHeight="1">
      <x:c r="A63" s="3">
        <x:v>49</x:v>
      </x:c>
      <x:c r="B63" s="3">
        <x:v>47</x:v>
      </x:c>
      <x:c r="C63" s="2" t="s">
        <x:v>28</x:v>
      </x:c>
      <x:c r="D63" s="2" t="s">
        <x:v>29</x:v>
      </x:c>
      <x:c r="E63" s="2" t="s">
        <x:v>256</x:v>
      </x:c>
      <x:c r="F63" s="2" t="s">
        <x:v>257</x:v>
      </x:c>
      <x:c r="G63" s="3" t="s">
        <x:v>1</x:v>
      </x:c>
      <x:c r="H63" s="3" t="s">
        <x:v>19</x:v>
      </x:c>
      <x:c r="I63" s="56">
        <x:v>46198</x:v>
      </x:c>
      <x:c r="J63" s="3" t="s">
        <x:v>258</x:v>
      </x:c>
      <x:c r="K63" s="3">
        <x:v>2</x:v>
      </x:c>
      <x:c r="L63" s="3">
        <x:v>0</x:v>
      </x:c>
      <x:c r="M63" s="3">
        <x:v>1</x:v>
      </x:c>
      <x:c r="N63" s="3">
        <x:v>0</x:v>
      </x:c>
      <x:c r="O63" s="6">
        <x:v>0.5</x:v>
      </x:c>
      <x:c r="P63" s="4" t="e">
        <x:f>HYPERLINK("https://github.com/kapiltrip/hdlBits/blob/main/study/problems/Day%2003/047-gates.md","Note")</x:f>
        <x:v>HYPERLINK is not implemented. linkLocation=https://github.com/kapiltrip/hdlBits/blob/main/study/problems/Day%2003/047-gates.md, friendlyName=Note</x:v>
      </x:c>
      <x:c r="Q63" s="4" t="e">
        <x:f>HYPERLINK("https://github.com/kapiltrip/hdlBits/blob/main/study/images/Day%2003/047-gates.png","Image")</x:f>
        <x:v>HYPERLINK is not implemented. linkLocation=https://github.com/kapiltrip/hdlBits/blob/main/study/images/Day%2003/047-gates.png, friendlyName=Image</x:v>
      </x:c>
      <x:c r="R63" s="4" t="e">
        <x:f>HYPERLINK("https://github.com/kapiltrip/hdlBits/blob/main/study/solutions/Day%2003/047-gates.sv","Code")</x:f>
        <x:v>HYPERLINK is not implemented. linkLocation=https://github.com/kapiltrip/hdlBits/blob/main/study/solutions/Day%2003/047-gates.sv, friendlyName=Code</x:v>
      </x:c>
      <x:c r="S63" s="4" t="e">
        <x:f>HYPERLINK("https://hdlbits.01xz.net/wiki/gates","HDLBits")</x:f>
        <x:v>HYPERLINK is not implemented. linkLocation=https://hdlbits.01xz.net/wiki/gates, friendlyName=HDLBits</x:v>
      </x:c>
      <x:c r="T63" s="2" t="s">
        <x:v>259</x:v>
      </x:c>
      <x:c r="U63" s="2"/>
    </x:row>
    <x:row r="64" ht="34.04999923706055" customHeight="1">
      <x:c r="A64" s="7">
        <x:v>50</x:v>
      </x:c>
      <x:c r="B64" s="7">
        <x:v>48</x:v>
      </x:c>
      <x:c r="C64" s="8" t="s">
        <x:v>28</x:v>
      </x:c>
      <x:c r="D64" s="8" t="s">
        <x:v>29</x:v>
      </x:c>
      <x:c r="E64" s="8" t="s">
        <x:v>260</x:v>
      </x:c>
      <x:c r="F64" s="8" t="s">
        <x:v>261</x:v>
      </x:c>
      <x:c r="G64" s="7" t="s">
        <x:v>1</x:v>
      </x:c>
      <x:c r="H64" s="7" t="s">
        <x:v>19</x:v>
      </x:c>
      <x:c r="I64" s="55">
        <x:v>46198</x:v>
      </x:c>
      <x:c r="J64" s="7" t="s">
        <x:v>262</x:v>
      </x:c>
      <x:c r="K64" s="7">
        <x:v>1</x:v>
      </x:c>
      <x:c r="L64" s="7">
        <x:v>0</x:v>
      </x:c>
      <x:c r="M64" s="7">
        <x:v>0</x:v>
      </x:c>
      <x:c r="N64" s="7">
        <x:v>0</x:v>
      </x:c>
      <x:c r="O64" s="10">
        <x:v>1</x:v>
      </x:c>
      <x:c r="P64" s="11" t="e">
        <x:f>HYPERLINK("https://github.com/kapiltrip/hdlBits/blob/main/study/problems/Day%2003/048-7420.md","Note")</x:f>
        <x:v>HYPERLINK is not implemented. linkLocation=https://github.com/kapiltrip/hdlBits/blob/main/study/problems/Day%2003/048-7420.md, friendlyName=Note</x:v>
      </x:c>
      <x:c r="Q64" s="11" t="e">
        <x:f>HYPERLINK("https://github.com/kapiltrip/hdlBits/blob/main/study/images/Day%2003/048-7420.png","Image")</x:f>
        <x:v>HYPERLINK is not implemented. linkLocation=https://github.com/kapiltrip/hdlBits/blob/main/study/images/Day%2003/048-7420.png, friendlyName=Image</x:v>
      </x:c>
      <x:c r="R64" s="11" t="e">
        <x:f>HYPERLINK("https://github.com/kapiltrip/hdlBits/blob/main/study/solutions/Day%2003/048-7420.sv","Code")</x:f>
        <x:v>HYPERLINK is not implemented. linkLocation=https://github.com/kapiltrip/hdlBits/blob/main/study/solutions/Day%2003/048-7420.sv, friendlyName=Code</x:v>
      </x:c>
      <x:c r="S64" s="11" t="e">
        <x:f>HYPERLINK("https://hdlbits.01xz.net/wiki/7420","HDLBits")</x:f>
        <x:v>HYPERLINK is not implemented. linkLocation=https://hdlbits.01xz.net/wiki/7420, friendlyName=HDLBits</x:v>
      </x:c>
      <x:c r="T64" s="8" t="s">
        <x:v>263</x:v>
      </x:c>
      <x:c r="U64" s="8"/>
    </x:row>
    <x:row r="65" ht="34.04999923706055" customHeight="1">
      <x:c r="A65" s="3">
        <x:v>51</x:v>
      </x:c>
      <x:c r="B65" s="3">
        <x:v>49</x:v>
      </x:c>
      <x:c r="C65" s="2" t="s">
        <x:v>28</x:v>
      </x:c>
      <x:c r="D65" s="2" t="s">
        <x:v>29</x:v>
      </x:c>
      <x:c r="E65" s="2" t="s">
        <x:v>264</x:v>
      </x:c>
      <x:c r="F65" s="2" t="s">
        <x:v>265</x:v>
      </x:c>
      <x:c r="G65" s="3" t="s">
        <x:v>1</x:v>
      </x:c>
      <x:c r="H65" s="3" t="s">
        <x:v>19</x:v>
      </x:c>
      <x:c r="I65" s="56">
        <x:v>46198</x:v>
      </x:c>
      <x:c r="J65" s="3" t="s">
        <x:v>266</x:v>
      </x:c>
      <x:c r="K65" s="3">
        <x:v>1</x:v>
      </x:c>
      <x:c r="L65" s="3">
        <x:v>0</x:v>
      </x:c>
      <x:c r="M65" s="3">
        <x:v>0</x:v>
      </x:c>
      <x:c r="N65" s="3">
        <x:v>0</x:v>
      </x:c>
      <x:c r="O65" s="6">
        <x:v>1</x:v>
      </x:c>
      <x:c r="P65" s="4" t="e">
        <x:f>HYPERLINK("https://github.com/kapiltrip/hdlBits/blob/main/study/problems/Day%2003/049-truthtable1.md","Note")</x:f>
        <x:v>HYPERLINK is not implemented. linkLocation=https://github.com/kapiltrip/hdlBits/blob/main/study/problems/Day%2003/049-truthtable1.md, friendlyName=Note</x:v>
      </x:c>
      <x:c r="Q65" s="4" t="e">
        <x:f>HYPERLINK("https://github.com/kapiltrip/hdlBits/blob/main/study/images/Day%2003/049-truthtable1.png","Image")</x:f>
        <x:v>HYPERLINK is not implemented. linkLocation=https://github.com/kapiltrip/hdlBits/blob/main/study/images/Day%2003/049-truthtable1.png, friendlyName=Image</x:v>
      </x:c>
      <x:c r="R65" s="4" t="e">
        <x:f>HYPERLINK("https://github.com/kapiltrip/hdlBits/blob/main/study/solutions/Day%2003/049-truthtable1.sv","Code")</x:f>
        <x:v>HYPERLINK is not implemented. linkLocation=https://github.com/kapiltrip/hdlBits/blob/main/study/solutions/Day%2003/049-truthtable1.sv, friendlyName=Code</x:v>
      </x:c>
      <x:c r="S65" s="4" t="e">
        <x:f>HYPERLINK("https://hdlbits.01xz.net/wiki/truthtable1","HDLBits")</x:f>
        <x:v>HYPERLINK is not implemented. linkLocation=https://hdlbits.01xz.net/wiki/truthtable1, friendlyName=HDLBits</x:v>
      </x:c>
      <x:c r="T65" s="2" t="s">
        <x:v>267</x:v>
      </x:c>
      <x:c r="U65" s="2"/>
    </x:row>
    <x:row r="66" ht="34.04999923706055" customHeight="1">
      <x:c r="A66" s="7">
        <x:v>52</x:v>
      </x:c>
      <x:c r="B66" s="7">
        <x:v>50</x:v>
      </x:c>
      <x:c r="C66" s="8" t="s">
        <x:v>28</x:v>
      </x:c>
      <x:c r="D66" s="8" t="s">
        <x:v>29</x:v>
      </x:c>
      <x:c r="E66" s="8" t="s">
        <x:v>268</x:v>
      </x:c>
      <x:c r="F66" s="8" t="s">
        <x:v>269</x:v>
      </x:c>
      <x:c r="G66" s="7" t="s">
        <x:v>1</x:v>
      </x:c>
      <x:c r="H66" s="7" t="s">
        <x:v>19</x:v>
      </x:c>
      <x:c r="I66" s="55">
        <x:v>46198</x:v>
      </x:c>
      <x:c r="J66" s="7" t="s">
        <x:v>270</x:v>
      </x:c>
      <x:c r="K66" s="7">
        <x:v>1</x:v>
      </x:c>
      <x:c r="L66" s="7">
        <x:v>0</x:v>
      </x:c>
      <x:c r="M66" s="7">
        <x:v>0</x:v>
      </x:c>
      <x:c r="N66" s="7">
        <x:v>0</x:v>
      </x:c>
      <x:c r="O66" s="10">
        <x:v>1</x:v>
      </x:c>
      <x:c r="P66" s="11" t="e">
        <x:f>HYPERLINK("https://github.com/kapiltrip/hdlBits/blob/main/study/problems/Day%2003/050-mt2015_eq2.md","Note")</x:f>
        <x:v>HYPERLINK is not implemented. linkLocation=https://github.com/kapiltrip/hdlBits/blob/main/study/problems/Day%2003/050-mt2015_eq2.md, friendlyName=Note</x:v>
      </x:c>
      <x:c r="Q66" s="11" t="e">
        <x:f>HYPERLINK("https://github.com/kapiltrip/hdlBits/blob/main/study/images/Day%2003/050-mt2015_eq2.png","Image")</x:f>
        <x:v>HYPERLINK is not implemented. linkLocation=https://github.com/kapiltrip/hdlBits/blob/main/study/images/Day%2003/050-mt2015_eq2.png, friendlyName=Image</x:v>
      </x:c>
      <x:c r="R66" s="11" t="e">
        <x:f>HYPERLINK("https://github.com/kapiltrip/hdlBits/blob/main/study/solutions/Day%2003/050-mt2015_eq2.sv","Code")</x:f>
        <x:v>HYPERLINK is not implemented. linkLocation=https://github.com/kapiltrip/hdlBits/blob/main/study/solutions/Day%2003/050-mt2015_eq2.sv, friendlyName=Code</x:v>
      </x:c>
      <x:c r="S66" s="11" t="e">
        <x:f>HYPERLINK("https://hdlbits.01xz.net/wiki/mt2015_eq2","HDLBits")</x:f>
        <x:v>HYPERLINK is not implemented. linkLocation=https://hdlbits.01xz.net/wiki/mt2015_eq2, friendlyName=HDLBits</x:v>
      </x:c>
      <x:c r="T66" s="8" t="s">
        <x:v>271</x:v>
      </x:c>
      <x:c r="U66" s="8"/>
    </x:row>
    <x:row r="67" ht="34.04999923706055" customHeight="1">
      <x:c r="A67" s="3">
        <x:v>53</x:v>
      </x:c>
      <x:c r="B67" s="3">
        <x:v>51</x:v>
      </x:c>
      <x:c r="C67" s="2" t="s">
        <x:v>28</x:v>
      </x:c>
      <x:c r="D67" s="2" t="s">
        <x:v>29</x:v>
      </x:c>
      <x:c r="E67" s="2" t="s">
        <x:v>272</x:v>
      </x:c>
      <x:c r="F67" s="2" t="s">
        <x:v>273</x:v>
      </x:c>
      <x:c r="G67" s="3" t="s">
        <x:v>1</x:v>
      </x:c>
      <x:c r="H67" s="3" t="s">
        <x:v>19</x:v>
      </x:c>
      <x:c r="I67" s="56">
        <x:v>46198</x:v>
      </x:c>
      <x:c r="J67" s="3" t="s">
        <x:v>274</x:v>
      </x:c>
      <x:c r="K67" s="3">
        <x:v>1</x:v>
      </x:c>
      <x:c r="L67" s="3">
        <x:v>0</x:v>
      </x:c>
      <x:c r="M67" s="3">
        <x:v>0</x:v>
      </x:c>
      <x:c r="N67" s="3">
        <x:v>0</x:v>
      </x:c>
      <x:c r="O67" s="6">
        <x:v>1</x:v>
      </x:c>
      <x:c r="P67" s="4" t="e">
        <x:f>HYPERLINK("https://github.com/kapiltrip/hdlBits/blob/main/study/problems/Day%2003/051-mt2015_q4a.md","Note")</x:f>
        <x:v>HYPERLINK is not implemented. linkLocation=https://github.com/kapiltrip/hdlBits/blob/main/study/problems/Day%2003/051-mt2015_q4a.md, friendlyName=Note</x:v>
      </x:c>
      <x:c r="Q67" s="4" t="e">
        <x:f>HYPERLINK("https://github.com/kapiltrip/hdlBits/blob/main/study/images/Day%2003/051-mt2015_q4a.png","Image")</x:f>
        <x:v>HYPERLINK is not implemented. linkLocation=https://github.com/kapiltrip/hdlBits/blob/main/study/images/Day%2003/051-mt2015_q4a.png, friendlyName=Image</x:v>
      </x:c>
      <x:c r="R67" s="4" t="e">
        <x:f>HYPERLINK("https://github.com/kapiltrip/hdlBits/blob/main/study/solutions/Day%2003/051-mt2015_q4a.sv","Code")</x:f>
        <x:v>HYPERLINK is not implemented. linkLocation=https://github.com/kapiltrip/hdlBits/blob/main/study/solutions/Day%2003/051-mt2015_q4a.sv, friendlyName=Code</x:v>
      </x:c>
      <x:c r="S67" s="4" t="e">
        <x:f>HYPERLINK("https://hdlbits.01xz.net/wiki/mt2015_q4a","HDLBits")</x:f>
        <x:v>HYPERLINK is not implemented. linkLocation=https://hdlbits.01xz.net/wiki/mt2015_q4a, friendlyName=HDLBits</x:v>
      </x:c>
      <x:c r="T67" s="2" t="s">
        <x:v>275</x:v>
      </x:c>
      <x:c r="U67" s="2"/>
    </x:row>
    <x:row r="68" ht="34.04999923706055" customHeight="1">
      <x:c r="A68" s="7">
        <x:v>54</x:v>
      </x:c>
      <x:c r="B68" s="7">
        <x:v>52</x:v>
      </x:c>
      <x:c r="C68" s="8" t="s">
        <x:v>28</x:v>
      </x:c>
      <x:c r="D68" s="8" t="s">
        <x:v>29</x:v>
      </x:c>
      <x:c r="E68" s="8" t="s">
        <x:v>276</x:v>
      </x:c>
      <x:c r="F68" s="8" t="s">
        <x:v>277</x:v>
      </x:c>
      <x:c r="G68" s="7" t="s">
        <x:v>1</x:v>
      </x:c>
      <x:c r="H68" s="7" t="s">
        <x:v>19</x:v>
      </x:c>
      <x:c r="I68" s="55">
        <x:v>46198</x:v>
      </x:c>
      <x:c r="J68" s="7" t="s">
        <x:v>278</x:v>
      </x:c>
      <x:c r="K68" s="7">
        <x:v>1</x:v>
      </x:c>
      <x:c r="L68" s="7">
        <x:v>0</x:v>
      </x:c>
      <x:c r="M68" s="7">
        <x:v>0</x:v>
      </x:c>
      <x:c r="N68" s="7">
        <x:v>0</x:v>
      </x:c>
      <x:c r="O68" s="10">
        <x:v>1</x:v>
      </x:c>
      <x:c r="P68" s="11" t="e">
        <x:f>HYPERLINK("https://github.com/kapiltrip/hdlBits/blob/main/study/problems/Day%2003/052-mt2015_q4b.md","Note")</x:f>
        <x:v>HYPERLINK is not implemented. linkLocation=https://github.com/kapiltrip/hdlBits/blob/main/study/problems/Day%2003/052-mt2015_q4b.md, friendlyName=Note</x:v>
      </x:c>
      <x:c r="Q68" s="11" t="e">
        <x:f>HYPERLINK("https://github.com/kapiltrip/hdlBits/blob/main/study/images/Day%2003/052-mt2015_q4b.png","Image")</x:f>
        <x:v>HYPERLINK is not implemented. linkLocation=https://github.com/kapiltrip/hdlBits/blob/main/study/images/Day%2003/052-mt2015_q4b.png, friendlyName=Image</x:v>
      </x:c>
      <x:c r="R68" s="11" t="e">
        <x:f>HYPERLINK("https://github.com/kapiltrip/hdlBits/blob/main/study/solutions/Day%2003/052-mt2015_q4b.sv","Code")</x:f>
        <x:v>HYPERLINK is not implemented. linkLocation=https://github.com/kapiltrip/hdlBits/blob/main/study/solutions/Day%2003/052-mt2015_q4b.sv, friendlyName=Code</x:v>
      </x:c>
      <x:c r="S68" s="11" t="e">
        <x:f>HYPERLINK("https://hdlbits.01xz.net/wiki/mt2015_q4b","HDLBits")</x:f>
        <x:v>HYPERLINK is not implemented. linkLocation=https://hdlbits.01xz.net/wiki/mt2015_q4b, friendlyName=HDLBits</x:v>
      </x:c>
      <x:c r="T68" s="8" t="s">
        <x:v>279</x:v>
      </x:c>
      <x:c r="U68" s="8"/>
    </x:row>
    <x:row r="69" ht="34.04999923706055" customHeight="1">
      <x:c r="A69" s="3">
        <x:v>55</x:v>
      </x:c>
      <x:c r="B69" s="3">
        <x:v>53</x:v>
      </x:c>
      <x:c r="C69" s="2" t="s">
        <x:v>28</x:v>
      </x:c>
      <x:c r="D69" s="2" t="s">
        <x:v>29</x:v>
      </x:c>
      <x:c r="E69" s="2" t="s">
        <x:v>280</x:v>
      </x:c>
      <x:c r="F69" s="2" t="s">
        <x:v>281</x:v>
      </x:c>
      <x:c r="G69" s="3" t="s">
        <x:v>1</x:v>
      </x:c>
      <x:c r="H69" s="3" t="s">
        <x:v>19</x:v>
      </x:c>
      <x:c r="I69" s="56">
        <x:v>46198</x:v>
      </x:c>
      <x:c r="J69" s="3" t="s">
        <x:v>282</x:v>
      </x:c>
      <x:c r="K69" s="3">
        <x:v>7</x:v>
      </x:c>
      <x:c r="L69" s="3">
        <x:v>0</x:v>
      </x:c>
      <x:c r="M69" s="3">
        <x:v>6</x:v>
      </x:c>
      <x:c r="N69" s="3">
        <x:v>0</x:v>
      </x:c>
      <x:c r="O69" s="6">
        <x:v>0.14000000000000001</x:v>
      </x:c>
      <x:c r="P69" s="4" t="e">
        <x:f>HYPERLINK("https://github.com/kapiltrip/hdlBits/blob/main/study/problems/Day%2003/053-mt2015_q4.md","Note")</x:f>
        <x:v>HYPERLINK is not implemented. linkLocation=https://github.com/kapiltrip/hdlBits/blob/main/study/problems/Day%2003/053-mt2015_q4.md, friendlyName=Note</x:v>
      </x:c>
      <x:c r="Q69" s="4" t="e">
        <x:f>HYPERLINK("https://github.com/kapiltrip/hdlBits/blob/main/study/images/Day%2003/053-mt2015_q4.png","Image")</x:f>
        <x:v>HYPERLINK is not implemented. linkLocation=https://github.com/kapiltrip/hdlBits/blob/main/study/images/Day%2003/053-mt2015_q4.png, friendlyName=Image</x:v>
      </x:c>
      <x:c r="R69" s="4" t="e">
        <x:f>HYPERLINK("https://github.com/kapiltrip/hdlBits/blob/main/study/solutions/Day%2003/053-mt2015_q4.sv","Code")</x:f>
        <x:v>HYPERLINK is not implemented. linkLocation=https://github.com/kapiltrip/hdlBits/blob/main/study/solutions/Day%2003/053-mt2015_q4.sv, friendlyName=Code</x:v>
      </x:c>
      <x:c r="S69" s="4" t="e">
        <x:f>HYPERLINK("https://hdlbits.01xz.net/wiki/mt2015_q4","HDLBits")</x:f>
        <x:v>HYPERLINK is not implemented. linkLocation=https://hdlbits.01xz.net/wiki/mt2015_q4, friendlyName=HDLBits</x:v>
      </x:c>
      <x:c r="T69" s="2" t="s">
        <x:v>283</x:v>
      </x:c>
      <x:c r="U69" s="2"/>
    </x:row>
    <x:row r="70" ht="34.04999923706055" customHeight="1">
      <x:c r="A70" s="7">
        <x:v>56</x:v>
      </x:c>
      <x:c r="B70" s="7">
        <x:v>54</x:v>
      </x:c>
      <x:c r="C70" s="8" t="s">
        <x:v>28</x:v>
      </x:c>
      <x:c r="D70" s="8" t="s">
        <x:v>29</x:v>
      </x:c>
      <x:c r="E70" s="8" t="s">
        <x:v>284</x:v>
      </x:c>
      <x:c r="F70" s="8" t="s">
        <x:v>285</x:v>
      </x:c>
      <x:c r="G70" s="7" t="s">
        <x:v>1</x:v>
      </x:c>
      <x:c r="H70" s="7" t="s">
        <x:v>19</x:v>
      </x:c>
      <x:c r="I70" s="55">
        <x:v>46198</x:v>
      </x:c>
      <x:c r="J70" s="7" t="s">
        <x:v>286</x:v>
      </x:c>
      <x:c r="K70" s="7">
        <x:v>5</x:v>
      </x:c>
      <x:c r="L70" s="7">
        <x:v>1</x:v>
      </x:c>
      <x:c r="M70" s="7">
        <x:v>3</x:v>
      </x:c>
      <x:c r="N70" s="7">
        <x:v>0</x:v>
      </x:c>
      <x:c r="O70" s="10">
        <x:v>0.2</x:v>
      </x:c>
      <x:c r="P70" s="11" t="e">
        <x:f>HYPERLINK("https://github.com/kapiltrip/hdlBits/blob/main/study/problems/Day%2003/054-ringer.md","Note")</x:f>
        <x:v>HYPERLINK is not implemented. linkLocation=https://github.com/kapiltrip/hdlBits/blob/main/study/problems/Day%2003/054-ringer.md, friendlyName=Note</x:v>
      </x:c>
      <x:c r="Q70" s="11" t="e">
        <x:f>HYPERLINK("https://github.com/kapiltrip/hdlBits/blob/main/study/images/Day%2003/054-ringer.png","Image")</x:f>
        <x:v>HYPERLINK is not implemented. linkLocation=https://github.com/kapiltrip/hdlBits/blob/main/study/images/Day%2003/054-ringer.png, friendlyName=Image</x:v>
      </x:c>
      <x:c r="R70" s="11" t="e">
        <x:f>HYPERLINK("https://github.com/kapiltrip/hdlBits/blob/main/study/solutions/Day%2003/054-ringer.sv","Code")</x:f>
        <x:v>HYPERLINK is not implemented. linkLocation=https://github.com/kapiltrip/hdlBits/blob/main/study/solutions/Day%2003/054-ringer.sv, friendlyName=Code</x:v>
      </x:c>
      <x:c r="S70" s="11" t="e">
        <x:f>HYPERLINK("https://hdlbits.01xz.net/wiki/ringer","HDLBits")</x:f>
        <x:v>HYPERLINK is not implemented. linkLocation=https://hdlbits.01xz.net/wiki/ringer, friendlyName=HDLBits</x:v>
      </x:c>
      <x:c r="T70" s="8" t="s">
        <x:v>287</x:v>
      </x:c>
      <x:c r="U70" s="8"/>
    </x:row>
    <x:row r="71" ht="34.04999923706055" customHeight="1">
      <x:c r="A71" s="3">
        <x:v>57</x:v>
      </x:c>
      <x:c r="B71" s="3">
        <x:v>55</x:v>
      </x:c>
      <x:c r="C71" s="2" t="s">
        <x:v>28</x:v>
      </x:c>
      <x:c r="D71" s="2" t="s">
        <x:v>29</x:v>
      </x:c>
      <x:c r="E71" s="2" t="s">
        <x:v>288</x:v>
      </x:c>
      <x:c r="F71" s="2" t="s">
        <x:v>289</x:v>
      </x:c>
      <x:c r="G71" s="3" t="s">
        <x:v>1</x:v>
      </x:c>
      <x:c r="H71" s="3" t="s">
        <x:v>19</x:v>
      </x:c>
      <x:c r="I71" s="56">
        <x:v>46198</x:v>
      </x:c>
      <x:c r="J71" s="3" t="s">
        <x:v>290</x:v>
      </x:c>
      <x:c r="K71" s="3">
        <x:v>2</x:v>
      </x:c>
      <x:c r="L71" s="3">
        <x:v>0</x:v>
      </x:c>
      <x:c r="M71" s="3">
        <x:v>1</x:v>
      </x:c>
      <x:c r="N71" s="3">
        <x:v>0</x:v>
      </x:c>
      <x:c r="O71" s="6">
        <x:v>0.5</x:v>
      </x:c>
      <x:c r="P71" s="4" t="e">
        <x:f>HYPERLINK("https://github.com/kapiltrip/hdlBits/blob/main/study/problems/Day%2003/055-thermostat.md","Note")</x:f>
        <x:v>HYPERLINK is not implemented. linkLocation=https://github.com/kapiltrip/hdlBits/blob/main/study/problems/Day%2003/055-thermostat.md, friendlyName=Note</x:v>
      </x:c>
      <x:c r="Q71" s="4" t="e">
        <x:f>HYPERLINK("https://github.com/kapiltrip/hdlBits/blob/main/study/images/Day%2003/055-thermostat.png","Image")</x:f>
        <x:v>HYPERLINK is not implemented. linkLocation=https://github.com/kapiltrip/hdlBits/blob/main/study/images/Day%2003/055-thermostat.png, friendlyName=Image</x:v>
      </x:c>
      <x:c r="R71" s="4" t="e">
        <x:f>HYPERLINK("https://github.com/kapiltrip/hdlBits/blob/main/study/solutions/Day%2003/055-thermostat.sv","Code")</x:f>
        <x:v>HYPERLINK is not implemented. linkLocation=https://github.com/kapiltrip/hdlBits/blob/main/study/solutions/Day%2003/055-thermostat.sv, friendlyName=Code</x:v>
      </x:c>
      <x:c r="S71" s="4" t="e">
        <x:f>HYPERLINK("https://hdlbits.01xz.net/wiki/thermostat","HDLBits")</x:f>
        <x:v>HYPERLINK is not implemented. linkLocation=https://hdlbits.01xz.net/wiki/thermostat, friendlyName=HDLBits</x:v>
      </x:c>
      <x:c r="T71" s="2" t="s">
        <x:v>291</x:v>
      </x:c>
      <x:c r="U71" s="2"/>
    </x:row>
    <x:row r="72" ht="34.04999923706055" customHeight="1">
      <x:c r="A72" s="7">
        <x:v>58</x:v>
      </x:c>
      <x:c r="B72" s="7">
        <x:v>56</x:v>
      </x:c>
      <x:c r="C72" s="8" t="s">
        <x:v>28</x:v>
      </x:c>
      <x:c r="D72" s="8" t="s">
        <x:v>29</x:v>
      </x:c>
      <x:c r="E72" s="8" t="s">
        <x:v>292</x:v>
      </x:c>
      <x:c r="F72" s="8" t="s">
        <x:v>293</x:v>
      </x:c>
      <x:c r="G72" s="7" t="s">
        <x:v>1</x:v>
      </x:c>
      <x:c r="H72" s="7" t="s">
        <x:v>19</x:v>
      </x:c>
      <x:c r="I72" s="55">
        <x:v>46198</x:v>
      </x:c>
      <x:c r="J72" s="7" t="s">
        <x:v>294</x:v>
      </x:c>
      <x:c r="K72" s="7">
        <x:v>2</x:v>
      </x:c>
      <x:c r="L72" s="7">
        <x:v>1</x:v>
      </x:c>
      <x:c r="M72" s="7">
        <x:v>0</x:v>
      </x:c>
      <x:c r="N72" s="7">
        <x:v>0</x:v>
      </x:c>
      <x:c r="O72" s="10">
        <x:v>0.5</x:v>
      </x:c>
      <x:c r="P72" s="11" t="e">
        <x:f>HYPERLINK("https://github.com/kapiltrip/hdlBits/blob/main/study/problems/Day%2003/056-popcount3.md","Note")</x:f>
        <x:v>HYPERLINK is not implemented. linkLocation=https://github.com/kapiltrip/hdlBits/blob/main/study/problems/Day%2003/056-popcount3.md, friendlyName=Note</x:v>
      </x:c>
      <x:c r="Q72" s="11" t="e">
        <x:f>HYPERLINK("https://github.com/kapiltrip/hdlBits/blob/main/study/images/Day%2003/056-popcount3.png","Image")</x:f>
        <x:v>HYPERLINK is not implemented. linkLocation=https://github.com/kapiltrip/hdlBits/blob/main/study/images/Day%2003/056-popcount3.png, friendlyName=Image</x:v>
      </x:c>
      <x:c r="R72" s="11" t="e">
        <x:f>HYPERLINK("https://github.com/kapiltrip/hdlBits/blob/main/study/solutions/Day%2003/056-popcount3.sv","Code")</x:f>
        <x:v>HYPERLINK is not implemented. linkLocation=https://github.com/kapiltrip/hdlBits/blob/main/study/solutions/Day%2003/056-popcount3.sv, friendlyName=Code</x:v>
      </x:c>
      <x:c r="S72" s="11" t="e">
        <x:f>HYPERLINK("https://hdlbits.01xz.net/wiki/popcount3","HDLBits")</x:f>
        <x:v>HYPERLINK is not implemented. linkLocation=https://hdlbits.01xz.net/wiki/popcount3, friendlyName=HDLBits</x:v>
      </x:c>
      <x:c r="T72" s="8" t="s">
        <x:v>295</x:v>
      </x:c>
      <x:c r="U72" s="8"/>
    </x:row>
    <x:row r="73" ht="34.04999923706055" customHeight="1">
      <x:c r="A73" s="3">
        <x:v>59</x:v>
      </x:c>
      <x:c r="B73" s="3">
        <x:v>57</x:v>
      </x:c>
      <x:c r="C73" s="2" t="s">
        <x:v>28</x:v>
      </x:c>
      <x:c r="D73" s="2" t="s">
        <x:v>29</x:v>
      </x:c>
      <x:c r="E73" s="2" t="s">
        <x:v>296</x:v>
      </x:c>
      <x:c r="F73" s="2" t="s">
        <x:v>297</x:v>
      </x:c>
      <x:c r="G73" s="3" t="s">
        <x:v>1</x:v>
      </x:c>
      <x:c r="H73" s="3" t="s">
        <x:v>19</x:v>
      </x:c>
      <x:c r="I73" s="56">
        <x:v>46198</x:v>
      </x:c>
      <x:c r="J73" s="3" t="s">
        <x:v>298</x:v>
      </x:c>
      <x:c r="K73" s="3">
        <x:v>6</x:v>
      </x:c>
      <x:c r="L73" s="3">
        <x:v>5</x:v>
      </x:c>
      <x:c r="M73" s="3">
        <x:v>0</x:v>
      </x:c>
      <x:c r="N73" s="3">
        <x:v>0</x:v>
      </x:c>
      <x:c r="O73" s="6">
        <x:v>0.17</x:v>
      </x:c>
      <x:c r="P73" s="4" t="e">
        <x:f>HYPERLINK("https://github.com/kapiltrip/hdlBits/blob/main/study/problems/Day%2003/057-gatesv.md","Note")</x:f>
        <x:v>HYPERLINK is not implemented. linkLocation=https://github.com/kapiltrip/hdlBits/blob/main/study/problems/Day%2003/057-gatesv.md, friendlyName=Note</x:v>
      </x:c>
      <x:c r="Q73" s="4" t="e">
        <x:f>HYPERLINK("https://github.com/kapiltrip/hdlBits/blob/main/study/images/Day%2003/057-gatesv.png","Image")</x:f>
        <x:v>HYPERLINK is not implemented. linkLocation=https://github.com/kapiltrip/hdlBits/blob/main/study/images/Day%2003/057-gatesv.png, friendlyName=Image</x:v>
      </x:c>
      <x:c r="R73" s="4" t="e">
        <x:f>HYPERLINK("https://github.com/kapiltrip/hdlBits/blob/main/study/solutions/Day%2003/057-gatesv.sv","Code")</x:f>
        <x:v>HYPERLINK is not implemented. linkLocation=https://github.com/kapiltrip/hdlBits/blob/main/study/solutions/Day%2003/057-gatesv.sv, friendlyName=Code</x:v>
      </x:c>
      <x:c r="S73" s="4" t="e">
        <x:f>HYPERLINK("https://hdlbits.01xz.net/wiki/gatesv","HDLBits")</x:f>
        <x:v>HYPERLINK is not implemented. linkLocation=https://hdlbits.01xz.net/wiki/gatesv, friendlyName=HDLBits</x:v>
      </x:c>
      <x:c r="T73" s="2" t="s">
        <x:v>299</x:v>
      </x:c>
      <x:c r="U73" s="2"/>
    </x:row>
    <x:row r="74" ht="34.04999923706055" customHeight="1">
      <x:c r="A74" s="7">
        <x:v>60</x:v>
      </x:c>
      <x:c r="B74" s="7">
        <x:v>58</x:v>
      </x:c>
      <x:c r="C74" s="8" t="s">
        <x:v>28</x:v>
      </x:c>
      <x:c r="D74" s="8" t="s">
        <x:v>29</x:v>
      </x:c>
      <x:c r="E74" s="8" t="s">
        <x:v>300</x:v>
      </x:c>
      <x:c r="F74" s="8" t="s">
        <x:v>301</x:v>
      </x:c>
      <x:c r="G74" s="7" t="s">
        <x:v>1</x:v>
      </x:c>
      <x:c r="H74" s="7" t="s">
        <x:v>19</x:v>
      </x:c>
      <x:c r="I74" s="55">
        <x:v>46198</x:v>
      </x:c>
      <x:c r="J74" s="7" t="s">
        <x:v>302</x:v>
      </x:c>
      <x:c r="K74" s="7">
        <x:v>1</x:v>
      </x:c>
      <x:c r="L74" s="7">
        <x:v>0</x:v>
      </x:c>
      <x:c r="M74" s="7">
        <x:v>0</x:v>
      </x:c>
      <x:c r="N74" s="7">
        <x:v>0</x:v>
      </x:c>
      <x:c r="O74" s="10">
        <x:v>1</x:v>
      </x:c>
      <x:c r="P74" s="11" t="e">
        <x:f>HYPERLINK("https://github.com/kapiltrip/hdlBits/blob/main/study/problems/Day%2003/058-gatesv100.md","Note")</x:f>
        <x:v>HYPERLINK is not implemented. linkLocation=https://github.com/kapiltrip/hdlBits/blob/main/study/problems/Day%2003/058-gatesv100.md, friendlyName=Note</x:v>
      </x:c>
      <x:c r="Q74" s="11" t="e">
        <x:f>HYPERLINK("https://github.com/kapiltrip/hdlBits/blob/main/study/images/Day%2003/058-gatesv100.png","Image")</x:f>
        <x:v>HYPERLINK is not implemented. linkLocation=https://github.com/kapiltrip/hdlBits/blob/main/study/images/Day%2003/058-gatesv100.png, friendlyName=Image</x:v>
      </x:c>
      <x:c r="R74" s="11" t="e">
        <x:f>HYPERLINK("https://github.com/kapiltrip/hdlBits/blob/main/study/solutions/Day%2003/058-gatesv100.sv","Code")</x:f>
        <x:v>HYPERLINK is not implemented. linkLocation=https://github.com/kapiltrip/hdlBits/blob/main/study/solutions/Day%2003/058-gatesv100.sv, friendlyName=Code</x:v>
      </x:c>
      <x:c r="S74" s="11" t="e">
        <x:f>HYPERLINK("https://hdlbits.01xz.net/wiki/gatesv100","HDLBits")</x:f>
        <x:v>HYPERLINK is not implemented. linkLocation=https://hdlbits.01xz.net/wiki/gatesv100, friendlyName=HDLBits</x:v>
      </x:c>
      <x:c r="T74" s="8" t="s">
        <x:v>303</x:v>
      </x:c>
      <x:c r="U74" s="8"/>
    </x:row>
    <x:row r="75" ht="22.049999237060547" customHeight="1">
      <x:c r="A75" s="44" t="s">
        <x:v>304</x:v>
      </x:c>
      <x:c r="B75" s="44"/>
      <x:c r="C75" s="44"/>
      <x:c r="D75" s="44"/>
      <x:c r="E75" s="44"/>
      <x:c r="F75" s="44"/>
      <x:c r="G75" s="44"/>
      <x:c r="H75" s="44"/>
      <x:c r="I75" s="60"/>
      <x:c r="J75" s="44"/>
      <x:c r="K75" s="44"/>
      <x:c r="L75" s="44"/>
      <x:c r="M75" s="44"/>
      <x:c r="N75" s="44"/>
      <x:c r="O75" s="46"/>
      <x:c r="P75" s="44"/>
      <x:c r="Q75" s="44"/>
      <x:c r="R75" s="44"/>
      <x:c r="S75" s="44"/>
      <x:c r="T75" s="44"/>
      <x:c r="U75" s="44"/>
    </x:row>
    <x:row r="76" ht="34.04999923706055" customHeight="1">
      <x:c r="A76" s="3">
        <x:v>61</x:v>
      </x:c>
      <x:c r="B76" s="3">
        <x:v>59</x:v>
      </x:c>
      <x:c r="C76" s="2" t="s">
        <x:v>28</x:v>
      </x:c>
      <x:c r="D76" s="2" t="s">
        <x:v>31</x:v>
      </x:c>
      <x:c r="E76" s="2" t="s">
        <x:v>305</x:v>
      </x:c>
      <x:c r="F76" s="2" t="s">
        <x:v>306</x:v>
      </x:c>
      <x:c r="G76" s="3" t="s">
        <x:v>1</x:v>
      </x:c>
      <x:c r="H76" s="3" t="s">
        <x:v>19</x:v>
      </x:c>
      <x:c r="I76" s="56">
        <x:v>46198</x:v>
      </x:c>
      <x:c r="J76" s="3" t="s">
        <x:v>307</x:v>
      </x:c>
      <x:c r="K76" s="3">
        <x:v>1</x:v>
      </x:c>
      <x:c r="L76" s="3">
        <x:v>0</x:v>
      </x:c>
      <x:c r="M76" s="3">
        <x:v>0</x:v>
      </x:c>
      <x:c r="N76" s="3">
        <x:v>0</x:v>
      </x:c>
      <x:c r="O76" s="6">
        <x:v>1</x:v>
      </x:c>
      <x:c r="P76" s="4" t="e">
        <x:f>HYPERLINK("https://github.com/kapiltrip/hdlBits/blob/main/study/problems/Day%2003/059-mux2to1.md","Note")</x:f>
        <x:v>HYPERLINK is not implemented. linkLocation=https://github.com/kapiltrip/hdlBits/blob/main/study/problems/Day%2003/059-mux2to1.md, friendlyName=Note</x:v>
      </x:c>
      <x:c r="Q76" s="4" t="e">
        <x:f>HYPERLINK("https://github.com/kapiltrip/hdlBits/blob/main/study/images/Day%2003/059-mux2to1.png","Image")</x:f>
        <x:v>HYPERLINK is not implemented. linkLocation=https://github.com/kapiltrip/hdlBits/blob/main/study/images/Day%2003/059-mux2to1.png, friendlyName=Image</x:v>
      </x:c>
      <x:c r="R76" s="4" t="e">
        <x:f>HYPERLINK("https://github.com/kapiltrip/hdlBits/blob/main/study/solutions/Day%2003/059-mux2to1.sv","Code")</x:f>
        <x:v>HYPERLINK is not implemented. linkLocation=https://github.com/kapiltrip/hdlBits/blob/main/study/solutions/Day%2003/059-mux2to1.sv, friendlyName=Code</x:v>
      </x:c>
      <x:c r="S76" s="4" t="e">
        <x:f>HYPERLINK("https://hdlbits.01xz.net/wiki/mux2to1","HDLBits")</x:f>
        <x:v>HYPERLINK is not implemented. linkLocation=https://hdlbits.01xz.net/wiki/mux2to1, friendlyName=HDLBits</x:v>
      </x:c>
      <x:c r="T76" s="2" t="s">
        <x:v>308</x:v>
      </x:c>
      <x:c r="U76" s="2"/>
    </x:row>
    <x:row r="77" ht="34.04999923706055" customHeight="1">
      <x:c r="A77" s="7">
        <x:v>62</x:v>
      </x:c>
      <x:c r="B77" s="7">
        <x:v>60</x:v>
      </x:c>
      <x:c r="C77" s="8" t="s">
        <x:v>28</x:v>
      </x:c>
      <x:c r="D77" s="8" t="s">
        <x:v>31</x:v>
      </x:c>
      <x:c r="E77" s="8" t="s">
        <x:v>309</x:v>
      </x:c>
      <x:c r="F77" s="8" t="s">
        <x:v>310</x:v>
      </x:c>
      <x:c r="G77" s="7" t="s">
        <x:v>1</x:v>
      </x:c>
      <x:c r="H77" s="7" t="s">
        <x:v>19</x:v>
      </x:c>
      <x:c r="I77" s="55">
        <x:v>46198</x:v>
      </x:c>
      <x:c r="J77" s="7" t="s">
        <x:v>311</x:v>
      </x:c>
      <x:c r="K77" s="7">
        <x:v>1</x:v>
      </x:c>
      <x:c r="L77" s="7">
        <x:v>0</x:v>
      </x:c>
      <x:c r="M77" s="7">
        <x:v>0</x:v>
      </x:c>
      <x:c r="N77" s="7">
        <x:v>0</x:v>
      </x:c>
      <x:c r="O77" s="10">
        <x:v>1</x:v>
      </x:c>
      <x:c r="P77" s="11" t="e">
        <x:f>HYPERLINK("https://github.com/kapiltrip/hdlBits/blob/main/study/problems/Day%2003/060-mux2to1v.md","Note")</x:f>
        <x:v>HYPERLINK is not implemented. linkLocation=https://github.com/kapiltrip/hdlBits/blob/main/study/problems/Day%2003/060-mux2to1v.md, friendlyName=Note</x:v>
      </x:c>
      <x:c r="Q77" s="11" t="e">
        <x:f>HYPERLINK("https://github.com/kapiltrip/hdlBits/blob/main/study/images/Day%2003/060-mux2to1v.png","Image")</x:f>
        <x:v>HYPERLINK is not implemented. linkLocation=https://github.com/kapiltrip/hdlBits/blob/main/study/images/Day%2003/060-mux2to1v.png, friendlyName=Image</x:v>
      </x:c>
      <x:c r="R77" s="11" t="e">
        <x:f>HYPERLINK("https://github.com/kapiltrip/hdlBits/blob/main/study/solutions/Day%2003/060-mux2to1v.sv","Code")</x:f>
        <x:v>HYPERLINK is not implemented. linkLocation=https://github.com/kapiltrip/hdlBits/blob/main/study/solutions/Day%2003/060-mux2to1v.sv, friendlyName=Code</x:v>
      </x:c>
      <x:c r="S77" s="11" t="e">
        <x:f>HYPERLINK("https://hdlbits.01xz.net/wiki/mux2to1v","HDLBits")</x:f>
        <x:v>HYPERLINK is not implemented. linkLocation=https://hdlbits.01xz.net/wiki/mux2to1v, friendlyName=HDLBits</x:v>
      </x:c>
      <x:c r="T77" s="8" t="s">
        <x:v>312</x:v>
      </x:c>
      <x:c r="U77" s="8"/>
    </x:row>
    <x:row r="78" ht="34.04999923706055" customHeight="1">
      <x:c r="A78" s="3">
        <x:v>63</x:v>
      </x:c>
      <x:c r="B78" s="3">
        <x:v>61</x:v>
      </x:c>
      <x:c r="C78" s="2" t="s">
        <x:v>28</x:v>
      </x:c>
      <x:c r="D78" s="2" t="s">
        <x:v>31</x:v>
      </x:c>
      <x:c r="E78" s="2" t="s">
        <x:v>313</x:v>
      </x:c>
      <x:c r="F78" s="2" t="s">
        <x:v>314</x:v>
      </x:c>
      <x:c r="G78" s="3" t="s">
        <x:v>1</x:v>
      </x:c>
      <x:c r="H78" s="3" t="s">
        <x:v>19</x:v>
      </x:c>
      <x:c r="I78" s="56">
        <x:v>46198</x:v>
      </x:c>
      <x:c r="J78" s="3" t="s">
        <x:v>315</x:v>
      </x:c>
      <x:c r="K78" s="3">
        <x:v>10</x:v>
      </x:c>
      <x:c r="L78" s="3">
        <x:v>7</x:v>
      </x:c>
      <x:c r="M78" s="3">
        <x:v>2</x:v>
      </x:c>
      <x:c r="N78" s="3">
        <x:v>0</x:v>
      </x:c>
      <x:c r="O78" s="6">
        <x:v>0.1</x:v>
      </x:c>
      <x:c r="P78" s="4" t="e">
        <x:f>HYPERLINK("https://github.com/kapiltrip/hdlBits/blob/main/study/problems/Day%2003/061-mux9to1v.md","Note")</x:f>
        <x:v>HYPERLINK is not implemented. linkLocation=https://github.com/kapiltrip/hdlBits/blob/main/study/problems/Day%2003/061-mux9to1v.md, friendlyName=Note</x:v>
      </x:c>
      <x:c r="Q78" s="4" t="e">
        <x:f>HYPERLINK("https://github.com/kapiltrip/hdlBits/blob/main/study/images/Day%2003/061-mux9to1v.png","Image")</x:f>
        <x:v>HYPERLINK is not implemented. linkLocation=https://github.com/kapiltrip/hdlBits/blob/main/study/images/Day%2003/061-mux9to1v.png, friendlyName=Image</x:v>
      </x:c>
      <x:c r="R78" s="4" t="e">
        <x:f>HYPERLINK("https://github.com/kapiltrip/hdlBits/blob/main/study/solutions/Day%2003/061-mux9to1v.sv","Code")</x:f>
        <x:v>HYPERLINK is not implemented. linkLocation=https://github.com/kapiltrip/hdlBits/blob/main/study/solutions/Day%2003/061-mux9to1v.sv, friendlyName=Code</x:v>
      </x:c>
      <x:c r="S78" s="4" t="e">
        <x:f>HYPERLINK("https://hdlbits.01xz.net/wiki/mux9to1v","HDLBits")</x:f>
        <x:v>HYPERLINK is not implemented. linkLocation=https://hdlbits.01xz.net/wiki/mux9to1v, friendlyName=HDLBits</x:v>
      </x:c>
      <x:c r="T78" s="2" t="s">
        <x:v>316</x:v>
      </x:c>
      <x:c r="U78" s="2"/>
    </x:row>
    <x:row r="79" ht="34.04999923706055" customHeight="1">
      <x:c r="A79" s="7">
        <x:v>64</x:v>
      </x:c>
      <x:c r="B79" s="7">
        <x:v>62</x:v>
      </x:c>
      <x:c r="C79" s="8" t="s">
        <x:v>28</x:v>
      </x:c>
      <x:c r="D79" s="8" t="s">
        <x:v>31</x:v>
      </x:c>
      <x:c r="E79" s="8" t="s">
        <x:v>317</x:v>
      </x:c>
      <x:c r="F79" s="8" t="s">
        <x:v>318</x:v>
      </x:c>
      <x:c r="G79" s="7" t="s">
        <x:v>1</x:v>
      </x:c>
      <x:c r="H79" s="7" t="s">
        <x:v>19</x:v>
      </x:c>
      <x:c r="I79" s="55">
        <x:v>46198</x:v>
      </x:c>
      <x:c r="J79" s="7" t="s">
        <x:v>319</x:v>
      </x:c>
      <x:c r="K79" s="7">
        <x:v>1</x:v>
      </x:c>
      <x:c r="L79" s="7">
        <x:v>0</x:v>
      </x:c>
      <x:c r="M79" s="7">
        <x:v>0</x:v>
      </x:c>
      <x:c r="N79" s="7">
        <x:v>0</x:v>
      </x:c>
      <x:c r="O79" s="10">
        <x:v>1</x:v>
      </x:c>
      <x:c r="P79" s="11" t="e">
        <x:f>HYPERLINK("https://github.com/kapiltrip/hdlBits/blob/main/study/problems/Day%2003/062-mux256to1.md","Note")</x:f>
        <x:v>HYPERLINK is not implemented. linkLocation=https://github.com/kapiltrip/hdlBits/blob/main/study/problems/Day%2003/062-mux256to1.md, friendlyName=Note</x:v>
      </x:c>
      <x:c r="Q79" s="11" t="e">
        <x:f>HYPERLINK("https://github.com/kapiltrip/hdlBits/blob/main/study/images/Day%2003/062-mux256to1.png","Image")</x:f>
        <x:v>HYPERLINK is not implemented. linkLocation=https://github.com/kapiltrip/hdlBits/blob/main/study/images/Day%2003/062-mux256to1.png, friendlyName=Image</x:v>
      </x:c>
      <x:c r="R79" s="11" t="e">
        <x:f>HYPERLINK("https://github.com/kapiltrip/hdlBits/blob/main/study/solutions/Day%2003/062-mux256to1.sv","Code")</x:f>
        <x:v>HYPERLINK is not implemented. linkLocation=https://github.com/kapiltrip/hdlBits/blob/main/study/solutions/Day%2003/062-mux256to1.sv, friendlyName=Code</x:v>
      </x:c>
      <x:c r="S79" s="11" t="e">
        <x:f>HYPERLINK("https://hdlbits.01xz.net/wiki/mux256to1","HDLBits")</x:f>
        <x:v>HYPERLINK is not implemented. linkLocation=https://hdlbits.01xz.net/wiki/mux256to1, friendlyName=HDLBits</x:v>
      </x:c>
      <x:c r="T79" s="8" t="s">
        <x:v>320</x:v>
      </x:c>
      <x:c r="U79" s="8"/>
    </x:row>
    <x:row r="80" ht="34.04999923706055" customHeight="1">
      <x:c r="A80" s="3">
        <x:v>65</x:v>
      </x:c>
      <x:c r="B80" s="3">
        <x:v>63</x:v>
      </x:c>
      <x:c r="C80" s="2" t="s">
        <x:v>28</x:v>
      </x:c>
      <x:c r="D80" s="2" t="s">
        <x:v>31</x:v>
      </x:c>
      <x:c r="E80" s="2" t="s">
        <x:v>321</x:v>
      </x:c>
      <x:c r="F80" s="2" t="s">
        <x:v>322</x:v>
      </x:c>
      <x:c r="G80" s="3" t="s">
        <x:v>1</x:v>
      </x:c>
      <x:c r="H80" s="3" t="s">
        <x:v>19</x:v>
      </x:c>
      <x:c r="I80" s="56">
        <x:v>46198</x:v>
      </x:c>
      <x:c r="J80" s="3" t="s">
        <x:v>323</x:v>
      </x:c>
      <x:c r="K80" s="3">
        <x:v>1</x:v>
      </x:c>
      <x:c r="L80" s="3">
        <x:v>0</x:v>
      </x:c>
      <x:c r="M80" s="3">
        <x:v>0</x:v>
      </x:c>
      <x:c r="N80" s="3">
        <x:v>0</x:v>
      </x:c>
      <x:c r="O80" s="6">
        <x:v>1</x:v>
      </x:c>
      <x:c r="P80" s="4" t="e">
        <x:f>HYPERLINK("https://github.com/kapiltrip/hdlBits/blob/main/study/problems/Day%2003/063-mux256to1v.md","Note")</x:f>
        <x:v>HYPERLINK is not implemented. linkLocation=https://github.com/kapiltrip/hdlBits/blob/main/study/problems/Day%2003/063-mux256to1v.md, friendlyName=Note</x:v>
      </x:c>
      <x:c r="Q80" s="4" t="e">
        <x:f>HYPERLINK("https://github.com/kapiltrip/hdlBits/blob/main/study/images/Day%2003/063-mux256to1v.png","Image")</x:f>
        <x:v>HYPERLINK is not implemented. linkLocation=https://github.com/kapiltrip/hdlBits/blob/main/study/images/Day%2003/063-mux256to1v.png, friendlyName=Image</x:v>
      </x:c>
      <x:c r="R80" s="4" t="e">
        <x:f>HYPERLINK("https://github.com/kapiltrip/hdlBits/blob/main/study/solutions/Day%2003/063-mux256to1v.sv","Code")</x:f>
        <x:v>HYPERLINK is not implemented. linkLocation=https://github.com/kapiltrip/hdlBits/blob/main/study/solutions/Day%2003/063-mux256to1v.sv, friendlyName=Code</x:v>
      </x:c>
      <x:c r="S80" s="4" t="e">
        <x:f>HYPERLINK("https://hdlbits.01xz.net/wiki/mux256to1v","HDLBits")</x:f>
        <x:v>HYPERLINK is not implemented. linkLocation=https://hdlbits.01xz.net/wiki/mux256to1v, friendlyName=HDLBits</x:v>
      </x:c>
      <x:c r="T80" s="2" t="s">
        <x:v>324</x:v>
      </x:c>
      <x:c r="U80" s="2"/>
    </x:row>
    <x:row r="81" ht="22.049999237060547" customHeight="1">
      <x:c r="A81" s="44" t="s">
        <x:v>325</x:v>
      </x:c>
      <x:c r="B81" s="44"/>
      <x:c r="C81" s="44"/>
      <x:c r="D81" s="44"/>
      <x:c r="E81" s="44"/>
      <x:c r="F81" s="44"/>
      <x:c r="G81" s="44"/>
      <x:c r="H81" s="44"/>
      <x:c r="I81" s="60"/>
      <x:c r="J81" s="44"/>
      <x:c r="K81" s="44"/>
      <x:c r="L81" s="44"/>
      <x:c r="M81" s="44"/>
      <x:c r="N81" s="44"/>
      <x:c r="O81" s="46"/>
      <x:c r="P81" s="44"/>
      <x:c r="Q81" s="44"/>
      <x:c r="R81" s="44"/>
      <x:c r="S81" s="44"/>
      <x:c r="T81" s="44"/>
      <x:c r="U81" s="44"/>
    </x:row>
    <x:row r="82" ht="34.04999923706055" customHeight="1">
      <x:c r="A82" s="7">
        <x:v>66</x:v>
      </x:c>
      <x:c r="B82" s="7">
        <x:v>64</x:v>
      </x:c>
      <x:c r="C82" s="8" t="s">
        <x:v>28</x:v>
      </x:c>
      <x:c r="D82" s="8" t="s">
        <x:v>33</x:v>
      </x:c>
      <x:c r="E82" s="8" t="s">
        <x:v>326</x:v>
      </x:c>
      <x:c r="F82" s="8" t="s">
        <x:v>327</x:v>
      </x:c>
      <x:c r="G82" s="7" t="s">
        <x:v>1</x:v>
      </x:c>
      <x:c r="H82" s="7" t="s">
        <x:v>19</x:v>
      </x:c>
      <x:c r="I82" s="55">
        <x:v>46198</x:v>
      </x:c>
      <x:c r="J82" s="7" t="s">
        <x:v>328</x:v>
      </x:c>
      <x:c r="K82" s="7">
        <x:v>1</x:v>
      </x:c>
      <x:c r="L82" s="7">
        <x:v>0</x:v>
      </x:c>
      <x:c r="M82" s="7">
        <x:v>0</x:v>
      </x:c>
      <x:c r="N82" s="7">
        <x:v>0</x:v>
      </x:c>
      <x:c r="O82" s="10">
        <x:v>1</x:v>
      </x:c>
      <x:c r="P82" s="11" t="e">
        <x:f>HYPERLINK("https://github.com/kapiltrip/hdlBits/blob/main/study/problems/Day%2003/064-hadd.md","Note")</x:f>
        <x:v>HYPERLINK is not implemented. linkLocation=https://github.com/kapiltrip/hdlBits/blob/main/study/problems/Day%2003/064-hadd.md, friendlyName=Note</x:v>
      </x:c>
      <x:c r="Q82" s="11" t="e">
        <x:f>HYPERLINK("https://github.com/kapiltrip/hdlBits/blob/main/study/images/Day%2003/064-hadd.png","Image")</x:f>
        <x:v>HYPERLINK is not implemented. linkLocation=https://github.com/kapiltrip/hdlBits/blob/main/study/images/Day%2003/064-hadd.png, friendlyName=Image</x:v>
      </x:c>
      <x:c r="R82" s="11" t="e">
        <x:f>HYPERLINK("https://github.com/kapiltrip/hdlBits/blob/main/study/solutions/Day%2003/064-hadd.sv","Code")</x:f>
        <x:v>HYPERLINK is not implemented. linkLocation=https://github.com/kapiltrip/hdlBits/blob/main/study/solutions/Day%2003/064-hadd.sv, friendlyName=Code</x:v>
      </x:c>
      <x:c r="S82" s="11" t="e">
        <x:f>HYPERLINK("https://hdlbits.01xz.net/wiki/hadd","HDLBits")</x:f>
        <x:v>HYPERLINK is not implemented. linkLocation=https://hdlbits.01xz.net/wiki/hadd, friendlyName=HDLBits</x:v>
      </x:c>
      <x:c r="T82" s="8" t="s">
        <x:v>329</x:v>
      </x:c>
      <x:c r="U82" s="8"/>
    </x:row>
    <x:row r="83" ht="34.04999923706055" customHeight="1">
      <x:c r="A83" s="3">
        <x:v>67</x:v>
      </x:c>
      <x:c r="B83" s="3">
        <x:v>65</x:v>
      </x:c>
      <x:c r="C83" s="2" t="s">
        <x:v>28</x:v>
      </x:c>
      <x:c r="D83" s="2" t="s">
        <x:v>33</x:v>
      </x:c>
      <x:c r="E83" s="2" t="s">
        <x:v>330</x:v>
      </x:c>
      <x:c r="F83" s="2" t="s">
        <x:v>331</x:v>
      </x:c>
      <x:c r="G83" s="3" t="s">
        <x:v>1</x:v>
      </x:c>
      <x:c r="H83" s="3" t="s">
        <x:v>16</x:v>
      </x:c>
      <x:c r="I83" s="56">
        <x:v>46197</x:v>
      </x:c>
      <x:c r="J83" s="3" t="s">
        <x:v>332</x:v>
      </x:c>
      <x:c r="K83" s="3">
        <x:v>1</x:v>
      </x:c>
      <x:c r="L83" s="3">
        <x:v>0</x:v>
      </x:c>
      <x:c r="M83" s="3">
        <x:v>0</x:v>
      </x:c>
      <x:c r="N83" s="3">
        <x:v>0</x:v>
      </x:c>
      <x:c r="O83" s="6">
        <x:v>1</x:v>
      </x:c>
      <x:c r="P83" s="4" t="e">
        <x:f>HYPERLINK("https://github.com/kapiltrip/hdlBits/blob/main/study/problems/Day%2002/065-fadd.md","Note")</x:f>
        <x:v>HYPERLINK is not implemented. linkLocation=https://github.com/kapiltrip/hdlBits/blob/main/study/problems/Day%2002/065-fadd.md, friendlyName=Note</x:v>
      </x:c>
      <x:c r="Q83" s="4" t="e">
        <x:f>HYPERLINK("https://github.com/kapiltrip/hdlBits/blob/main/study/images/Day%2002/065-fadd.png","Image")</x:f>
        <x:v>HYPERLINK is not implemented. linkLocation=https://github.com/kapiltrip/hdlBits/blob/main/study/images/Day%2002/065-fadd.png, friendlyName=Image</x:v>
      </x:c>
      <x:c r="R83" s="4" t="e">
        <x:f>HYPERLINK("https://github.com/kapiltrip/hdlBits/blob/main/study/solutions/Day%2002/065-fadd.sv","Code")</x:f>
        <x:v>HYPERLINK is not implemented. linkLocation=https://github.com/kapiltrip/hdlBits/blob/main/study/solutions/Day%2002/065-fadd.sv, friendlyName=Code</x:v>
      </x:c>
      <x:c r="S83" s="4" t="e">
        <x:f>HYPERLINK("https://hdlbits.01xz.net/wiki/fadd","HDLBits")</x:f>
        <x:v>HYPERLINK is not implemented. linkLocation=https://hdlbits.01xz.net/wiki/fadd, friendlyName=HDLBits</x:v>
      </x:c>
      <x:c r="T83" s="2" t="s">
        <x:v>333</x:v>
      </x:c>
      <x:c r="U83" s="2"/>
    </x:row>
    <x:row r="84" ht="34.04999923706055" customHeight="1">
      <x:c r="A84" s="7">
        <x:v>68</x:v>
      </x:c>
      <x:c r="B84" s="7">
        <x:v>66</x:v>
      </x:c>
      <x:c r="C84" s="8" t="s">
        <x:v>28</x:v>
      </x:c>
      <x:c r="D84" s="8" t="s">
        <x:v>33</x:v>
      </x:c>
      <x:c r="E84" s="8" t="s">
        <x:v>334</x:v>
      </x:c>
      <x:c r="F84" s="8" t="s">
        <x:v>335</x:v>
      </x:c>
      <x:c r="G84" s="7" t="s">
        <x:v>1</x:v>
      </x:c>
      <x:c r="H84" s="7" t="s">
        <x:v>19</x:v>
      </x:c>
      <x:c r="I84" s="55">
        <x:v>46198</x:v>
      </x:c>
      <x:c r="J84" s="7" t="s">
        <x:v>336</x:v>
      </x:c>
      <x:c r="K84" s="7">
        <x:v>3</x:v>
      </x:c>
      <x:c r="L84" s="7">
        <x:v>1</x:v>
      </x:c>
      <x:c r="M84" s="7">
        <x:v>1</x:v>
      </x:c>
      <x:c r="N84" s="7">
        <x:v>0</x:v>
      </x:c>
      <x:c r="O84" s="10">
        <x:v>0.33</x:v>
      </x:c>
      <x:c r="P84" s="11" t="e">
        <x:f>HYPERLINK("https://github.com/kapiltrip/hdlBits/blob/main/study/problems/Day%2003/066-adder3.md","Note")</x:f>
        <x:v>HYPERLINK is not implemented. linkLocation=https://github.com/kapiltrip/hdlBits/blob/main/study/problems/Day%2003/066-adder3.md, friendlyName=Note</x:v>
      </x:c>
      <x:c r="Q84" s="11" t="e">
        <x:f>HYPERLINK("https://github.com/kapiltrip/hdlBits/blob/main/study/images/Day%2003/066-adder3.png","Image")</x:f>
        <x:v>HYPERLINK is not implemented. linkLocation=https://github.com/kapiltrip/hdlBits/blob/main/study/images/Day%2003/066-adder3.png, friendlyName=Image</x:v>
      </x:c>
      <x:c r="R84" s="11" t="e">
        <x:f>HYPERLINK("https://github.com/kapiltrip/hdlBits/blob/main/study/solutions/Day%2003/066-adder3.sv","Code")</x:f>
        <x:v>HYPERLINK is not implemented. linkLocation=https://github.com/kapiltrip/hdlBits/blob/main/study/solutions/Day%2003/066-adder3.sv, friendlyName=Code</x:v>
      </x:c>
      <x:c r="S84" s="11" t="e">
        <x:f>HYPERLINK("https://hdlbits.01xz.net/wiki/adder3","HDLBits")</x:f>
        <x:v>HYPERLINK is not implemented. linkLocation=https://hdlbits.01xz.net/wiki/adder3, friendlyName=HDLBits</x:v>
      </x:c>
      <x:c r="T84" s="8" t="s">
        <x:v>337</x:v>
      </x:c>
      <x:c r="U84" s="8"/>
    </x:row>
    <x:row r="85" ht="34.04999923706055" customHeight="1">
      <x:c r="A85" s="3">
        <x:v>69</x:v>
      </x:c>
      <x:c r="B85" s="3">
        <x:v>67</x:v>
      </x:c>
      <x:c r="C85" s="2" t="s">
        <x:v>28</x:v>
      </x:c>
      <x:c r="D85" s="2" t="s">
        <x:v>33</x:v>
      </x:c>
      <x:c r="E85" s="2" t="s">
        <x:v>338</x:v>
      </x:c>
      <x:c r="F85" s="2" t="s">
        <x:v>339</x:v>
      </x:c>
      <x:c r="G85" s="3" t="s">
        <x:v>1</x:v>
      </x:c>
      <x:c r="H85" s="3" t="s">
        <x:v>19</x:v>
      </x:c>
      <x:c r="I85" s="56">
        <x:v>46198</x:v>
      </x:c>
      <x:c r="J85" s="3" t="s">
        <x:v>340</x:v>
      </x:c>
      <x:c r="K85" s="3">
        <x:v>4</x:v>
      </x:c>
      <x:c r="L85" s="3">
        <x:v>0</x:v>
      </x:c>
      <x:c r="M85" s="3">
        <x:v>3</x:v>
      </x:c>
      <x:c r="N85" s="3">
        <x:v>0</x:v>
      </x:c>
      <x:c r="O85" s="6">
        <x:v>0.25</x:v>
      </x:c>
      <x:c r="P85" s="4" t="e">
        <x:f>HYPERLINK("https://github.com/kapiltrip/hdlBits/blob/main/study/problems/Day%2003/067-exams__m2014_q4j.md","Note")</x:f>
        <x:v>HYPERLINK is not implemented. linkLocation=https://github.com/kapiltrip/hdlBits/blob/main/study/problems/Day%2003/067-exams__m2014_q4j.md, friendlyName=Note</x:v>
      </x:c>
      <x:c r="Q85" s="4" t="e">
        <x:f>HYPERLINK("https://github.com/kapiltrip/hdlBits/blob/main/study/images/Day%2003/067-exams__m2014_q4j.png","Image")</x:f>
        <x:v>HYPERLINK is not implemented. linkLocation=https://github.com/kapiltrip/hdlBits/blob/main/study/images/Day%2003/067-exams__m2014_q4j.png, friendlyName=Image</x:v>
      </x:c>
      <x:c r="R85" s="4" t="e">
        <x:f>HYPERLINK("https://github.com/kapiltrip/hdlBits/blob/main/study/solutions/Day%2003/067-exams__m2014_q4j.sv","Code")</x:f>
        <x:v>HYPERLINK is not implemented. linkLocation=https://github.com/kapiltrip/hdlBits/blob/main/study/solutions/Day%2003/067-exams__m2014_q4j.sv, friendlyName=Code</x:v>
      </x:c>
      <x:c r="S85" s="4" t="e">
        <x:f>HYPERLINK("https://hdlbits.01xz.net/wiki/exams/m2014_q4j","HDLBits")</x:f>
        <x:v>HYPERLINK is not implemented. linkLocation=https://hdlbits.01xz.net/wiki/exams/m2014_q4j, friendlyName=HDLBits</x:v>
      </x:c>
      <x:c r="T85" s="2" t="s">
        <x:v>341</x:v>
      </x:c>
      <x:c r="U85" s="2"/>
    </x:row>
    <x:row r="86" ht="34.04999923706055" customHeight="1">
      <x:c r="A86" s="7">
        <x:v>70</x:v>
      </x:c>
      <x:c r="B86" s="7">
        <x:v>68</x:v>
      </x:c>
      <x:c r="C86" s="8" t="s">
        <x:v>28</x:v>
      </x:c>
      <x:c r="D86" s="8" t="s">
        <x:v>33</x:v>
      </x:c>
      <x:c r="E86" s="8" t="s">
        <x:v>342</x:v>
      </x:c>
      <x:c r="F86" s="8" t="s">
        <x:v>343</x:v>
      </x:c>
      <x:c r="G86" s="7" t="s">
        <x:v>1</x:v>
      </x:c>
      <x:c r="H86" s="7" t="s">
        <x:v>19</x:v>
      </x:c>
      <x:c r="I86" s="55">
        <x:v>46198</x:v>
      </x:c>
      <x:c r="J86" s="7" t="s">
        <x:v>344</x:v>
      </x:c>
      <x:c r="K86" s="7">
        <x:v>1</x:v>
      </x:c>
      <x:c r="L86" s="7">
        <x:v>0</x:v>
      </x:c>
      <x:c r="M86" s="7">
        <x:v>0</x:v>
      </x:c>
      <x:c r="N86" s="7">
        <x:v>0</x:v>
      </x:c>
      <x:c r="O86" s="10">
        <x:v>1</x:v>
      </x:c>
      <x:c r="P86" s="11" t="e">
        <x:f>HYPERLINK("https://github.com/kapiltrip/hdlBits/blob/main/study/problems/Day%2003/068-exams__ece241_2014_q1c.md","Note")</x:f>
        <x:v>HYPERLINK is not implemented. linkLocation=https://github.com/kapiltrip/hdlBits/blob/main/study/problems/Day%2003/068-exams__ece241_2014_q1c.md, friendlyName=Note</x:v>
      </x:c>
      <x:c r="Q86" s="11" t="e">
        <x:f>HYPERLINK("https://github.com/kapiltrip/hdlBits/blob/main/study/images/Day%2003/068-exams__ece241_2014_q1c.png","Image")</x:f>
        <x:v>HYPERLINK is not implemented. linkLocation=https://github.com/kapiltrip/hdlBits/blob/main/study/images/Day%2003/068-exams__ece241_2014_q1c.png, friendlyName=Image</x:v>
      </x:c>
      <x:c r="R86" s="11" t="e">
        <x:f>HYPERLINK("https://github.com/kapiltrip/hdlBits/blob/main/study/solutions/Day%2003/068-exams__ece241_2014_q1c.sv","Code")</x:f>
        <x:v>HYPERLINK is not implemented. linkLocation=https://github.com/kapiltrip/hdlBits/blob/main/study/solutions/Day%2003/068-exams__ece241_2014_q1c.sv, friendlyName=Code</x:v>
      </x:c>
      <x:c r="S86" s="11" t="e">
        <x:f>HYPERLINK("https://hdlbits.01xz.net/wiki/exams/ece241_2014_q1c","HDLBits")</x:f>
        <x:v>HYPERLINK is not implemented. linkLocation=https://hdlbits.01xz.net/wiki/exams/ece241_2014_q1c, friendlyName=HDLBits</x:v>
      </x:c>
      <x:c r="T86" s="8" t="s">
        <x:v>345</x:v>
      </x:c>
      <x:c r="U86" s="8"/>
    </x:row>
    <x:row r="87" ht="34.04999923706055" customHeight="1">
      <x:c r="A87" s="3">
        <x:v>71</x:v>
      </x:c>
      <x:c r="B87" s="3">
        <x:v>69</x:v>
      </x:c>
      <x:c r="C87" s="2" t="s">
        <x:v>28</x:v>
      </x:c>
      <x:c r="D87" s="2" t="s">
        <x:v>33</x:v>
      </x:c>
      <x:c r="E87" s="2" t="s">
        <x:v>346</x:v>
      </x:c>
      <x:c r="F87" s="2" t="s">
        <x:v>347</x:v>
      </x:c>
      <x:c r="G87" s="3" t="s">
        <x:v>1</x:v>
      </x:c>
      <x:c r="H87" s="3" t="s">
        <x:v>19</x:v>
      </x:c>
      <x:c r="I87" s="56">
        <x:v>46198</x:v>
      </x:c>
      <x:c r="J87" s="3" t="s">
        <x:v>348</x:v>
      </x:c>
      <x:c r="K87" s="3">
        <x:v>2</x:v>
      </x:c>
      <x:c r="L87" s="3">
        <x:v>1</x:v>
      </x:c>
      <x:c r="M87" s="3">
        <x:v>0</x:v>
      </x:c>
      <x:c r="N87" s="3">
        <x:v>0</x:v>
      </x:c>
      <x:c r="O87" s="6">
        <x:v>0.5</x:v>
      </x:c>
      <x:c r="P87" s="4" t="e">
        <x:f>HYPERLINK("https://github.com/kapiltrip/hdlBits/blob/main/study/problems/Day%2003/069-adder100.md","Note")</x:f>
        <x:v>HYPERLINK is not implemented. linkLocation=https://github.com/kapiltrip/hdlBits/blob/main/study/problems/Day%2003/069-adder100.md, friendlyName=Note</x:v>
      </x:c>
      <x:c r="Q87" s="4" t="e">
        <x:f>HYPERLINK("https://github.com/kapiltrip/hdlBits/blob/main/study/images/Day%2003/069-adder100.png","Image")</x:f>
        <x:v>HYPERLINK is not implemented. linkLocation=https://github.com/kapiltrip/hdlBits/blob/main/study/images/Day%2003/069-adder100.png, friendlyName=Image</x:v>
      </x:c>
      <x:c r="R87" s="4" t="e">
        <x:f>HYPERLINK("https://github.com/kapiltrip/hdlBits/blob/main/study/solutions/Day%2003/069-adder100.sv","Code")</x:f>
        <x:v>HYPERLINK is not implemented. linkLocation=https://github.com/kapiltrip/hdlBits/blob/main/study/solutions/Day%2003/069-adder100.sv, friendlyName=Code</x:v>
      </x:c>
      <x:c r="S87" s="4" t="e">
        <x:f>HYPERLINK("https://hdlbits.01xz.net/wiki/adder100","HDLBits")</x:f>
        <x:v>HYPERLINK is not implemented. linkLocation=https://hdlbits.01xz.net/wiki/adder100, friendlyName=HDLBits</x:v>
      </x:c>
      <x:c r="T87" s="2" t="s">
        <x:v>349</x:v>
      </x:c>
      <x:c r="U87" s="2"/>
    </x:row>
    <x:row r="88" ht="34.04999923706055" customHeight="1">
      <x:c r="A88" s="7">
        <x:v>72</x:v>
      </x:c>
      <x:c r="B88" s="7">
        <x:v>70</x:v>
      </x:c>
      <x:c r="C88" s="8" t="s">
        <x:v>28</x:v>
      </x:c>
      <x:c r="D88" s="8" t="s">
        <x:v>33</x:v>
      </x:c>
      <x:c r="E88" s="8" t="s">
        <x:v>350</x:v>
      </x:c>
      <x:c r="F88" s="8" t="s">
        <x:v>351</x:v>
      </x:c>
      <x:c r="G88" s="7" t="s">
        <x:v>1</x:v>
      </x:c>
      <x:c r="H88" s="7" t="s">
        <x:v>19</x:v>
      </x:c>
      <x:c r="I88" s="55">
        <x:v>46198</x:v>
      </x:c>
      <x:c r="J88" s="7" t="s">
        <x:v>352</x:v>
      </x:c>
      <x:c r="K88" s="7">
        <x:v>2</x:v>
      </x:c>
      <x:c r="L88" s="7">
        <x:v>0</x:v>
      </x:c>
      <x:c r="M88" s="7">
        <x:v>1</x:v>
      </x:c>
      <x:c r="N88" s="7">
        <x:v>0</x:v>
      </x:c>
      <x:c r="O88" s="10">
        <x:v>0.5</x:v>
      </x:c>
      <x:c r="P88" s="11" t="e">
        <x:f>HYPERLINK("https://github.com/kapiltrip/hdlBits/blob/main/study/problems/Day%2003/070-bcdadd4.md","Note")</x:f>
        <x:v>HYPERLINK is not implemented. linkLocation=https://github.com/kapiltrip/hdlBits/blob/main/study/problems/Day%2003/070-bcdadd4.md, friendlyName=Note</x:v>
      </x:c>
      <x:c r="Q88" s="11" t="e">
        <x:f>HYPERLINK("https://github.com/kapiltrip/hdlBits/blob/main/study/images/Day%2003/070-bcdadd4.png","Image")</x:f>
        <x:v>HYPERLINK is not implemented. linkLocation=https://github.com/kapiltrip/hdlBits/blob/main/study/images/Day%2003/070-bcdadd4.png, friendlyName=Image</x:v>
      </x:c>
      <x:c r="R88" s="11" t="e">
        <x:f>HYPERLINK("https://github.com/kapiltrip/hdlBits/blob/main/study/solutions/Day%2003/070-bcdadd4.sv","Code")</x:f>
        <x:v>HYPERLINK is not implemented. linkLocation=https://github.com/kapiltrip/hdlBits/blob/main/study/solutions/Day%2003/070-bcdadd4.sv, friendlyName=Code</x:v>
      </x:c>
      <x:c r="S88" s="11" t="e">
        <x:f>HYPERLINK("https://hdlbits.01xz.net/wiki/bcdadd4","HDLBits")</x:f>
        <x:v>HYPERLINK is not implemented. linkLocation=https://hdlbits.01xz.net/wiki/bcdadd4, friendlyName=HDLBits</x:v>
      </x:c>
      <x:c r="T88" s="8" t="s">
        <x:v>353</x:v>
      </x:c>
      <x:c r="U88" s="8"/>
    </x:row>
    <x:row r="89" ht="22.049999237060547" customHeight="1">
      <x:c r="A89" s="44" t="s">
        <x:v>354</x:v>
      </x:c>
      <x:c r="B89" s="44"/>
      <x:c r="C89" s="44"/>
      <x:c r="D89" s="44"/>
      <x:c r="E89" s="44"/>
      <x:c r="F89" s="44"/>
      <x:c r="G89" s="44"/>
      <x:c r="H89" s="44"/>
      <x:c r="I89" s="60"/>
      <x:c r="J89" s="44"/>
      <x:c r="K89" s="44"/>
      <x:c r="L89" s="44"/>
      <x:c r="M89" s="44"/>
      <x:c r="N89" s="44"/>
      <x:c r="O89" s="46"/>
      <x:c r="P89" s="44"/>
      <x:c r="Q89" s="44"/>
      <x:c r="R89" s="44"/>
      <x:c r="S89" s="44"/>
      <x:c r="T89" s="44"/>
      <x:c r="U89" s="44"/>
    </x:row>
    <x:row r="90" ht="34.04999923706055" customHeight="1">
      <x:c r="A90" s="3">
        <x:v>73</x:v>
      </x:c>
      <x:c r="B90" s="3">
        <x:v>71</x:v>
      </x:c>
      <x:c r="C90" s="2" t="s">
        <x:v>28</x:v>
      </x:c>
      <x:c r="D90" s="2" t="s">
        <x:v>34</x:v>
      </x:c>
      <x:c r="E90" s="2" t="s">
        <x:v>355</x:v>
      </x:c>
      <x:c r="F90" s="2" t="s">
        <x:v>356</x:v>
      </x:c>
      <x:c r="G90" s="3" t="s">
        <x:v>1</x:v>
      </x:c>
      <x:c r="H90" s="3" t="s">
        <x:v>19</x:v>
      </x:c>
      <x:c r="I90" s="56">
        <x:v>46198</x:v>
      </x:c>
      <x:c r="J90" s="3" t="s">
        <x:v>357</x:v>
      </x:c>
      <x:c r="K90" s="3">
        <x:v>1</x:v>
      </x:c>
      <x:c r="L90" s="3">
        <x:v>0</x:v>
      </x:c>
      <x:c r="M90" s="3">
        <x:v>0</x:v>
      </x:c>
      <x:c r="N90" s="3">
        <x:v>0</x:v>
      </x:c>
      <x:c r="O90" s="6">
        <x:v>1</x:v>
      </x:c>
      <x:c r="P90" s="4" t="e">
        <x:f>HYPERLINK("https://github.com/kapiltrip/hdlBits/blob/main/study/problems/Day%2003/071-kmap1.md","Note")</x:f>
        <x:v>HYPERLINK is not implemented. linkLocation=https://github.com/kapiltrip/hdlBits/blob/main/study/problems/Day%2003/071-kmap1.md, friendlyName=Note</x:v>
      </x:c>
      <x:c r="Q90" s="4" t="e">
        <x:f>HYPERLINK("https://github.com/kapiltrip/hdlBits/blob/main/study/images/Day%2003/071-kmap1.png","Image")</x:f>
        <x:v>HYPERLINK is not implemented. linkLocation=https://github.com/kapiltrip/hdlBits/blob/main/study/images/Day%2003/071-kmap1.png, friendlyName=Image</x:v>
      </x:c>
      <x:c r="R90" s="4" t="e">
        <x:f>HYPERLINK("https://github.com/kapiltrip/hdlBits/blob/main/study/solutions/Day%2003/071-kmap1.sv","Code")</x:f>
        <x:v>HYPERLINK is not implemented. linkLocation=https://github.com/kapiltrip/hdlBits/blob/main/study/solutions/Day%2003/071-kmap1.sv, friendlyName=Code</x:v>
      </x:c>
      <x:c r="S90" s="4" t="e">
        <x:f>HYPERLINK("https://hdlbits.01xz.net/wiki/kmap1","HDLBits")</x:f>
        <x:v>HYPERLINK is not implemented. linkLocation=https://hdlbits.01xz.net/wiki/kmap1, friendlyName=HDLBits</x:v>
      </x:c>
      <x:c r="T90" s="2" t="s">
        <x:v>358</x:v>
      </x:c>
      <x:c r="U90" s="2"/>
    </x:row>
    <x:row r="91" ht="34.04999923706055" customHeight="1">
      <x:c r="A91" s="7">
        <x:v>74</x:v>
      </x:c>
      <x:c r="B91" s="7">
        <x:v>72</x:v>
      </x:c>
      <x:c r="C91" s="8" t="s">
        <x:v>28</x:v>
      </x:c>
      <x:c r="D91" s="8" t="s">
        <x:v>34</x:v>
      </x:c>
      <x:c r="E91" s="8" t="s">
        <x:v>359</x:v>
      </x:c>
      <x:c r="F91" s="8" t="s">
        <x:v>360</x:v>
      </x:c>
      <x:c r="G91" s="7" t="s">
        <x:v>1</x:v>
      </x:c>
      <x:c r="H91" s="7" t="s">
        <x:v>19</x:v>
      </x:c>
      <x:c r="I91" s="55">
        <x:v>46198</x:v>
      </x:c>
      <x:c r="J91" s="7" t="s">
        <x:v>361</x:v>
      </x:c>
      <x:c r="K91" s="7">
        <x:v>1</x:v>
      </x:c>
      <x:c r="L91" s="7">
        <x:v>0</x:v>
      </x:c>
      <x:c r="M91" s="7">
        <x:v>0</x:v>
      </x:c>
      <x:c r="N91" s="7">
        <x:v>0</x:v>
      </x:c>
      <x:c r="O91" s="10">
        <x:v>1</x:v>
      </x:c>
      <x:c r="P91" s="11" t="e">
        <x:f>HYPERLINK("https://github.com/kapiltrip/hdlBits/blob/main/study/problems/Day%2003/072-kmap2.md","Note")</x:f>
        <x:v>HYPERLINK is not implemented. linkLocation=https://github.com/kapiltrip/hdlBits/blob/main/study/problems/Day%2003/072-kmap2.md, friendlyName=Note</x:v>
      </x:c>
      <x:c r="Q91" s="11" t="e">
        <x:f>HYPERLINK("https://github.com/kapiltrip/hdlBits/blob/main/study/images/Day%2003/072-kmap2.png","Image")</x:f>
        <x:v>HYPERLINK is not implemented. linkLocation=https://github.com/kapiltrip/hdlBits/blob/main/study/images/Day%2003/072-kmap2.png, friendlyName=Image</x:v>
      </x:c>
      <x:c r="R91" s="11" t="e">
        <x:f>HYPERLINK("https://github.com/kapiltrip/hdlBits/blob/main/study/solutions/Day%2003/072-kmap2.sv","Code")</x:f>
        <x:v>HYPERLINK is not implemented. linkLocation=https://github.com/kapiltrip/hdlBits/blob/main/study/solutions/Day%2003/072-kmap2.sv, friendlyName=Code</x:v>
      </x:c>
      <x:c r="S91" s="11" t="e">
        <x:f>HYPERLINK("https://hdlbits.01xz.net/wiki/kmap2","HDLBits")</x:f>
        <x:v>HYPERLINK is not implemented. linkLocation=https://hdlbits.01xz.net/wiki/kmap2, friendlyName=HDLBits</x:v>
      </x:c>
      <x:c r="T91" s="8" t="s">
        <x:v>362</x:v>
      </x:c>
      <x:c r="U91" s="8"/>
    </x:row>
    <x:row r="92" ht="34.04999923706055" customHeight="1">
      <x:c r="A92" s="3">
        <x:v>75</x:v>
      </x:c>
      <x:c r="B92" s="3">
        <x:v>73</x:v>
      </x:c>
      <x:c r="C92" s="2" t="s">
        <x:v>28</x:v>
      </x:c>
      <x:c r="D92" s="2" t="s">
        <x:v>34</x:v>
      </x:c>
      <x:c r="E92" s="2" t="s">
        <x:v>359</x:v>
      </x:c>
      <x:c r="F92" s="2" t="s">
        <x:v>363</x:v>
      </x:c>
      <x:c r="G92" s="3" t="s">
        <x:v>1</x:v>
      </x:c>
      <x:c r="H92" s="3" t="s">
        <x:v>19</x:v>
      </x:c>
      <x:c r="I92" s="56">
        <x:v>46198</x:v>
      </x:c>
      <x:c r="J92" s="3" t="s">
        <x:v>364</x:v>
      </x:c>
      <x:c r="K92" s="3">
        <x:v>4</x:v>
      </x:c>
      <x:c r="L92" s="3">
        <x:v>2</x:v>
      </x:c>
      <x:c r="M92" s="3">
        <x:v>1</x:v>
      </x:c>
      <x:c r="N92" s="3">
        <x:v>0</x:v>
      </x:c>
      <x:c r="O92" s="6">
        <x:v>0.25</x:v>
      </x:c>
      <x:c r="P92" s="4" t="e">
        <x:f>HYPERLINK("https://github.com/kapiltrip/hdlBits/blob/main/study/problems/Day%2003/073-kmap3.md","Note")</x:f>
        <x:v>HYPERLINK is not implemented. linkLocation=https://github.com/kapiltrip/hdlBits/blob/main/study/problems/Day%2003/073-kmap3.md, friendlyName=Note</x:v>
      </x:c>
      <x:c r="Q92" s="4" t="e">
        <x:f>HYPERLINK("https://github.com/kapiltrip/hdlBits/blob/main/study/images/Day%2003/073-kmap3.png","Image")</x:f>
        <x:v>HYPERLINK is not implemented. linkLocation=https://github.com/kapiltrip/hdlBits/blob/main/study/images/Day%2003/073-kmap3.png, friendlyName=Image</x:v>
      </x:c>
      <x:c r="R92" s="4" t="e">
        <x:f>HYPERLINK("https://github.com/kapiltrip/hdlBits/blob/main/study/solutions/Day%2003/073-kmap3.sv","Code")</x:f>
        <x:v>HYPERLINK is not implemented. linkLocation=https://github.com/kapiltrip/hdlBits/blob/main/study/solutions/Day%2003/073-kmap3.sv, friendlyName=Code</x:v>
      </x:c>
      <x:c r="S92" s="4" t="e">
        <x:f>HYPERLINK("https://hdlbits.01xz.net/wiki/kmap3","HDLBits")</x:f>
        <x:v>HYPERLINK is not implemented. linkLocation=https://hdlbits.01xz.net/wiki/kmap3, friendlyName=HDLBits</x:v>
      </x:c>
      <x:c r="T92" s="2" t="s">
        <x:v>365</x:v>
      </x:c>
      <x:c r="U92" s="2"/>
    </x:row>
    <x:row r="93" ht="34.04999923706055" customHeight="1">
      <x:c r="A93" s="7">
        <x:v>76</x:v>
      </x:c>
      <x:c r="B93" s="7">
        <x:v>74</x:v>
      </x:c>
      <x:c r="C93" s="8" t="s">
        <x:v>28</x:v>
      </x:c>
      <x:c r="D93" s="8" t="s">
        <x:v>34</x:v>
      </x:c>
      <x:c r="E93" s="8" t="s">
        <x:v>359</x:v>
      </x:c>
      <x:c r="F93" s="8" t="s">
        <x:v>366</x:v>
      </x:c>
      <x:c r="G93" s="7" t="s">
        <x:v>1</x:v>
      </x:c>
      <x:c r="H93" s="7" t="s">
        <x:v>19</x:v>
      </x:c>
      <x:c r="I93" s="55">
        <x:v>46198</x:v>
      </x:c>
      <x:c r="J93" s="7" t="s">
        <x:v>367</x:v>
      </x:c>
      <x:c r="K93" s="7">
        <x:v>1</x:v>
      </x:c>
      <x:c r="L93" s="7">
        <x:v>0</x:v>
      </x:c>
      <x:c r="M93" s="7">
        <x:v>0</x:v>
      </x:c>
      <x:c r="N93" s="7">
        <x:v>0</x:v>
      </x:c>
      <x:c r="O93" s="10">
        <x:v>1</x:v>
      </x:c>
      <x:c r="P93" s="11" t="e">
        <x:f>HYPERLINK("https://github.com/kapiltrip/hdlBits/blob/main/study/problems/Day%2003/074-kmap4.md","Note")</x:f>
        <x:v>HYPERLINK is not implemented. linkLocation=https://github.com/kapiltrip/hdlBits/blob/main/study/problems/Day%2003/074-kmap4.md, friendlyName=Note</x:v>
      </x:c>
      <x:c r="Q93" s="11" t="e">
        <x:f>HYPERLINK("https://github.com/kapiltrip/hdlBits/blob/main/study/images/Day%2003/074-kmap4.png","Image")</x:f>
        <x:v>HYPERLINK is not implemented. linkLocation=https://github.com/kapiltrip/hdlBits/blob/main/study/images/Day%2003/074-kmap4.png, friendlyName=Image</x:v>
      </x:c>
      <x:c r="R93" s="11" t="e">
        <x:f>HYPERLINK("https://github.com/kapiltrip/hdlBits/blob/main/study/solutions/Day%2003/074-kmap4.sv","Code")</x:f>
        <x:v>HYPERLINK is not implemented. linkLocation=https://github.com/kapiltrip/hdlBits/blob/main/study/solutions/Day%2003/074-kmap4.sv, friendlyName=Code</x:v>
      </x:c>
      <x:c r="S93" s="11" t="e">
        <x:f>HYPERLINK("https://hdlbits.01xz.net/wiki/kmap4","HDLBits")</x:f>
        <x:v>HYPERLINK is not implemented. linkLocation=https://hdlbits.01xz.net/wiki/kmap4, friendlyName=HDLBits</x:v>
      </x:c>
      <x:c r="T93" s="8" t="s">
        <x:v>368</x:v>
      </x:c>
      <x:c r="U93" s="8"/>
    </x:row>
    <x:row r="94" ht="34.04999923706055" customHeight="1">
      <x:c r="A94" s="3">
        <x:v>77</x:v>
      </x:c>
      <x:c r="B94" s="3">
        <x:v>75</x:v>
      </x:c>
      <x:c r="C94" s="2" t="s">
        <x:v>28</x:v>
      </x:c>
      <x:c r="D94" s="2" t="s">
        <x:v>34</x:v>
      </x:c>
      <x:c r="E94" s="2" t="s">
        <x:v>369</x:v>
      </x:c>
      <x:c r="F94" s="2" t="s">
        <x:v>370</x:v>
      </x:c>
      <x:c r="G94" s="3" t="s">
        <x:v>1</x:v>
      </x:c>
      <x:c r="H94" s="3" t="s">
        <x:v>19</x:v>
      </x:c>
      <x:c r="I94" s="56">
        <x:v>46198</x:v>
      </x:c>
      <x:c r="J94" s="3" t="s">
        <x:v>371</x:v>
      </x:c>
      <x:c r="K94" s="3">
        <x:v>5</x:v>
      </x:c>
      <x:c r="L94" s="3">
        <x:v>3</x:v>
      </x:c>
      <x:c r="M94" s="3">
        <x:v>1</x:v>
      </x:c>
      <x:c r="N94" s="3">
        <x:v>0</x:v>
      </x:c>
      <x:c r="O94" s="6">
        <x:v>0.2</x:v>
      </x:c>
      <x:c r="P94" s="4" t="e">
        <x:f>HYPERLINK("https://github.com/kapiltrip/hdlBits/blob/main/study/problems/Day%2003/075-exams__ece241_2013_q2.md","Note")</x:f>
        <x:v>HYPERLINK is not implemented. linkLocation=https://github.com/kapiltrip/hdlBits/blob/main/study/problems/Day%2003/075-exams__ece241_2013_q2.md, friendlyName=Note</x:v>
      </x:c>
      <x:c r="Q94" s="4" t="e">
        <x:f>HYPERLINK("https://github.com/kapiltrip/hdlBits/blob/main/study/images/Day%2003/075-exams__ece241_2013_q2.png","Image")</x:f>
        <x:v>HYPERLINK is not implemented. linkLocation=https://github.com/kapiltrip/hdlBits/blob/main/study/images/Day%2003/075-exams__ece241_2013_q2.png, friendlyName=Image</x:v>
      </x:c>
      <x:c r="R94" s="4" t="e">
        <x:f>HYPERLINK("https://github.com/kapiltrip/hdlBits/blob/main/study/solutions/Day%2003/075-exams__ece241_2013_q2.sv","Code")</x:f>
        <x:v>HYPERLINK is not implemented. linkLocation=https://github.com/kapiltrip/hdlBits/blob/main/study/solutions/Day%2003/075-exams__ece241_2013_q2.sv, friendlyName=Code</x:v>
      </x:c>
      <x:c r="S94" s="4" t="e">
        <x:f>HYPERLINK("https://hdlbits.01xz.net/wiki/exams/ece241_2013_q2","HDLBits")</x:f>
        <x:v>HYPERLINK is not implemented. linkLocation=https://hdlbits.01xz.net/wiki/exams/ece241_2013_q2, friendlyName=HDLBits</x:v>
      </x:c>
      <x:c r="T94" s="2" t="s">
        <x:v>372</x:v>
      </x:c>
      <x:c r="U94" s="2"/>
    </x:row>
    <x:row r="95" ht="34.04999923706055" customHeight="1">
      <x:c r="A95" s="7">
        <x:v>78</x:v>
      </x:c>
      <x:c r="B95" s="7">
        <x:v>76</x:v>
      </x:c>
      <x:c r="C95" s="8" t="s">
        <x:v>28</x:v>
      </x:c>
      <x:c r="D95" s="8" t="s">
        <x:v>34</x:v>
      </x:c>
      <x:c r="E95" s="8" t="s">
        <x:v>373</x:v>
      </x:c>
      <x:c r="F95" s="8" t="s">
        <x:v>374</x:v>
      </x:c>
      <x:c r="G95" s="7" t="s">
        <x:v>1</x:v>
      </x:c>
      <x:c r="H95" s="7" t="s">
        <x:v>19</x:v>
      </x:c>
      <x:c r="I95" s="55">
        <x:v>46198</x:v>
      </x:c>
      <x:c r="J95" s="7" t="s">
        <x:v>375</x:v>
      </x:c>
      <x:c r="K95" s="7">
        <x:v>2</x:v>
      </x:c>
      <x:c r="L95" s="7">
        <x:v>1</x:v>
      </x:c>
      <x:c r="M95" s="7">
        <x:v>0</x:v>
      </x:c>
      <x:c r="N95" s="7">
        <x:v>0</x:v>
      </x:c>
      <x:c r="O95" s="10">
        <x:v>0.5</x:v>
      </x:c>
      <x:c r="P95" s="11" t="e">
        <x:f>HYPERLINK("https://github.com/kapiltrip/hdlBits/blob/main/study/problems/Day%2003/076-exams__m2014_q3.md","Note")</x:f>
        <x:v>HYPERLINK is not implemented. linkLocation=https://github.com/kapiltrip/hdlBits/blob/main/study/problems/Day%2003/076-exams__m2014_q3.md, friendlyName=Note</x:v>
      </x:c>
      <x:c r="Q95" s="11" t="e">
        <x:f>HYPERLINK("https://github.com/kapiltrip/hdlBits/blob/main/study/images/Day%2003/076-exams__m2014_q3.png","Image")</x:f>
        <x:v>HYPERLINK is not implemented. linkLocation=https://github.com/kapiltrip/hdlBits/blob/main/study/images/Day%2003/076-exams__m2014_q3.png, friendlyName=Image</x:v>
      </x:c>
      <x:c r="R95" s="11" t="e">
        <x:f>HYPERLINK("https://github.com/kapiltrip/hdlBits/blob/main/study/solutions/Day%2003/076-exams__m2014_q3.sv","Code")</x:f>
        <x:v>HYPERLINK is not implemented. linkLocation=https://github.com/kapiltrip/hdlBits/blob/main/study/solutions/Day%2003/076-exams__m2014_q3.sv, friendlyName=Code</x:v>
      </x:c>
      <x:c r="S95" s="11" t="e">
        <x:f>HYPERLINK("https://hdlbits.01xz.net/wiki/exams/m2014_q3","HDLBits")</x:f>
        <x:v>HYPERLINK is not implemented. linkLocation=https://hdlbits.01xz.net/wiki/exams/m2014_q3, friendlyName=HDLBits</x:v>
      </x:c>
      <x:c r="T95" s="8" t="s">
        <x:v>376</x:v>
      </x:c>
      <x:c r="U95" s="8"/>
    </x:row>
    <x:row r="96" ht="34.04999923706055" customHeight="1">
      <x:c r="A96" s="3">
        <x:v>79</x:v>
      </x:c>
      <x:c r="B96" s="3">
        <x:v>77</x:v>
      </x:c>
      <x:c r="C96" s="2" t="s">
        <x:v>28</x:v>
      </x:c>
      <x:c r="D96" s="2" t="s">
        <x:v>34</x:v>
      </x:c>
      <x:c r="E96" s="2" t="s">
        <x:v>373</x:v>
      </x:c>
      <x:c r="F96" s="2" t="s">
        <x:v>377</x:v>
      </x:c>
      <x:c r="G96" s="3" t="s">
        <x:v>1</x:v>
      </x:c>
      <x:c r="H96" s="3" t="s">
        <x:v>19</x:v>
      </x:c>
      <x:c r="I96" s="56">
        <x:v>46198</x:v>
      </x:c>
      <x:c r="J96" s="3" t="s">
        <x:v>378</x:v>
      </x:c>
      <x:c r="K96" s="3">
        <x:v>1</x:v>
      </x:c>
      <x:c r="L96" s="3">
        <x:v>0</x:v>
      </x:c>
      <x:c r="M96" s="3">
        <x:v>0</x:v>
      </x:c>
      <x:c r="N96" s="3">
        <x:v>0</x:v>
      </x:c>
      <x:c r="O96" s="6">
        <x:v>1</x:v>
      </x:c>
      <x:c r="P96" s="4" t="e">
        <x:f>HYPERLINK("https://github.com/kapiltrip/hdlBits/blob/main/study/problems/Day%2003/077-exams__2012_q1g.md","Note")</x:f>
        <x:v>HYPERLINK is not implemented. linkLocation=https://github.com/kapiltrip/hdlBits/blob/main/study/problems/Day%2003/077-exams__2012_q1g.md, friendlyName=Note</x:v>
      </x:c>
      <x:c r="Q96" s="4" t="e">
        <x:f>HYPERLINK("https://github.com/kapiltrip/hdlBits/blob/main/study/images/Day%2003/077-exams__2012_q1g.png","Image")</x:f>
        <x:v>HYPERLINK is not implemented. linkLocation=https://github.com/kapiltrip/hdlBits/blob/main/study/images/Day%2003/077-exams__2012_q1g.png, friendlyName=Image</x:v>
      </x:c>
      <x:c r="R96" s="4" t="e">
        <x:f>HYPERLINK("https://github.com/kapiltrip/hdlBits/blob/main/study/solutions/Day%2003/077-exams__2012_q1g.sv","Code")</x:f>
        <x:v>HYPERLINK is not implemented. linkLocation=https://github.com/kapiltrip/hdlBits/blob/main/study/solutions/Day%2003/077-exams__2012_q1g.sv, friendlyName=Code</x:v>
      </x:c>
      <x:c r="S96" s="4" t="e">
        <x:f>HYPERLINK("https://hdlbits.01xz.net/wiki/exams/2012_q1g","HDLBits")</x:f>
        <x:v>HYPERLINK is not implemented. linkLocation=https://hdlbits.01xz.net/wiki/exams/2012_q1g, friendlyName=HDLBits</x:v>
      </x:c>
      <x:c r="T96" s="2" t="s">
        <x:v>379</x:v>
      </x:c>
      <x:c r="U96" s="2"/>
    </x:row>
    <x:row r="97" ht="34.04999923706055" customHeight="1">
      <x:c r="A97" s="7">
        <x:v>80</x:v>
      </x:c>
      <x:c r="B97" s="7">
        <x:v>78</x:v>
      </x:c>
      <x:c r="C97" s="8" t="s">
        <x:v>28</x:v>
      </x:c>
      <x:c r="D97" s="8" t="s">
        <x:v>34</x:v>
      </x:c>
      <x:c r="E97" s="8" t="s">
        <x:v>380</x:v>
      </x:c>
      <x:c r="F97" s="8" t="s">
        <x:v>381</x:v>
      </x:c>
      <x:c r="G97" s="7" t="s">
        <x:v>1</x:v>
      </x:c>
      <x:c r="H97" s="7" t="s">
        <x:v>19</x:v>
      </x:c>
      <x:c r="I97" s="55">
        <x:v>46198</x:v>
      </x:c>
      <x:c r="J97" s="7" t="s">
        <x:v>382</x:v>
      </x:c>
      <x:c r="K97" s="7">
        <x:v>4</x:v>
      </x:c>
      <x:c r="L97" s="7">
        <x:v>2</x:v>
      </x:c>
      <x:c r="M97" s="7">
        <x:v>1</x:v>
      </x:c>
      <x:c r="N97" s="7">
        <x:v>0</x:v>
      </x:c>
      <x:c r="O97" s="10">
        <x:v>0.25</x:v>
      </x:c>
      <x:c r="P97" s="11" t="e">
        <x:f>HYPERLINK("https://github.com/kapiltrip/hdlBits/blob/main/study/problems/Day%2003/078-exams__ece241_2014_q3.md","Note")</x:f>
        <x:v>HYPERLINK is not implemented. linkLocation=https://github.com/kapiltrip/hdlBits/blob/main/study/problems/Day%2003/078-exams__ece241_2014_q3.md, friendlyName=Note</x:v>
      </x:c>
      <x:c r="Q97" s="11" t="e">
        <x:f>HYPERLINK("https://github.com/kapiltrip/hdlBits/blob/main/study/images/Day%2003/078-exams__ece241_2014_q3.png","Image")</x:f>
        <x:v>HYPERLINK is not implemented. linkLocation=https://github.com/kapiltrip/hdlBits/blob/main/study/images/Day%2003/078-exams__ece241_2014_q3.png, friendlyName=Image</x:v>
      </x:c>
      <x:c r="R97" s="11" t="e">
        <x:f>HYPERLINK("https://github.com/kapiltrip/hdlBits/blob/main/study/solutions/Day%2003/078-exams__ece241_2014_q3.sv","Code")</x:f>
        <x:v>HYPERLINK is not implemented. linkLocation=https://github.com/kapiltrip/hdlBits/blob/main/study/solutions/Day%2003/078-exams__ece241_2014_q3.sv, friendlyName=Code</x:v>
      </x:c>
      <x:c r="S97" s="11" t="e">
        <x:f>HYPERLINK("https://hdlbits.01xz.net/wiki/exams/ece241_2014_q3","HDLBits")</x:f>
        <x:v>HYPERLINK is not implemented. linkLocation=https://hdlbits.01xz.net/wiki/exams/ece241_2014_q3, friendlyName=HDLBits</x:v>
      </x:c>
      <x:c r="T97" s="8" t="s">
        <x:v>383</x:v>
      </x:c>
      <x:c r="U97" s="8"/>
    </x:row>
    <x:row r="98" ht="22.049999237060547" customHeight="1">
      <x:c r="A98" s="44" t="s">
        <x:v>384</x:v>
      </x:c>
      <x:c r="B98" s="44"/>
      <x:c r="C98" s="44"/>
      <x:c r="D98" s="44"/>
      <x:c r="E98" s="44"/>
      <x:c r="F98" s="44"/>
      <x:c r="G98" s="44"/>
      <x:c r="H98" s="44"/>
      <x:c r="I98" s="60"/>
      <x:c r="J98" s="44"/>
      <x:c r="K98" s="44"/>
      <x:c r="L98" s="44"/>
      <x:c r="M98" s="44"/>
      <x:c r="N98" s="44"/>
      <x:c r="O98" s="46"/>
      <x:c r="P98" s="44"/>
      <x:c r="Q98" s="44"/>
      <x:c r="R98" s="44"/>
      <x:c r="S98" s="44"/>
      <x:c r="T98" s="44"/>
      <x:c r="U98" s="44"/>
    </x:row>
    <x:row r="99" ht="34.04999923706055" customHeight="1">
      <x:c r="A99" s="3">
        <x:v>81</x:v>
      </x:c>
      <x:c r="B99" s="3">
        <x:v>79</x:v>
      </x:c>
      <x:c r="C99" s="2" t="s">
        <x:v>28</x:v>
      </x:c>
      <x:c r="D99" s="2" t="s">
        <x:v>35</x:v>
      </x:c>
      <x:c r="E99" s="2" t="s">
        <x:v>385</x:v>
      </x:c>
      <x:c r="F99" s="2" t="s">
        <x:v>386</x:v>
      </x:c>
      <x:c r="G99" s="3" t="s">
        <x:v>1</x:v>
      </x:c>
      <x:c r="H99" s="3" t="s">
        <x:v>19</x:v>
      </x:c>
      <x:c r="I99" s="56">
        <x:v>46198</x:v>
      </x:c>
      <x:c r="J99" s="3" t="s">
        <x:v>387</x:v>
      </x:c>
      <x:c r="K99" s="3">
        <x:v>1</x:v>
      </x:c>
      <x:c r="L99" s="3">
        <x:v>0</x:v>
      </x:c>
      <x:c r="M99" s="3">
        <x:v>0</x:v>
      </x:c>
      <x:c r="N99" s="3">
        <x:v>0</x:v>
      </x:c>
      <x:c r="O99" s="6">
        <x:v>1</x:v>
      </x:c>
      <x:c r="P99" s="4" t="e">
        <x:f>HYPERLINK("https://github.com/kapiltrip/hdlBits/blob/main/study/problems/Day%2003/079-dff.md","Note")</x:f>
        <x:v>HYPERLINK is not implemented. linkLocation=https://github.com/kapiltrip/hdlBits/blob/main/study/problems/Day%2003/079-dff.md, friendlyName=Note</x:v>
      </x:c>
      <x:c r="Q99" s="4" t="e">
        <x:f>HYPERLINK("https://github.com/kapiltrip/hdlBits/blob/main/study/images/Day%2003/079-dff.png","Image")</x:f>
        <x:v>HYPERLINK is not implemented. linkLocation=https://github.com/kapiltrip/hdlBits/blob/main/study/images/Day%2003/079-dff.png, friendlyName=Image</x:v>
      </x:c>
      <x:c r="R99" s="4" t="e">
        <x:f>HYPERLINK("https://github.com/kapiltrip/hdlBits/blob/main/study/solutions/Day%2003/079-dff.sv","Code")</x:f>
        <x:v>HYPERLINK is not implemented. linkLocation=https://github.com/kapiltrip/hdlBits/blob/main/study/solutions/Day%2003/079-dff.sv, friendlyName=Code</x:v>
      </x:c>
      <x:c r="S99" s="4" t="e">
        <x:f>HYPERLINK("https://hdlbits.01xz.net/wiki/dff","HDLBits")</x:f>
        <x:v>HYPERLINK is not implemented. linkLocation=https://hdlbits.01xz.net/wiki/dff, friendlyName=HDLBits</x:v>
      </x:c>
      <x:c r="T99" s="2" t="s">
        <x:v>388</x:v>
      </x:c>
      <x:c r="U99" s="2"/>
    </x:row>
    <x:row r="100" ht="34.04999923706055" customHeight="1">
      <x:c r="A100" s="7">
        <x:v>82</x:v>
      </x:c>
      <x:c r="B100" s="7">
        <x:v>80</x:v>
      </x:c>
      <x:c r="C100" s="8" t="s">
        <x:v>28</x:v>
      </x:c>
      <x:c r="D100" s="8" t="s">
        <x:v>35</x:v>
      </x:c>
      <x:c r="E100" s="8" t="s">
        <x:v>389</x:v>
      </x:c>
      <x:c r="F100" s="8" t="s">
        <x:v>390</x:v>
      </x:c>
      <x:c r="G100" s="7" t="s">
        <x:v>1</x:v>
      </x:c>
      <x:c r="H100" s="7" t="s">
        <x:v>19</x:v>
      </x:c>
      <x:c r="I100" s="55">
        <x:v>46198</x:v>
      </x:c>
      <x:c r="J100" s="7" t="s">
        <x:v>391</x:v>
      </x:c>
      <x:c r="K100" s="7">
        <x:v>1</x:v>
      </x:c>
      <x:c r="L100" s="7">
        <x:v>0</x:v>
      </x:c>
      <x:c r="M100" s="7">
        <x:v>0</x:v>
      </x:c>
      <x:c r="N100" s="7">
        <x:v>0</x:v>
      </x:c>
      <x:c r="O100" s="10">
        <x:v>1</x:v>
      </x:c>
      <x:c r="P100" s="11" t="e">
        <x:f>HYPERLINK("https://github.com/kapiltrip/hdlBits/blob/main/study/problems/Day%2003/080-dff8.md","Note")</x:f>
        <x:v>HYPERLINK is not implemented. linkLocation=https://github.com/kapiltrip/hdlBits/blob/main/study/problems/Day%2003/080-dff8.md, friendlyName=Note</x:v>
      </x:c>
      <x:c r="Q100" s="11" t="e">
        <x:f>HYPERLINK("https://github.com/kapiltrip/hdlBits/blob/main/study/images/Day%2003/080-dff8.png","Image")</x:f>
        <x:v>HYPERLINK is not implemented. linkLocation=https://github.com/kapiltrip/hdlBits/blob/main/study/images/Day%2003/080-dff8.png, friendlyName=Image</x:v>
      </x:c>
      <x:c r="R100" s="11" t="e">
        <x:f>HYPERLINK("https://github.com/kapiltrip/hdlBits/blob/main/study/solutions/Day%2003/080-dff8.sv","Code")</x:f>
        <x:v>HYPERLINK is not implemented. linkLocation=https://github.com/kapiltrip/hdlBits/blob/main/study/solutions/Day%2003/080-dff8.sv, friendlyName=Code</x:v>
      </x:c>
      <x:c r="S100" s="11" t="e">
        <x:f>HYPERLINK("https://hdlbits.01xz.net/wiki/dff8","HDLBits")</x:f>
        <x:v>HYPERLINK is not implemented. linkLocation=https://hdlbits.01xz.net/wiki/dff8, friendlyName=HDLBits</x:v>
      </x:c>
      <x:c r="T100" s="8" t="s">
        <x:v>392</x:v>
      </x:c>
      <x:c r="U100" s="8"/>
    </x:row>
    <x:row r="101" ht="34.04999923706055" customHeight="1">
      <x:c r="A101" s="3">
        <x:v>83</x:v>
      </x:c>
      <x:c r="B101" s="3">
        <x:v>81</x:v>
      </x:c>
      <x:c r="C101" s="2" t="s">
        <x:v>28</x:v>
      </x:c>
      <x:c r="D101" s="2" t="s">
        <x:v>35</x:v>
      </x:c>
      <x:c r="E101" s="2" t="s">
        <x:v>393</x:v>
      </x:c>
      <x:c r="F101" s="2" t="s">
        <x:v>394</x:v>
      </x:c>
      <x:c r="G101" s="3" t="s">
        <x:v>1</x:v>
      </x:c>
      <x:c r="H101" s="3" t="s">
        <x:v>19</x:v>
      </x:c>
      <x:c r="I101" s="56">
        <x:v>46198</x:v>
      </x:c>
      <x:c r="J101" s="3" t="s">
        <x:v>395</x:v>
      </x:c>
      <x:c r="K101" s="3">
        <x:v>2</x:v>
      </x:c>
      <x:c r="L101" s="3">
        <x:v>1</x:v>
      </x:c>
      <x:c r="M101" s="3">
        <x:v>0</x:v>
      </x:c>
      <x:c r="N101" s="3">
        <x:v>0</x:v>
      </x:c>
      <x:c r="O101" s="6">
        <x:v>0.5</x:v>
      </x:c>
      <x:c r="P101" s="4" t="e">
        <x:f>HYPERLINK("https://github.com/kapiltrip/hdlBits/blob/main/study/problems/Day%2003/081-dff8r.md","Note")</x:f>
        <x:v>HYPERLINK is not implemented. linkLocation=https://github.com/kapiltrip/hdlBits/blob/main/study/problems/Day%2003/081-dff8r.md, friendlyName=Note</x:v>
      </x:c>
      <x:c r="Q101" s="4" t="e">
        <x:f>HYPERLINK("https://github.com/kapiltrip/hdlBits/blob/main/study/images/Day%2003/081-dff8r.png","Image")</x:f>
        <x:v>HYPERLINK is not implemented. linkLocation=https://github.com/kapiltrip/hdlBits/blob/main/study/images/Day%2003/081-dff8r.png, friendlyName=Image</x:v>
      </x:c>
      <x:c r="R101" s="4" t="e">
        <x:f>HYPERLINK("https://github.com/kapiltrip/hdlBits/blob/main/study/solutions/Day%2003/081-dff8r.sv","Code")</x:f>
        <x:v>HYPERLINK is not implemented. linkLocation=https://github.com/kapiltrip/hdlBits/blob/main/study/solutions/Day%2003/081-dff8r.sv, friendlyName=Code</x:v>
      </x:c>
      <x:c r="S101" s="4" t="e">
        <x:f>HYPERLINK("https://hdlbits.01xz.net/wiki/dff8r","HDLBits")</x:f>
        <x:v>HYPERLINK is not implemented. linkLocation=https://hdlbits.01xz.net/wiki/dff8r, friendlyName=HDLBits</x:v>
      </x:c>
      <x:c r="T101" s="2" t="s">
        <x:v>396</x:v>
      </x:c>
      <x:c r="U101" s="2"/>
    </x:row>
    <x:row r="102" ht="34.04999923706055" customHeight="1">
      <x:c r="A102" s="7">
        <x:v>84</x:v>
      </x:c>
      <x:c r="B102" s="7">
        <x:v>82</x:v>
      </x:c>
      <x:c r="C102" s="8" t="s">
        <x:v>28</x:v>
      </x:c>
      <x:c r="D102" s="8" t="s">
        <x:v>35</x:v>
      </x:c>
      <x:c r="E102" s="8" t="s">
        <x:v>397</x:v>
      </x:c>
      <x:c r="F102" s="8" t="s">
        <x:v>398</x:v>
      </x:c>
      <x:c r="G102" s="7" t="s">
        <x:v>1</x:v>
      </x:c>
      <x:c r="H102" s="7" t="s">
        <x:v>19</x:v>
      </x:c>
      <x:c r="I102" s="55">
        <x:v>46198</x:v>
      </x:c>
      <x:c r="J102" s="7" t="s">
        <x:v>399</x:v>
      </x:c>
      <x:c r="K102" s="7">
        <x:v>2</x:v>
      </x:c>
      <x:c r="L102" s="7">
        <x:v>1</x:v>
      </x:c>
      <x:c r="M102" s="7">
        <x:v>0</x:v>
      </x:c>
      <x:c r="N102" s="7">
        <x:v>0</x:v>
      </x:c>
      <x:c r="O102" s="10">
        <x:v>0.5</x:v>
      </x:c>
      <x:c r="P102" s="11" t="e">
        <x:f>HYPERLINK("https://github.com/kapiltrip/hdlBits/blob/main/study/problems/Day%2003/082-dff8p.md","Note")</x:f>
        <x:v>HYPERLINK is not implemented. linkLocation=https://github.com/kapiltrip/hdlBits/blob/main/study/problems/Day%2003/082-dff8p.md, friendlyName=Note</x:v>
      </x:c>
      <x:c r="Q102" s="11" t="e">
        <x:f>HYPERLINK("https://github.com/kapiltrip/hdlBits/blob/main/study/images/Day%2003/082-dff8p.png","Image")</x:f>
        <x:v>HYPERLINK is not implemented. linkLocation=https://github.com/kapiltrip/hdlBits/blob/main/study/images/Day%2003/082-dff8p.png, friendlyName=Image</x:v>
      </x:c>
      <x:c r="R102" s="11" t="e">
        <x:f>HYPERLINK("https://github.com/kapiltrip/hdlBits/blob/main/study/solutions/Day%2003/082-dff8p.sv","Code")</x:f>
        <x:v>HYPERLINK is not implemented. linkLocation=https://github.com/kapiltrip/hdlBits/blob/main/study/solutions/Day%2003/082-dff8p.sv, friendlyName=Code</x:v>
      </x:c>
      <x:c r="S102" s="11" t="e">
        <x:f>HYPERLINK("https://hdlbits.01xz.net/wiki/dff8p","HDLBits")</x:f>
        <x:v>HYPERLINK is not implemented. linkLocation=https://hdlbits.01xz.net/wiki/dff8p, friendlyName=HDLBits</x:v>
      </x:c>
      <x:c r="T102" s="8" t="s">
        <x:v>400</x:v>
      </x:c>
      <x:c r="U102" s="8"/>
    </x:row>
    <x:row r="103" ht="34.04999923706055" customHeight="1">
      <x:c r="A103" s="3">
        <x:v>85</x:v>
      </x:c>
      <x:c r="B103" s="3">
        <x:v>83</x:v>
      </x:c>
      <x:c r="C103" s="2" t="s">
        <x:v>28</x:v>
      </x:c>
      <x:c r="D103" s="2" t="s">
        <x:v>35</x:v>
      </x:c>
      <x:c r="E103" s="2" t="s">
        <x:v>401</x:v>
      </x:c>
      <x:c r="F103" s="2" t="s">
        <x:v>402</x:v>
      </x:c>
      <x:c r="G103" s="3" t="s">
        <x:v>1</x:v>
      </x:c>
      <x:c r="H103" s="3" t="s">
        <x:v>19</x:v>
      </x:c>
      <x:c r="I103" s="56">
        <x:v>46198</x:v>
      </x:c>
      <x:c r="J103" s="3" t="s">
        <x:v>403</x:v>
      </x:c>
      <x:c r="K103" s="3">
        <x:v>2</x:v>
      </x:c>
      <x:c r="L103" s="3">
        <x:v>0</x:v>
      </x:c>
      <x:c r="M103" s="3">
        <x:v>1</x:v>
      </x:c>
      <x:c r="N103" s="3">
        <x:v>0</x:v>
      </x:c>
      <x:c r="O103" s="6">
        <x:v>0.5</x:v>
      </x:c>
      <x:c r="P103" s="4" t="e">
        <x:f>HYPERLINK("https://github.com/kapiltrip/hdlBits/blob/main/study/problems/Day%2003/083-dff8ar.md","Note")</x:f>
        <x:v>HYPERLINK is not implemented. linkLocation=https://github.com/kapiltrip/hdlBits/blob/main/study/problems/Day%2003/083-dff8ar.md, friendlyName=Note</x:v>
      </x:c>
      <x:c r="Q103" s="4" t="e">
        <x:f>HYPERLINK("https://github.com/kapiltrip/hdlBits/blob/main/study/images/Day%2003/083-dff8ar.png","Image")</x:f>
        <x:v>HYPERLINK is not implemented. linkLocation=https://github.com/kapiltrip/hdlBits/blob/main/study/images/Day%2003/083-dff8ar.png, friendlyName=Image</x:v>
      </x:c>
      <x:c r="R103" s="4" t="e">
        <x:f>HYPERLINK("https://github.com/kapiltrip/hdlBits/blob/main/study/solutions/Day%2003/083-dff8ar.sv","Code")</x:f>
        <x:v>HYPERLINK is not implemented. linkLocation=https://github.com/kapiltrip/hdlBits/blob/main/study/solutions/Day%2003/083-dff8ar.sv, friendlyName=Code</x:v>
      </x:c>
      <x:c r="S103" s="4" t="e">
        <x:f>HYPERLINK("https://hdlbits.01xz.net/wiki/dff8ar","HDLBits")</x:f>
        <x:v>HYPERLINK is not implemented. linkLocation=https://hdlbits.01xz.net/wiki/dff8ar, friendlyName=HDLBits</x:v>
      </x:c>
      <x:c r="T103" s="2" t="s">
        <x:v>404</x:v>
      </x:c>
      <x:c r="U103" s="2"/>
    </x:row>
    <x:row r="104" ht="34.04999923706055" customHeight="1">
      <x:c r="A104" s="7">
        <x:v>86</x:v>
      </x:c>
      <x:c r="B104" s="7">
        <x:v>84</x:v>
      </x:c>
      <x:c r="C104" s="8" t="s">
        <x:v>28</x:v>
      </x:c>
      <x:c r="D104" s="8" t="s">
        <x:v>35</x:v>
      </x:c>
      <x:c r="E104" s="8" t="s">
        <x:v>405</x:v>
      </x:c>
      <x:c r="F104" s="8" t="s">
        <x:v>406</x:v>
      </x:c>
      <x:c r="G104" s="7" t="s">
        <x:v>1</x:v>
      </x:c>
      <x:c r="H104" s="7" t="s">
        <x:v>19</x:v>
      </x:c>
      <x:c r="I104" s="55">
        <x:v>46198</x:v>
      </x:c>
      <x:c r="J104" s="7" t="s">
        <x:v>407</x:v>
      </x:c>
      <x:c r="K104" s="7">
        <x:v>9</x:v>
      </x:c>
      <x:c r="L104" s="7">
        <x:v>8</x:v>
      </x:c>
      <x:c r="M104" s="7">
        <x:v>0</x:v>
      </x:c>
      <x:c r="N104" s="7">
        <x:v>0</x:v>
      </x:c>
      <x:c r="O104" s="10">
        <x:v>0.11</x:v>
      </x:c>
      <x:c r="P104" s="11" t="e">
        <x:f>HYPERLINK("https://github.com/kapiltrip/hdlBits/blob/main/study/problems/Day%2003/084-dff16e.md","Note")</x:f>
        <x:v>HYPERLINK is not implemented. linkLocation=https://github.com/kapiltrip/hdlBits/blob/main/study/problems/Day%2003/084-dff16e.md, friendlyName=Note</x:v>
      </x:c>
      <x:c r="Q104" s="11" t="e">
        <x:f>HYPERLINK("https://github.com/kapiltrip/hdlBits/blob/main/study/images/Day%2003/084-dff16e.png","Image")</x:f>
        <x:v>HYPERLINK is not implemented. linkLocation=https://github.com/kapiltrip/hdlBits/blob/main/study/images/Day%2003/084-dff16e.png, friendlyName=Image</x:v>
      </x:c>
      <x:c r="R104" s="11" t="e">
        <x:f>HYPERLINK("https://github.com/kapiltrip/hdlBits/blob/main/study/solutions/Day%2003/084-dff16e.sv","Code")</x:f>
        <x:v>HYPERLINK is not implemented. linkLocation=https://github.com/kapiltrip/hdlBits/blob/main/study/solutions/Day%2003/084-dff16e.sv, friendlyName=Code</x:v>
      </x:c>
      <x:c r="S104" s="11" t="e">
        <x:f>HYPERLINK("https://hdlbits.01xz.net/wiki/dff16e","HDLBits")</x:f>
        <x:v>HYPERLINK is not implemented. linkLocation=https://hdlbits.01xz.net/wiki/dff16e, friendlyName=HDLBits</x:v>
      </x:c>
      <x:c r="T104" s="8" t="s">
        <x:v>408</x:v>
      </x:c>
      <x:c r="U104" s="8"/>
    </x:row>
    <x:row r="105" ht="34.04999923706055" customHeight="1">
      <x:c r="A105" s="3">
        <x:v>87</x:v>
      </x:c>
      <x:c r="B105" s="3">
        <x:v>85</x:v>
      </x:c>
      <x:c r="C105" s="2" t="s">
        <x:v>28</x:v>
      </x:c>
      <x:c r="D105" s="2" t="s">
        <x:v>35</x:v>
      </x:c>
      <x:c r="E105" s="2" t="s">
        <x:v>409</x:v>
      </x:c>
      <x:c r="F105" s="2" t="s">
        <x:v>410</x:v>
      </x:c>
      <x:c r="G105" s="3" t="s">
        <x:v>1</x:v>
      </x:c>
      <x:c r="H105" s="3" t="s">
        <x:v>19</x:v>
      </x:c>
      <x:c r="I105" s="56">
        <x:v>46198</x:v>
      </x:c>
      <x:c r="J105" s="3" t="s">
        <x:v>411</x:v>
      </x:c>
      <x:c r="K105" s="3">
        <x:v>8</x:v>
      </x:c>
      <x:c r="L105" s="3">
        <x:v>7</x:v>
      </x:c>
      <x:c r="M105" s="3">
        <x:v>0</x:v>
      </x:c>
      <x:c r="N105" s="3">
        <x:v>0</x:v>
      </x:c>
      <x:c r="O105" s="6">
        <x:v>0.13</x:v>
      </x:c>
      <x:c r="P105" s="4" t="e">
        <x:f>HYPERLINK("https://github.com/kapiltrip/hdlBits/blob/main/study/problems/Day%2003/085-exams__m2014_q4a.md","Note")</x:f>
        <x:v>HYPERLINK is not implemented. linkLocation=https://github.com/kapiltrip/hdlBits/blob/main/study/problems/Day%2003/085-exams__m2014_q4a.md, friendlyName=Note</x:v>
      </x:c>
      <x:c r="Q105" s="4" t="e">
        <x:f>HYPERLINK("https://github.com/kapiltrip/hdlBits/blob/main/study/images/Day%2003/085-exams__m2014_q4a.png","Image")</x:f>
        <x:v>HYPERLINK is not implemented. linkLocation=https://github.com/kapiltrip/hdlBits/blob/main/study/images/Day%2003/085-exams__m2014_q4a.png, friendlyName=Image</x:v>
      </x:c>
      <x:c r="R105" s="4" t="e">
        <x:f>HYPERLINK("https://github.com/kapiltrip/hdlBits/blob/main/study/solutions/Day%2003/085-exams__m2014_q4a.sv","Code")</x:f>
        <x:v>HYPERLINK is not implemented. linkLocation=https://github.com/kapiltrip/hdlBits/blob/main/study/solutions/Day%2003/085-exams__m2014_q4a.sv, friendlyName=Code</x:v>
      </x:c>
      <x:c r="S105" s="4" t="e">
        <x:f>HYPERLINK("https://hdlbits.01xz.net/wiki/exams/m2014_q4a","HDLBits")</x:f>
        <x:v>HYPERLINK is not implemented. linkLocation=https://hdlbits.01xz.net/wiki/exams/m2014_q4a, friendlyName=HDLBits</x:v>
      </x:c>
      <x:c r="T105" s="2" t="s">
        <x:v>412</x:v>
      </x:c>
      <x:c r="U105" s="2"/>
    </x:row>
    <x:row r="106" ht="34.04999923706055" customHeight="1">
      <x:c r="A106" s="7">
        <x:v>88</x:v>
      </x:c>
      <x:c r="B106" s="7">
        <x:v>86</x:v>
      </x:c>
      <x:c r="C106" s="8" t="s">
        <x:v>28</x:v>
      </x:c>
      <x:c r="D106" s="8" t="s">
        <x:v>35</x:v>
      </x:c>
      <x:c r="E106" s="8" t="s">
        <x:v>413</x:v>
      </x:c>
      <x:c r="F106" s="8" t="s">
        <x:v>414</x:v>
      </x:c>
      <x:c r="G106" s="7" t="s">
        <x:v>1</x:v>
      </x:c>
      <x:c r="H106" s="7" t="s">
        <x:v>19</x:v>
      </x:c>
      <x:c r="I106" s="55">
        <x:v>46198</x:v>
      </x:c>
      <x:c r="J106" s="7" t="s">
        <x:v>415</x:v>
      </x:c>
      <x:c r="K106" s="7">
        <x:v>1</x:v>
      </x:c>
      <x:c r="L106" s="7">
        <x:v>0</x:v>
      </x:c>
      <x:c r="M106" s="7">
        <x:v>0</x:v>
      </x:c>
      <x:c r="N106" s="7">
        <x:v>0</x:v>
      </x:c>
      <x:c r="O106" s="10">
        <x:v>1</x:v>
      </x:c>
      <x:c r="P106" s="11" t="e">
        <x:f>HYPERLINK("https://github.com/kapiltrip/hdlBits/blob/main/study/problems/Day%2003/086-exams__m2014_q4b.md","Note")</x:f>
        <x:v>HYPERLINK is not implemented. linkLocation=https://github.com/kapiltrip/hdlBits/blob/main/study/problems/Day%2003/086-exams__m2014_q4b.md, friendlyName=Note</x:v>
      </x:c>
      <x:c r="Q106" s="11" t="e">
        <x:f>HYPERLINK("https://github.com/kapiltrip/hdlBits/blob/main/study/images/Day%2003/086-exams__m2014_q4b.png","Image")</x:f>
        <x:v>HYPERLINK is not implemented. linkLocation=https://github.com/kapiltrip/hdlBits/blob/main/study/images/Day%2003/086-exams__m2014_q4b.png, friendlyName=Image</x:v>
      </x:c>
      <x:c r="R106" s="11" t="e">
        <x:f>HYPERLINK("https://github.com/kapiltrip/hdlBits/blob/main/study/solutions/Day%2003/086-exams__m2014_q4b.sv","Code")</x:f>
        <x:v>HYPERLINK is not implemented. linkLocation=https://github.com/kapiltrip/hdlBits/blob/main/study/solutions/Day%2003/086-exams__m2014_q4b.sv, friendlyName=Code</x:v>
      </x:c>
      <x:c r="S106" s="11" t="e">
        <x:f>HYPERLINK("https://hdlbits.01xz.net/wiki/exams/m2014_q4b","HDLBits")</x:f>
        <x:v>HYPERLINK is not implemented. linkLocation=https://hdlbits.01xz.net/wiki/exams/m2014_q4b, friendlyName=HDLBits</x:v>
      </x:c>
      <x:c r="T106" s="8" t="s">
        <x:v>416</x:v>
      </x:c>
      <x:c r="U106" s="8"/>
    </x:row>
    <x:row r="107" ht="34.04999923706055" customHeight="1">
      <x:c r="A107" s="3">
        <x:v>89</x:v>
      </x:c>
      <x:c r="B107" s="3">
        <x:v>87</x:v>
      </x:c>
      <x:c r="C107" s="2" t="s">
        <x:v>28</x:v>
      </x:c>
      <x:c r="D107" s="2" t="s">
        <x:v>35</x:v>
      </x:c>
      <x:c r="E107" s="2" t="s">
        <x:v>413</x:v>
      </x:c>
      <x:c r="F107" s="2" t="s">
        <x:v>417</x:v>
      </x:c>
      <x:c r="G107" s="3" t="s">
        <x:v>1</x:v>
      </x:c>
      <x:c r="H107" s="3" t="s">
        <x:v>19</x:v>
      </x:c>
      <x:c r="I107" s="56">
        <x:v>46198</x:v>
      </x:c>
      <x:c r="J107" s="3" t="s">
        <x:v>418</x:v>
      </x:c>
      <x:c r="K107" s="3">
        <x:v>1</x:v>
      </x:c>
      <x:c r="L107" s="3">
        <x:v>0</x:v>
      </x:c>
      <x:c r="M107" s="3">
        <x:v>0</x:v>
      </x:c>
      <x:c r="N107" s="3">
        <x:v>0</x:v>
      </x:c>
      <x:c r="O107" s="6">
        <x:v>1</x:v>
      </x:c>
      <x:c r="P107" s="4" t="e">
        <x:f>HYPERLINK("https://github.com/kapiltrip/hdlBits/blob/main/study/problems/Day%2003/087-exams__m2014_q4c.md","Note")</x:f>
        <x:v>HYPERLINK is not implemented. linkLocation=https://github.com/kapiltrip/hdlBits/blob/main/study/problems/Day%2003/087-exams__m2014_q4c.md, friendlyName=Note</x:v>
      </x:c>
      <x:c r="Q107" s="4" t="e">
        <x:f>HYPERLINK("https://github.com/kapiltrip/hdlBits/blob/main/study/images/Day%2003/087-exams__m2014_q4c.png","Image")</x:f>
        <x:v>HYPERLINK is not implemented. linkLocation=https://github.com/kapiltrip/hdlBits/blob/main/study/images/Day%2003/087-exams__m2014_q4c.png, friendlyName=Image</x:v>
      </x:c>
      <x:c r="R107" s="4" t="e">
        <x:f>HYPERLINK("https://github.com/kapiltrip/hdlBits/blob/main/study/solutions/Day%2003/087-exams__m2014_q4c.sv","Code")</x:f>
        <x:v>HYPERLINK is not implemented. linkLocation=https://github.com/kapiltrip/hdlBits/blob/main/study/solutions/Day%2003/087-exams__m2014_q4c.sv, friendlyName=Code</x:v>
      </x:c>
      <x:c r="S107" s="4" t="e">
        <x:f>HYPERLINK("https://hdlbits.01xz.net/wiki/exams/m2014_q4c","HDLBits")</x:f>
        <x:v>HYPERLINK is not implemented. linkLocation=https://hdlbits.01xz.net/wiki/exams/m2014_q4c, friendlyName=HDLBits</x:v>
      </x:c>
      <x:c r="T107" s="2" t="s">
        <x:v>419</x:v>
      </x:c>
      <x:c r="U107" s="2"/>
    </x:row>
    <x:row r="108" ht="34.04999923706055" customHeight="1">
      <x:c r="A108" s="7">
        <x:v>90</x:v>
      </x:c>
      <x:c r="B108" s="7">
        <x:v>88</x:v>
      </x:c>
      <x:c r="C108" s="8" t="s">
        <x:v>28</x:v>
      </x:c>
      <x:c r="D108" s="8" t="s">
        <x:v>35</x:v>
      </x:c>
      <x:c r="E108" s="8" t="s">
        <x:v>420</x:v>
      </x:c>
      <x:c r="F108" s="8" t="s">
        <x:v>421</x:v>
      </x:c>
      <x:c r="G108" s="7" t="s">
        <x:v>1</x:v>
      </x:c>
      <x:c r="H108" s="7" t="s">
        <x:v>19</x:v>
      </x:c>
      <x:c r="I108" s="55">
        <x:v>46198</x:v>
      </x:c>
      <x:c r="J108" s="7" t="s">
        <x:v>422</x:v>
      </x:c>
      <x:c r="K108" s="7">
        <x:v>5</x:v>
      </x:c>
      <x:c r="L108" s="7">
        <x:v>3</x:v>
      </x:c>
      <x:c r="M108" s="7">
        <x:v>1</x:v>
      </x:c>
      <x:c r="N108" s="7">
        <x:v>0</x:v>
      </x:c>
      <x:c r="O108" s="10">
        <x:v>0.2</x:v>
      </x:c>
      <x:c r="P108" s="11" t="e">
        <x:f>HYPERLINK("https://github.com/kapiltrip/hdlBits/blob/main/study/problems/Day%2003/088-exams__m2014_q4d.md","Note")</x:f>
        <x:v>HYPERLINK is not implemented. linkLocation=https://github.com/kapiltrip/hdlBits/blob/main/study/problems/Day%2003/088-exams__m2014_q4d.md, friendlyName=Note</x:v>
      </x:c>
      <x:c r="Q108" s="11" t="e">
        <x:f>HYPERLINK("https://github.com/kapiltrip/hdlBits/blob/main/study/images/Day%2003/088-exams__m2014_q4d.png","Image")</x:f>
        <x:v>HYPERLINK is not implemented. linkLocation=https://github.com/kapiltrip/hdlBits/blob/main/study/images/Day%2003/088-exams__m2014_q4d.png, friendlyName=Image</x:v>
      </x:c>
      <x:c r="R108" s="11" t="e">
        <x:f>HYPERLINK("https://github.com/kapiltrip/hdlBits/blob/main/study/solutions/Day%2003/088-exams__m2014_q4d.sv","Code")</x:f>
        <x:v>HYPERLINK is not implemented. linkLocation=https://github.com/kapiltrip/hdlBits/blob/main/study/solutions/Day%2003/088-exams__m2014_q4d.sv, friendlyName=Code</x:v>
      </x:c>
      <x:c r="S108" s="11" t="e">
        <x:f>HYPERLINK("https://hdlbits.01xz.net/wiki/exams/m2014_q4d","HDLBits")</x:f>
        <x:v>HYPERLINK is not implemented. linkLocation=https://hdlbits.01xz.net/wiki/exams/m2014_q4d, friendlyName=HDLBits</x:v>
      </x:c>
      <x:c r="T108" s="8" t="s">
        <x:v>423</x:v>
      </x:c>
      <x:c r="U108" s="8"/>
    </x:row>
    <x:row r="109" ht="34.04999923706055" customHeight="1">
      <x:c r="A109" s="3">
        <x:v>91</x:v>
      </x:c>
      <x:c r="B109" s="3">
        <x:v>89</x:v>
      </x:c>
      <x:c r="C109" s="2" t="s">
        <x:v>28</x:v>
      </x:c>
      <x:c r="D109" s="2" t="s">
        <x:v>35</x:v>
      </x:c>
      <x:c r="E109" s="2" t="s">
        <x:v>424</x:v>
      </x:c>
      <x:c r="F109" s="2" t="s">
        <x:v>425</x:v>
      </x:c>
      <x:c r="G109" s="3" t="s">
        <x:v>1</x:v>
      </x:c>
      <x:c r="H109" s="3" t="s">
        <x:v>21</x:v>
      </x:c>
      <x:c r="I109" s="56">
        <x:v>46199</x:v>
      </x:c>
      <x:c r="J109" s="3" t="s">
        <x:v>426</x:v>
      </x:c>
      <x:c r="K109" s="3">
        <x:v>2</x:v>
      </x:c>
      <x:c r="L109" s="3">
        <x:v>0</x:v>
      </x:c>
      <x:c r="M109" s="3">
        <x:v>1</x:v>
      </x:c>
      <x:c r="N109" s="3">
        <x:v>0</x:v>
      </x:c>
      <x:c r="O109" s="6">
        <x:v>0.5</x:v>
      </x:c>
      <x:c r="P109" s="4" t="e">
        <x:f>HYPERLINK("https://github.com/kapiltrip/hdlBits/blob/main/study/problems/Day%2004/089-mt2015_muxdff.md","Note")</x:f>
        <x:v>HYPERLINK is not implemented. linkLocation=https://github.com/kapiltrip/hdlBits/blob/main/study/problems/Day%2004/089-mt2015_muxdff.md, friendlyName=Note</x:v>
      </x:c>
      <x:c r="Q109" s="4" t="e">
        <x:f>HYPERLINK("https://github.com/kapiltrip/hdlBits/blob/main/study/images/Day%2004/089-mt2015_muxdff.png","Image")</x:f>
        <x:v>HYPERLINK is not implemented. linkLocation=https://github.com/kapiltrip/hdlBits/blob/main/study/images/Day%2004/089-mt2015_muxdff.png, friendlyName=Image</x:v>
      </x:c>
      <x:c r="R109" s="4" t="e">
        <x:f>HYPERLINK("https://github.com/kapiltrip/hdlBits/blob/main/study/solutions/Day%2004/089-mt2015_muxdff.sv","Code")</x:f>
        <x:v>HYPERLINK is not implemented. linkLocation=https://github.com/kapiltrip/hdlBits/blob/main/study/solutions/Day%2004/089-mt2015_muxdff.sv, friendlyName=Code</x:v>
      </x:c>
      <x:c r="S109" s="4" t="e">
        <x:f>HYPERLINK("https://hdlbits.01xz.net/wiki/mt2015_muxdff","HDLBits")</x:f>
        <x:v>HYPERLINK is not implemented. linkLocation=https://hdlbits.01xz.net/wiki/mt2015_muxdff, friendlyName=HDLBits</x:v>
      </x:c>
      <x:c r="T109" s="2" t="s">
        <x:v>427</x:v>
      </x:c>
      <x:c r="U109" s="2"/>
    </x:row>
    <x:row r="110" ht="34.04999923706055" customHeight="1">
      <x:c r="A110" s="7">
        <x:v>92</x:v>
      </x:c>
      <x:c r="B110" s="7">
        <x:v>90</x:v>
      </x:c>
      <x:c r="C110" s="8" t="s">
        <x:v>28</x:v>
      </x:c>
      <x:c r="D110" s="8" t="s">
        <x:v>35</x:v>
      </x:c>
      <x:c r="E110" s="8" t="s">
        <x:v>424</x:v>
      </x:c>
      <x:c r="F110" s="8" t="s">
        <x:v>428</x:v>
      </x:c>
      <x:c r="G110" s="7" t="s">
        <x:v>1</x:v>
      </x:c>
      <x:c r="H110" s="7" t="s">
        <x:v>21</x:v>
      </x:c>
      <x:c r="I110" s="55">
        <x:v>46199</x:v>
      </x:c>
      <x:c r="J110" s="7" t="s">
        <x:v>429</x:v>
      </x:c>
      <x:c r="K110" s="7">
        <x:v>5</x:v>
      </x:c>
      <x:c r="L110" s="7">
        <x:v>4</x:v>
      </x:c>
      <x:c r="M110" s="7">
        <x:v>0</x:v>
      </x:c>
      <x:c r="N110" s="7">
        <x:v>0</x:v>
      </x:c>
      <x:c r="O110" s="10">
        <x:v>0.2</x:v>
      </x:c>
      <x:c r="P110" s="11" t="e">
        <x:f>HYPERLINK("https://github.com/kapiltrip/hdlBits/blob/main/study/problems/Day%2004/090-exams__2014_q4a.md","Note")</x:f>
        <x:v>HYPERLINK is not implemented. linkLocation=https://github.com/kapiltrip/hdlBits/blob/main/study/problems/Day%2004/090-exams__2014_q4a.md, friendlyName=Note</x:v>
      </x:c>
      <x:c r="Q110" s="11" t="e">
        <x:f>HYPERLINK("https://github.com/kapiltrip/hdlBits/blob/main/study/images/Day%2004/090-exams__2014_q4a.png","Image")</x:f>
        <x:v>HYPERLINK is not implemented. linkLocation=https://github.com/kapiltrip/hdlBits/blob/main/study/images/Day%2004/090-exams__2014_q4a.png, friendlyName=Image</x:v>
      </x:c>
      <x:c r="R110" s="11" t="e">
        <x:f>HYPERLINK("https://github.com/kapiltrip/hdlBits/blob/main/study/solutions/Day%2004/090-exams__2014_q4a.sv","Code")</x:f>
        <x:v>HYPERLINK is not implemented. linkLocation=https://github.com/kapiltrip/hdlBits/blob/main/study/solutions/Day%2004/090-exams__2014_q4a.sv, friendlyName=Code</x:v>
      </x:c>
      <x:c r="S110" s="11" t="e">
        <x:f>HYPERLINK("https://hdlbits.01xz.net/wiki/exams/2014_q4a","HDLBits")</x:f>
        <x:v>HYPERLINK is not implemented. linkLocation=https://hdlbits.01xz.net/wiki/exams/2014_q4a, friendlyName=HDLBits</x:v>
      </x:c>
      <x:c r="T110" s="8" t="s">
        <x:v>430</x:v>
      </x:c>
      <x:c r="U110" s="8"/>
    </x:row>
    <x:row r="111" ht="34.04999923706055" customHeight="1">
      <x:c r="A111" s="3">
        <x:v>93</x:v>
      </x:c>
      <x:c r="B111" s="3">
        <x:v>91</x:v>
      </x:c>
      <x:c r="C111" s="2" t="s">
        <x:v>28</x:v>
      </x:c>
      <x:c r="D111" s="2" t="s">
        <x:v>35</x:v>
      </x:c>
      <x:c r="E111" s="2" t="s">
        <x:v>431</x:v>
      </x:c>
      <x:c r="F111" s="2" t="s">
        <x:v>432</x:v>
      </x:c>
      <x:c r="G111" s="3" t="s">
        <x:v>1</x:v>
      </x:c>
      <x:c r="H111" s="3" t="s">
        <x:v>21</x:v>
      </x:c>
      <x:c r="I111" s="56">
        <x:v>46199</x:v>
      </x:c>
      <x:c r="J111" s="3" t="s">
        <x:v>433</x:v>
      </x:c>
      <x:c r="K111" s="3">
        <x:v>3</x:v>
      </x:c>
      <x:c r="L111" s="3">
        <x:v>0</x:v>
      </x:c>
      <x:c r="M111" s="3">
        <x:v>2</x:v>
      </x:c>
      <x:c r="N111" s="3">
        <x:v>0</x:v>
      </x:c>
      <x:c r="O111" s="6">
        <x:v>0.33</x:v>
      </x:c>
      <x:c r="P111" s="4" t="e">
        <x:f>HYPERLINK("https://github.com/kapiltrip/hdlBits/blob/main/study/problems/Day%2004/091-exams__ece241_2014_q4.md","Note")</x:f>
        <x:v>HYPERLINK is not implemented. linkLocation=https://github.com/kapiltrip/hdlBits/blob/main/study/problems/Day%2004/091-exams__ece241_2014_q4.md, friendlyName=Note</x:v>
      </x:c>
      <x:c r="Q111" s="4" t="e">
        <x:f>HYPERLINK("https://github.com/kapiltrip/hdlBits/blob/main/study/images/Day%2004/091-exams__ece241_2014_q4.png","Image")</x:f>
        <x:v>HYPERLINK is not implemented. linkLocation=https://github.com/kapiltrip/hdlBits/blob/main/study/images/Day%2004/091-exams__ece241_2014_q4.png, friendlyName=Image</x:v>
      </x:c>
      <x:c r="R111" s="4" t="e">
        <x:f>HYPERLINK("https://github.com/kapiltrip/hdlBits/blob/main/study/solutions/Day%2004/091-exams__ece241_2014_q4.sv","Code")</x:f>
        <x:v>HYPERLINK is not implemented. linkLocation=https://github.com/kapiltrip/hdlBits/blob/main/study/solutions/Day%2004/091-exams__ece241_2014_q4.sv, friendlyName=Code</x:v>
      </x:c>
      <x:c r="S111" s="4" t="e">
        <x:f>HYPERLINK("https://hdlbits.01xz.net/wiki/exams/ece241_2014_q4","HDLBits")</x:f>
        <x:v>HYPERLINK is not implemented. linkLocation=https://hdlbits.01xz.net/wiki/exams/ece241_2014_q4, friendlyName=HDLBits</x:v>
      </x:c>
      <x:c r="T111" s="2" t="s">
        <x:v>434</x:v>
      </x:c>
      <x:c r="U111" s="2"/>
    </x:row>
    <x:row r="112" ht="34.04999923706055" customHeight="1">
      <x:c r="A112" s="7">
        <x:v>94</x:v>
      </x:c>
      <x:c r="B112" s="7">
        <x:v>92</x:v>
      </x:c>
      <x:c r="C112" s="8" t="s">
        <x:v>28</x:v>
      </x:c>
      <x:c r="D112" s="8" t="s">
        <x:v>35</x:v>
      </x:c>
      <x:c r="E112" s="8" t="s">
        <x:v>435</x:v>
      </x:c>
      <x:c r="F112" s="8" t="s">
        <x:v>436</x:v>
      </x:c>
      <x:c r="G112" s="7" t="s">
        <x:v>1</x:v>
      </x:c>
      <x:c r="H112" s="7" t="s">
        <x:v>21</x:v>
      </x:c>
      <x:c r="I112" s="55">
        <x:v>46199</x:v>
      </x:c>
      <x:c r="J112" s="7" t="s">
        <x:v>437</x:v>
      </x:c>
      <x:c r="K112" s="7">
        <x:v>1</x:v>
      </x:c>
      <x:c r="L112" s="7">
        <x:v>0</x:v>
      </x:c>
      <x:c r="M112" s="7">
        <x:v>0</x:v>
      </x:c>
      <x:c r="N112" s="7">
        <x:v>0</x:v>
      </x:c>
      <x:c r="O112" s="10">
        <x:v>1</x:v>
      </x:c>
      <x:c r="P112" s="11" t="e">
        <x:f>HYPERLINK("https://github.com/kapiltrip/hdlBits/blob/main/study/problems/Day%2004/092-exams__ece241_2013_q7.md","Note")</x:f>
        <x:v>HYPERLINK is not implemented. linkLocation=https://github.com/kapiltrip/hdlBits/blob/main/study/problems/Day%2004/092-exams__ece241_2013_q7.md, friendlyName=Note</x:v>
      </x:c>
      <x:c r="Q112" s="11" t="e">
        <x:f>HYPERLINK("https://github.com/kapiltrip/hdlBits/blob/main/study/images/Day%2004/092-exams__ece241_2013_q7.png","Image")</x:f>
        <x:v>HYPERLINK is not implemented. linkLocation=https://github.com/kapiltrip/hdlBits/blob/main/study/images/Day%2004/092-exams__ece241_2013_q7.png, friendlyName=Image</x:v>
      </x:c>
      <x:c r="R112" s="11" t="e">
        <x:f>HYPERLINK("https://github.com/kapiltrip/hdlBits/blob/main/study/solutions/Day%2004/092-exams__ece241_2013_q7.sv","Code")</x:f>
        <x:v>HYPERLINK is not implemented. linkLocation=https://github.com/kapiltrip/hdlBits/blob/main/study/solutions/Day%2004/092-exams__ece241_2013_q7.sv, friendlyName=Code</x:v>
      </x:c>
      <x:c r="S112" s="11" t="e">
        <x:f>HYPERLINK("https://hdlbits.01xz.net/wiki/exams/ece241_2013_q7","HDLBits")</x:f>
        <x:v>HYPERLINK is not implemented. linkLocation=https://hdlbits.01xz.net/wiki/exams/ece241_2013_q7, friendlyName=HDLBits</x:v>
      </x:c>
      <x:c r="T112" s="8" t="s">
        <x:v>438</x:v>
      </x:c>
      <x:c r="U112" s="8"/>
    </x:row>
    <x:row r="113" ht="34.04999923706055" customHeight="1">
      <x:c r="A113" s="3">
        <x:v>95</x:v>
      </x:c>
      <x:c r="B113" s="3">
        <x:v>93</x:v>
      </x:c>
      <x:c r="C113" s="2" t="s">
        <x:v>28</x:v>
      </x:c>
      <x:c r="D113" s="2" t="s">
        <x:v>35</x:v>
      </x:c>
      <x:c r="E113" s="2" t="s">
        <x:v>439</x:v>
      </x:c>
      <x:c r="F113" s="2" t="s">
        <x:v>440</x:v>
      </x:c>
      <x:c r="G113" s="3" t="s">
        <x:v>1</x:v>
      </x:c>
      <x:c r="H113" s="3" t="s">
        <x:v>21</x:v>
      </x:c>
      <x:c r="I113" s="56">
        <x:v>46199</x:v>
      </x:c>
      <x:c r="J113" s="3" t="s">
        <x:v>441</x:v>
      </x:c>
      <x:c r="K113" s="3">
        <x:v>1</x:v>
      </x:c>
      <x:c r="L113" s="3">
        <x:v>0</x:v>
      </x:c>
      <x:c r="M113" s="3">
        <x:v>0</x:v>
      </x:c>
      <x:c r="N113" s="3">
        <x:v>0</x:v>
      </x:c>
      <x:c r="O113" s="6">
        <x:v>1</x:v>
      </x:c>
      <x:c r="P113" s="4" t="e">
        <x:f>HYPERLINK("https://github.com/kapiltrip/hdlBits/blob/main/study/problems/Day%2004/093-edgedetect.md","Note")</x:f>
        <x:v>HYPERLINK is not implemented. linkLocation=https://github.com/kapiltrip/hdlBits/blob/main/study/problems/Day%2004/093-edgedetect.md, friendlyName=Note</x:v>
      </x:c>
      <x:c r="Q113" s="4" t="e">
        <x:f>HYPERLINK("https://github.com/kapiltrip/hdlBits/blob/main/study/images/Day%2004/093-edgedetect.png","Image")</x:f>
        <x:v>HYPERLINK is not implemented. linkLocation=https://github.com/kapiltrip/hdlBits/blob/main/study/images/Day%2004/093-edgedetect.png, friendlyName=Image</x:v>
      </x:c>
      <x:c r="R113" s="4" t="e">
        <x:f>HYPERLINK("https://github.com/kapiltrip/hdlBits/blob/main/study/solutions/Day%2004/093-edgedetect.sv","Code")</x:f>
        <x:v>HYPERLINK is not implemented. linkLocation=https://github.com/kapiltrip/hdlBits/blob/main/study/solutions/Day%2004/093-edgedetect.sv, friendlyName=Code</x:v>
      </x:c>
      <x:c r="S113" s="4" t="e">
        <x:f>HYPERLINK("https://hdlbits.01xz.net/wiki/edgedetect","HDLBits")</x:f>
        <x:v>HYPERLINK is not implemented. linkLocation=https://hdlbits.01xz.net/wiki/edgedetect, friendlyName=HDLBits</x:v>
      </x:c>
      <x:c r="T113" s="2" t="s">
        <x:v>442</x:v>
      </x:c>
      <x:c r="U113" s="2"/>
    </x:row>
    <x:row r="114" ht="34.04999923706055" customHeight="1">
      <x:c r="A114" s="7">
        <x:v>96</x:v>
      </x:c>
      <x:c r="B114" s="7">
        <x:v>94</x:v>
      </x:c>
      <x:c r="C114" s="8" t="s">
        <x:v>28</x:v>
      </x:c>
      <x:c r="D114" s="8" t="s">
        <x:v>35</x:v>
      </x:c>
      <x:c r="E114" s="8" t="s">
        <x:v>443</x:v>
      </x:c>
      <x:c r="F114" s="8" t="s">
        <x:v>444</x:v>
      </x:c>
      <x:c r="G114" s="7" t="s">
        <x:v>1</x:v>
      </x:c>
      <x:c r="H114" s="7" t="s">
        <x:v>21</x:v>
      </x:c>
      <x:c r="I114" s="55">
        <x:v>46199</x:v>
      </x:c>
      <x:c r="J114" s="7" t="s">
        <x:v>445</x:v>
      </x:c>
      <x:c r="K114" s="7">
        <x:v>1</x:v>
      </x:c>
      <x:c r="L114" s="7">
        <x:v>0</x:v>
      </x:c>
      <x:c r="M114" s="7">
        <x:v>0</x:v>
      </x:c>
      <x:c r="N114" s="7">
        <x:v>0</x:v>
      </x:c>
      <x:c r="O114" s="10">
        <x:v>1</x:v>
      </x:c>
      <x:c r="P114" s="11" t="e">
        <x:f>HYPERLINK("https://github.com/kapiltrip/hdlBits/blob/main/study/problems/Day%2004/094-edgedetect2.md","Note")</x:f>
        <x:v>HYPERLINK is not implemented. linkLocation=https://github.com/kapiltrip/hdlBits/blob/main/study/problems/Day%2004/094-edgedetect2.md, friendlyName=Note</x:v>
      </x:c>
      <x:c r="Q114" s="11" t="e">
        <x:f>HYPERLINK("https://github.com/kapiltrip/hdlBits/blob/main/study/images/Day%2004/094-edgedetect2.png","Image")</x:f>
        <x:v>HYPERLINK is not implemented. linkLocation=https://github.com/kapiltrip/hdlBits/blob/main/study/images/Day%2004/094-edgedetect2.png, friendlyName=Image</x:v>
      </x:c>
      <x:c r="R114" s="11" t="e">
        <x:f>HYPERLINK("https://github.com/kapiltrip/hdlBits/blob/main/study/solutions/Day%2004/094-edgedetect2.sv","Code")</x:f>
        <x:v>HYPERLINK is not implemented. linkLocation=https://github.com/kapiltrip/hdlBits/blob/main/study/solutions/Day%2004/094-edgedetect2.sv, friendlyName=Code</x:v>
      </x:c>
      <x:c r="S114" s="11" t="e">
        <x:f>HYPERLINK("https://hdlbits.01xz.net/wiki/edgedetect2","HDLBits")</x:f>
        <x:v>HYPERLINK is not implemented. linkLocation=https://hdlbits.01xz.net/wiki/edgedetect2, friendlyName=HDLBits</x:v>
      </x:c>
      <x:c r="T114" s="8" t="s">
        <x:v>446</x:v>
      </x:c>
      <x:c r="U114" s="8"/>
    </x:row>
    <x:row r="115" ht="34.04999923706055" customHeight="1">
      <x:c r="A115" s="3">
        <x:v>97</x:v>
      </x:c>
      <x:c r="B115" s="3">
        <x:v>95</x:v>
      </x:c>
      <x:c r="C115" s="2" t="s">
        <x:v>28</x:v>
      </x:c>
      <x:c r="D115" s="2" t="s">
        <x:v>35</x:v>
      </x:c>
      <x:c r="E115" s="2" t="s">
        <x:v>447</x:v>
      </x:c>
      <x:c r="F115" s="2" t="s">
        <x:v>448</x:v>
      </x:c>
      <x:c r="G115" s="3" t="s">
        <x:v>1</x:v>
      </x:c>
      <x:c r="H115" s="3" t="s">
        <x:v>21</x:v>
      </x:c>
      <x:c r="I115" s="56">
        <x:v>46199</x:v>
      </x:c>
      <x:c r="J115" s="3" t="s">
        <x:v>449</x:v>
      </x:c>
      <x:c r="K115" s="3">
        <x:v>7</x:v>
      </x:c>
      <x:c r="L115" s="3">
        <x:v>5</x:v>
      </x:c>
      <x:c r="M115" s="3">
        <x:v>1</x:v>
      </x:c>
      <x:c r="N115" s="3">
        <x:v>0</x:v>
      </x:c>
      <x:c r="O115" s="6">
        <x:v>0.14000000000000001</x:v>
      </x:c>
      <x:c r="P115" s="4" t="e">
        <x:f>HYPERLINK("https://github.com/kapiltrip/hdlBits/blob/main/study/problems/Day%2004/095-edgecapture.md","Note")</x:f>
        <x:v>HYPERLINK is not implemented. linkLocation=https://github.com/kapiltrip/hdlBits/blob/main/study/problems/Day%2004/095-edgecapture.md, friendlyName=Note</x:v>
      </x:c>
      <x:c r="Q115" s="4" t="e">
        <x:f>HYPERLINK("https://github.com/kapiltrip/hdlBits/blob/main/study/images/Day%2004/095-edgecapture.png","Image")</x:f>
        <x:v>HYPERLINK is not implemented. linkLocation=https://github.com/kapiltrip/hdlBits/blob/main/study/images/Day%2004/095-edgecapture.png, friendlyName=Image</x:v>
      </x:c>
      <x:c r="R115" s="4" t="e">
        <x:f>HYPERLINK("https://github.com/kapiltrip/hdlBits/blob/main/study/solutions/Day%2004/095-edgecapture.sv","Code")</x:f>
        <x:v>HYPERLINK is not implemented. linkLocation=https://github.com/kapiltrip/hdlBits/blob/main/study/solutions/Day%2004/095-edgecapture.sv, friendlyName=Code</x:v>
      </x:c>
      <x:c r="S115" s="4" t="e">
        <x:f>HYPERLINK("https://hdlbits.01xz.net/wiki/edgecapture","HDLBits")</x:f>
        <x:v>HYPERLINK is not implemented. linkLocation=https://hdlbits.01xz.net/wiki/edgecapture, friendlyName=HDLBits</x:v>
      </x:c>
      <x:c r="T115" s="2" t="s">
        <x:v>450</x:v>
      </x:c>
      <x:c r="U115" s="2"/>
    </x:row>
    <x:row r="116" ht="34.04999923706055" customHeight="1">
      <x:c r="A116" s="7">
        <x:v>98</x:v>
      </x:c>
      <x:c r="B116" s="7">
        <x:v>96</x:v>
      </x:c>
      <x:c r="C116" s="8" t="s">
        <x:v>28</x:v>
      </x:c>
      <x:c r="D116" s="8" t="s">
        <x:v>35</x:v>
      </x:c>
      <x:c r="E116" s="8" t="s">
        <x:v>451</x:v>
      </x:c>
      <x:c r="F116" s="8" t="s">
        <x:v>452</x:v>
      </x:c>
      <x:c r="G116" s="7" t="s">
        <x:v>1</x:v>
      </x:c>
      <x:c r="H116" s="7" t="s">
        <x:v>21</x:v>
      </x:c>
      <x:c r="I116" s="55">
        <x:v>46199</x:v>
      </x:c>
      <x:c r="J116" s="7" t="s">
        <x:v>453</x:v>
      </x:c>
      <x:c r="K116" s="7">
        <x:v>7</x:v>
      </x:c>
      <x:c r="L116" s="7">
        <x:v>4</x:v>
      </x:c>
      <x:c r="M116" s="7">
        <x:v>2</x:v>
      </x:c>
      <x:c r="N116" s="7">
        <x:v>0</x:v>
      </x:c>
      <x:c r="O116" s="10">
        <x:v>0.14000000000000001</x:v>
      </x:c>
      <x:c r="P116" s="11" t="e">
        <x:f>HYPERLINK("https://github.com/kapiltrip/hdlBits/blob/main/study/problems/Day%2004/096-dualedge.md","Note")</x:f>
        <x:v>HYPERLINK is not implemented. linkLocation=https://github.com/kapiltrip/hdlBits/blob/main/study/problems/Day%2004/096-dualedge.md, friendlyName=Note</x:v>
      </x:c>
      <x:c r="Q116" s="11" t="e">
        <x:f>HYPERLINK("https://github.com/kapiltrip/hdlBits/blob/main/study/images/Day%2004/096-dualedge.png","Image")</x:f>
        <x:v>HYPERLINK is not implemented. linkLocation=https://github.com/kapiltrip/hdlBits/blob/main/study/images/Day%2004/096-dualedge.png, friendlyName=Image</x:v>
      </x:c>
      <x:c r="R116" s="11" t="e">
        <x:f>HYPERLINK("https://github.com/kapiltrip/hdlBits/blob/main/study/solutions/Day%2004/096-dualedge.sv","Code")</x:f>
        <x:v>HYPERLINK is not implemented. linkLocation=https://github.com/kapiltrip/hdlBits/blob/main/study/solutions/Day%2004/096-dualedge.sv, friendlyName=Code</x:v>
      </x:c>
      <x:c r="S116" s="11" t="e">
        <x:f>HYPERLINK("https://hdlbits.01xz.net/wiki/dualedge","HDLBits")</x:f>
        <x:v>HYPERLINK is not implemented. linkLocation=https://hdlbits.01xz.net/wiki/dualedge, friendlyName=HDLBits</x:v>
      </x:c>
      <x:c r="T116" s="8" t="s">
        <x:v>454</x:v>
      </x:c>
      <x:c r="U116" s="8"/>
    </x:row>
    <x:row r="117" ht="22.049999237060547" customHeight="1">
      <x:c r="A117" s="44" t="s">
        <x:v>455</x:v>
      </x:c>
      <x:c r="B117" s="44"/>
      <x:c r="C117" s="44"/>
      <x:c r="D117" s="44"/>
      <x:c r="E117" s="44"/>
      <x:c r="F117" s="44"/>
      <x:c r="G117" s="44"/>
      <x:c r="H117" s="44"/>
      <x:c r="I117" s="60"/>
      <x:c r="J117" s="44"/>
      <x:c r="K117" s="44"/>
      <x:c r="L117" s="44"/>
      <x:c r="M117" s="44"/>
      <x:c r="N117" s="44"/>
      <x:c r="O117" s="46"/>
      <x:c r="P117" s="44"/>
      <x:c r="Q117" s="44"/>
      <x:c r="R117" s="44"/>
      <x:c r="S117" s="44"/>
      <x:c r="T117" s="44"/>
      <x:c r="U117" s="44"/>
    </x:row>
    <x:row r="118" ht="34.04999923706055" customHeight="1">
      <x:c r="A118" s="3">
        <x:v>99</x:v>
      </x:c>
      <x:c r="B118" s="3">
        <x:v>97</x:v>
      </x:c>
      <x:c r="C118" s="2" t="s">
        <x:v>28</x:v>
      </x:c>
      <x:c r="D118" s="2" t="s">
        <x:v>36</x:v>
      </x:c>
      <x:c r="E118" s="2" t="s">
        <x:v>456</x:v>
      </x:c>
      <x:c r="F118" s="2" t="s">
        <x:v>457</x:v>
      </x:c>
      <x:c r="G118" s="3" t="s">
        <x:v>1</x:v>
      </x:c>
      <x:c r="H118" s="3" t="s">
        <x:v>21</x:v>
      </x:c>
      <x:c r="I118" s="56">
        <x:v>46199</x:v>
      </x:c>
      <x:c r="J118" s="3" t="s">
        <x:v>458</x:v>
      </x:c>
      <x:c r="K118" s="3">
        <x:v>5</x:v>
      </x:c>
      <x:c r="L118" s="3">
        <x:v>4</x:v>
      </x:c>
      <x:c r="M118" s="3">
        <x:v>0</x:v>
      </x:c>
      <x:c r="N118" s="3">
        <x:v>0</x:v>
      </x:c>
      <x:c r="O118" s="6">
        <x:v>0.2</x:v>
      </x:c>
      <x:c r="P118" s="4" t="e">
        <x:f>HYPERLINK("https://github.com/kapiltrip/hdlBits/blob/main/study/problems/Day%2004/097-count15.md","Note")</x:f>
        <x:v>HYPERLINK is not implemented. linkLocation=https://github.com/kapiltrip/hdlBits/blob/main/study/problems/Day%2004/097-count15.md, friendlyName=Note</x:v>
      </x:c>
      <x:c r="Q118" s="4" t="e">
        <x:f>HYPERLINK("https://github.com/kapiltrip/hdlBits/blob/main/study/images/Day%2004/097-count15.png","Image")</x:f>
        <x:v>HYPERLINK is not implemented. linkLocation=https://github.com/kapiltrip/hdlBits/blob/main/study/images/Day%2004/097-count15.png, friendlyName=Image</x:v>
      </x:c>
      <x:c r="R118" s="4" t="e">
        <x:f>HYPERLINK("https://github.com/kapiltrip/hdlBits/blob/main/study/solutions/Day%2004/097-count15.sv","Code")</x:f>
        <x:v>HYPERLINK is not implemented. linkLocation=https://github.com/kapiltrip/hdlBits/blob/main/study/solutions/Day%2004/097-count15.sv, friendlyName=Code</x:v>
      </x:c>
      <x:c r="S118" s="4" t="e">
        <x:f>HYPERLINK("https://hdlbits.01xz.net/wiki/count15","HDLBits")</x:f>
        <x:v>HYPERLINK is not implemented. linkLocation=https://hdlbits.01xz.net/wiki/count15, friendlyName=HDLBits</x:v>
      </x:c>
      <x:c r="T118" s="2" t="s">
        <x:v>459</x:v>
      </x:c>
      <x:c r="U118" s="2"/>
    </x:row>
    <x:row r="119" ht="34.04999923706055" customHeight="1">
      <x:c r="A119" s="7">
        <x:v>100</x:v>
      </x:c>
      <x:c r="B119" s="7">
        <x:v>98</x:v>
      </x:c>
      <x:c r="C119" s="8" t="s">
        <x:v>28</x:v>
      </x:c>
      <x:c r="D119" s="8" t="s">
        <x:v>36</x:v>
      </x:c>
      <x:c r="E119" s="8" t="s">
        <x:v>460</x:v>
      </x:c>
      <x:c r="F119" s="8" t="s">
        <x:v>461</x:v>
      </x:c>
      <x:c r="G119" s="7" t="s">
        <x:v>1</x:v>
      </x:c>
      <x:c r="H119" s="7" t="s">
        <x:v>21</x:v>
      </x:c>
      <x:c r="I119" s="55">
        <x:v>46199</x:v>
      </x:c>
      <x:c r="J119" s="7" t="s">
        <x:v>462</x:v>
      </x:c>
      <x:c r="K119" s="7">
        <x:v>3</x:v>
      </x:c>
      <x:c r="L119" s="7">
        <x:v>2</x:v>
      </x:c>
      <x:c r="M119" s="7">
        <x:v>0</x:v>
      </x:c>
      <x:c r="N119" s="7">
        <x:v>0</x:v>
      </x:c>
      <x:c r="O119" s="10">
        <x:v>0.33</x:v>
      </x:c>
      <x:c r="P119" s="11" t="e">
        <x:f>HYPERLINK("https://github.com/kapiltrip/hdlBits/blob/main/study/problems/Day%2004/098-count10.md","Note")</x:f>
        <x:v>HYPERLINK is not implemented. linkLocation=https://github.com/kapiltrip/hdlBits/blob/main/study/problems/Day%2004/098-count10.md, friendlyName=Note</x:v>
      </x:c>
      <x:c r="Q119" s="11" t="e">
        <x:f>HYPERLINK("https://github.com/kapiltrip/hdlBits/blob/main/study/images/Day%2004/098-count10.png","Image")</x:f>
        <x:v>HYPERLINK is not implemented. linkLocation=https://github.com/kapiltrip/hdlBits/blob/main/study/images/Day%2004/098-count10.png, friendlyName=Image</x:v>
      </x:c>
      <x:c r="R119" s="11" t="e">
        <x:f>HYPERLINK("https://github.com/kapiltrip/hdlBits/blob/main/study/solutions/Day%2004/098-count10.sv","Code")</x:f>
        <x:v>HYPERLINK is not implemented. linkLocation=https://github.com/kapiltrip/hdlBits/blob/main/study/solutions/Day%2004/098-count10.sv, friendlyName=Code</x:v>
      </x:c>
      <x:c r="S119" s="11" t="e">
        <x:f>HYPERLINK("https://hdlbits.01xz.net/wiki/count10","HDLBits")</x:f>
        <x:v>HYPERLINK is not implemented. linkLocation=https://hdlbits.01xz.net/wiki/count10, friendlyName=HDLBits</x:v>
      </x:c>
      <x:c r="T119" s="8" t="s">
        <x:v>463</x:v>
      </x:c>
      <x:c r="U119" s="8"/>
    </x:row>
    <x:row r="120" ht="34.04999923706055" customHeight="1">
      <x:c r="A120" s="3">
        <x:v>101</x:v>
      </x:c>
      <x:c r="B120" s="3">
        <x:v>99</x:v>
      </x:c>
      <x:c r="C120" s="2" t="s">
        <x:v>28</x:v>
      </x:c>
      <x:c r="D120" s="2" t="s">
        <x:v>36</x:v>
      </x:c>
      <x:c r="E120" s="2" t="s">
        <x:v>464</x:v>
      </x:c>
      <x:c r="F120" s="2" t="s">
        <x:v>465</x:v>
      </x:c>
      <x:c r="G120" s="3" t="s">
        <x:v>1</x:v>
      </x:c>
      <x:c r="H120" s="3" t="s">
        <x:v>21</x:v>
      </x:c>
      <x:c r="I120" s="56">
        <x:v>46199</x:v>
      </x:c>
      <x:c r="J120" s="3" t="s">
        <x:v>466</x:v>
      </x:c>
      <x:c r="K120" s="3">
        <x:v>3</x:v>
      </x:c>
      <x:c r="L120" s="3">
        <x:v>1</x:v>
      </x:c>
      <x:c r="M120" s="3">
        <x:v>1</x:v>
      </x:c>
      <x:c r="N120" s="3">
        <x:v>0</x:v>
      </x:c>
      <x:c r="O120" s="6">
        <x:v>0.33</x:v>
      </x:c>
      <x:c r="P120" s="4" t="e">
        <x:f>HYPERLINK("https://github.com/kapiltrip/hdlBits/blob/main/study/problems/Day%2004/099-count1to10.md","Note")</x:f>
        <x:v>HYPERLINK is not implemented. linkLocation=https://github.com/kapiltrip/hdlBits/blob/main/study/problems/Day%2004/099-count1to10.md, friendlyName=Note</x:v>
      </x:c>
      <x:c r="Q120" s="4" t="e">
        <x:f>HYPERLINK("https://github.com/kapiltrip/hdlBits/blob/main/study/images/Day%2004/099-count1to10.png","Image")</x:f>
        <x:v>HYPERLINK is not implemented. linkLocation=https://github.com/kapiltrip/hdlBits/blob/main/study/images/Day%2004/099-count1to10.png, friendlyName=Image</x:v>
      </x:c>
      <x:c r="R120" s="4" t="e">
        <x:f>HYPERLINK("https://github.com/kapiltrip/hdlBits/blob/main/study/solutions/Day%2004/099-count1to10.sv","Code")</x:f>
        <x:v>HYPERLINK is not implemented. linkLocation=https://github.com/kapiltrip/hdlBits/blob/main/study/solutions/Day%2004/099-count1to10.sv, friendlyName=Code</x:v>
      </x:c>
      <x:c r="S120" s="4" t="e">
        <x:f>HYPERLINK("https://hdlbits.01xz.net/wiki/count1to10","HDLBits")</x:f>
        <x:v>HYPERLINK is not implemented. linkLocation=https://hdlbits.01xz.net/wiki/count1to10, friendlyName=HDLBits</x:v>
      </x:c>
      <x:c r="T120" s="2" t="s">
        <x:v>467</x:v>
      </x:c>
      <x:c r="U120" s="2"/>
    </x:row>
    <x:row r="121" ht="34.04999923706055" customHeight="1">
      <x:c r="A121" s="7">
        <x:v>102</x:v>
      </x:c>
      <x:c r="B121" s="7">
        <x:v>100</x:v>
      </x:c>
      <x:c r="C121" s="8" t="s">
        <x:v>28</x:v>
      </x:c>
      <x:c r="D121" s="8" t="s">
        <x:v>36</x:v>
      </x:c>
      <x:c r="E121" s="8" t="s">
        <x:v>468</x:v>
      </x:c>
      <x:c r="F121" s="8" t="s">
        <x:v>469</x:v>
      </x:c>
      <x:c r="G121" s="7" t="s">
        <x:v>1</x:v>
      </x:c>
      <x:c r="H121" s="7" t="s">
        <x:v>21</x:v>
      </x:c>
      <x:c r="I121" s="55">
        <x:v>46199</x:v>
      </x:c>
      <x:c r="J121" s="7" t="s">
        <x:v>470</x:v>
      </x:c>
      <x:c r="K121" s="7">
        <x:v>3</x:v>
      </x:c>
      <x:c r="L121" s="7">
        <x:v>1</x:v>
      </x:c>
      <x:c r="M121" s="7">
        <x:v>0</x:v>
      </x:c>
      <x:c r="N121" s="7">
        <x:v>0</x:v>
      </x:c>
      <x:c r="O121" s="10">
        <x:v>0.67</x:v>
      </x:c>
      <x:c r="P121" s="11" t="e">
        <x:f>HYPERLINK("https://github.com/kapiltrip/hdlBits/blob/main/study/problems/Day%2004/100-countslow.md","Note")</x:f>
        <x:v>HYPERLINK is not implemented. linkLocation=https://github.com/kapiltrip/hdlBits/blob/main/study/problems/Day%2004/100-countslow.md, friendlyName=Note</x:v>
      </x:c>
      <x:c r="Q121" s="11" t="e">
        <x:f>HYPERLINK("https://github.com/kapiltrip/hdlBits/blob/main/study/images/Day%2004/100-countslow.png","Image")</x:f>
        <x:v>HYPERLINK is not implemented. linkLocation=https://github.com/kapiltrip/hdlBits/blob/main/study/images/Day%2004/100-countslow.png, friendlyName=Image</x:v>
      </x:c>
      <x:c r="R121" s="11" t="e">
        <x:f>HYPERLINK("https://github.com/kapiltrip/hdlBits/blob/main/study/solutions/Day%2004/100-countslow.sv","Code")</x:f>
        <x:v>HYPERLINK is not implemented. linkLocation=https://github.com/kapiltrip/hdlBits/blob/main/study/solutions/Day%2004/100-countslow.sv, friendlyName=Code</x:v>
      </x:c>
      <x:c r="S121" s="11" t="e">
        <x:f>HYPERLINK("https://hdlbits.01xz.net/wiki/countslow","HDLBits")</x:f>
        <x:v>HYPERLINK is not implemented. linkLocation=https://hdlbits.01xz.net/wiki/countslow, friendlyName=HDLBits</x:v>
      </x:c>
      <x:c r="T121" s="8" t="s">
        <x:v>471</x:v>
      </x:c>
      <x:c r="U121" s="8"/>
    </x:row>
    <x:row r="122" ht="34.04999923706055" customHeight="1">
      <x:c r="A122" s="3">
        <x:v>103</x:v>
      </x:c>
      <x:c r="B122" s="3">
        <x:v>143</x:v>
      </x:c>
      <x:c r="C122" s="2" t="s">
        <x:v>28</x:v>
      </x:c>
      <x:c r="D122" s="2" t="s">
        <x:v>36</x:v>
      </x:c>
      <x:c r="E122" s="2" t="s">
        <x:v>472</x:v>
      </x:c>
      <x:c r="F122" s="2" t="s">
        <x:v>473</x:v>
      </x:c>
      <x:c r="G122" s="3" t="s">
        <x:v>1</x:v>
      </x:c>
      <x:c r="H122" s="3" t="s">
        <x:v>30</x:v>
      </x:c>
      <x:c r="I122" s="56">
        <x:v>46203</x:v>
      </x:c>
      <x:c r="J122" s="48">
        <x:v>0.69167824074074069</x:v>
      </x:c>
      <x:c r="K122" s="3">
        <x:v>4</x:v>
      </x:c>
      <x:c r="L122" s="3">
        <x:v>2</x:v>
      </x:c>
      <x:c r="M122" s="3">
        <x:v>1</x:v>
      </x:c>
      <x:c r="N122" s="3">
        <x:v>0</x:v>
      </x:c>
      <x:c r="O122" s="6">
        <x:v>0.25</x:v>
      </x:c>
      <x:c r="P122" s="49" t="e">
        <x:f>HYPERLINK("https://github.com/kapiltrip/hdlBits/blob/main/study/problems/Day%2008/143-exams__ece241_2014_q7a.md","Note")</x:f>
        <x:v>HYPERLINK is not implemented. linkLocation=https://github.com/kapiltrip/hdlBits/blob/main/study/problems/Day%2008/143-exams__ece241_2014_q7a.md, friendlyName=Note</x:v>
      </x:c>
      <x:c r="Q122" s="49" t="e">
        <x:f>HYPERLINK("https://github.com/kapiltrip/hdlBits/blob/main/study/images/Day%2008/143-exams__ece241_2014_q7a.png","Image")</x:f>
        <x:v>HYPERLINK is not implemented. linkLocation=https://github.com/kapiltrip/hdlBits/blob/main/study/images/Day%2008/143-exams__ece241_2014_q7a.png, friendlyName=Image</x:v>
      </x:c>
      <x:c r="R122" s="49" t="e">
        <x:f>HYPERLINK("https://github.com/kapiltrip/hdlBits/blob/main/study/solutions/Day%2008/143-exams__ece241_2014_q7a.sv","Code")</x:f>
        <x:v>HYPERLINK is not implemented. linkLocation=https://github.com/kapiltrip/hdlBits/blob/main/study/solutions/Day%2008/143-exams__ece241_2014_q7a.sv, friendlyName=Code</x:v>
      </x:c>
      <x:c r="S122" s="49" t="e">
        <x:f>HYPERLINK("https://hdlbits.01xz.net/wiki/exams/ece241_2014_q7a","HDLBits")</x:f>
        <x:v>HYPERLINK is not implemented. linkLocation=https://hdlbits.01xz.net/wiki/exams/ece241_2014_q7a, friendlyName=HDLBits</x:v>
      </x:c>
      <x:c r="T122" s="2" t="s">
        <x:v>474</x:v>
      </x:c>
      <x:c r="U122" s="2"/>
    </x:row>
    <x:row r="123" ht="34.04999923706055" customHeight="1">
      <x:c r="A123" s="7">
        <x:v>104</x:v>
      </x:c>
      <x:c r="B123" s="7">
        <x:v>144</x:v>
      </x:c>
      <x:c r="C123" s="8" t="s">
        <x:v>28</x:v>
      </x:c>
      <x:c r="D123" s="8" t="s">
        <x:v>36</x:v>
      </x:c>
      <x:c r="E123" s="8" t="s">
        <x:v>475</x:v>
      </x:c>
      <x:c r="F123" s="8" t="s">
        <x:v>476</x:v>
      </x:c>
      <x:c r="G123" s="7" t="s">
        <x:v>1</x:v>
      </x:c>
      <x:c r="H123" s="7" t="s">
        <x:v>32</x:v>
      </x:c>
      <x:c r="I123" s="55">
        <x:v>46205</x:v>
      </x:c>
      <x:c r="J123" s="51">
        <x:v>0.6317476851851852</x:v>
      </x:c>
      <x:c r="K123" s="7">
        <x:v>15</x:v>
      </x:c>
      <x:c r="L123" s="7">
        <x:v>8</x:v>
      </x:c>
      <x:c r="M123" s="7">
        <x:v>6</x:v>
      </x:c>
      <x:c r="N123" s="7">
        <x:v>0</x:v>
      </x:c>
      <x:c r="O123" s="10">
        <x:v>6.6666666666666666E-2</x:v>
      </x:c>
      <x:c r="P123" s="52" t="e">
        <x:f>HYPERLINK("https://github.com/kapiltrip/hdlBits/blob/main/study/problems/Day%2009/144-exams__ece241_2014_q7b.md","Note")</x:f>
        <x:v>HYPERLINK is not implemented. linkLocation=https://github.com/kapiltrip/hdlBits/blob/main/study/problems/Day%2009/144-exams__ece241_2014_q7b.md, friendlyName=Note</x:v>
      </x:c>
      <x:c r="Q123" s="52" t="e">
        <x:f>HYPERLINK("https://github.com/kapiltrip/hdlBits/blob/main/study/images/Day%2009/144-exams__ece241_2014_q7b.png","Image")</x:f>
        <x:v>HYPERLINK is not implemented. linkLocation=https://github.com/kapiltrip/hdlBits/blob/main/study/images/Day%2009/144-exams__ece241_2014_q7b.png, friendlyName=Image</x:v>
      </x:c>
      <x:c r="R123" s="52" t="e">
        <x:f>HYPERLINK("https://github.com/kapiltrip/hdlBits/blob/main/study/solutions/Day%2009/144-exams__ece241_2014_q7b.sv","Code")</x:f>
        <x:v>HYPERLINK is not implemented. linkLocation=https://github.com/kapiltrip/hdlBits/blob/main/study/solutions/Day%2009/144-exams__ece241_2014_q7b.sv, friendlyName=Code</x:v>
      </x:c>
      <x:c r="S123" s="52" t="e">
        <x:f>HYPERLINK("https://hdlbits.01xz.net/wiki/exams/ece241_2014_q7b","HDLBits")</x:f>
        <x:v>HYPERLINK is not implemented. linkLocation=https://hdlbits.01xz.net/wiki/exams/ece241_2014_q7b, friendlyName=HDLBits</x:v>
      </x:c>
      <x:c r="T123" s="8" t="s">
        <x:v>477</x:v>
      </x:c>
      <x:c r="U123" s="8"/>
    </x:row>
    <x:row r="124" ht="34.04999923706055" customHeight="1">
      <x:c r="A124" s="3">
        <x:v>105</x:v>
      </x:c>
      <x:c r="B124" s="3">
        <x:v>145</x:v>
      </x:c>
      <x:c r="C124" s="2" t="s">
        <x:v>28</x:v>
      </x:c>
      <x:c r="D124" s="2" t="s">
        <x:v>36</x:v>
      </x:c>
      <x:c r="E124" s="2" t="s">
        <x:v>478</x:v>
      </x:c>
      <x:c r="F124" s="2" t="s">
        <x:v>479</x:v>
      </x:c>
      <x:c r="G124" s="3" t="s">
        <x:v>1</x:v>
      </x:c>
      <x:c r="H124" s="3" t="s">
        <x:v>32</x:v>
      </x:c>
      <x:c r="I124" s="56">
        <x:v>46205</x:v>
      </x:c>
      <x:c r="J124" s="48">
        <x:v>6.1805555555555555E-3</x:v>
      </x:c>
      <x:c r="K124" s="3">
        <x:v>11</x:v>
      </x:c>
      <x:c r="L124" s="3">
        <x:v>1</x:v>
      </x:c>
      <x:c r="M124" s="3">
        <x:v>9</x:v>
      </x:c>
      <x:c r="N124" s="3">
        <x:v>0</x:v>
      </x:c>
      <x:c r="O124" s="6">
        <x:v>9.0909090909090912E-2</x:v>
      </x:c>
      <x:c r="P124" s="49" t="e">
        <x:f>HYPERLINK("https://github.com/kapiltrip/hdlBits/blob/main/study/problems/Day%2009/145-countbcd.md","Note")</x:f>
        <x:v>HYPERLINK is not implemented. linkLocation=https://github.com/kapiltrip/hdlBits/blob/main/study/problems/Day%2009/145-countbcd.md, friendlyName=Note</x:v>
      </x:c>
      <x:c r="Q124" s="49" t="e">
        <x:f>HYPERLINK("https://github.com/kapiltrip/hdlBits/blob/main/study/images/Day%2009/145-countbcd.png","Image")</x:f>
        <x:v>HYPERLINK is not implemented. linkLocation=https://github.com/kapiltrip/hdlBits/blob/main/study/images/Day%2009/145-countbcd.png, friendlyName=Image</x:v>
      </x:c>
      <x:c r="R124" s="49" t="e">
        <x:f>HYPERLINK("https://github.com/kapiltrip/hdlBits/blob/main/study/solutions/Day%2009/145-countbcd.sv","Code")</x:f>
        <x:v>HYPERLINK is not implemented. linkLocation=https://github.com/kapiltrip/hdlBits/blob/main/study/solutions/Day%2009/145-countbcd.sv, friendlyName=Code</x:v>
      </x:c>
      <x:c r="S124" s="49" t="e">
        <x:f>HYPERLINK("https://hdlbits.01xz.net/wiki/countbcd","HDLBits")</x:f>
        <x:v>HYPERLINK is not implemented. linkLocation=https://hdlbits.01xz.net/wiki/countbcd, friendlyName=HDLBits</x:v>
      </x:c>
      <x:c r="T124" s="2" t="s">
        <x:v>480</x:v>
      </x:c>
      <x:c r="U124" s="2"/>
    </x:row>
    <x:row r="125" ht="34.04999923706055" customHeight="1">
      <x:c r="A125" s="7">
        <x:v>106</x:v>
      </x:c>
      <x:c r="B125" s="7">
        <x:v>146</x:v>
      </x:c>
      <x:c r="C125" s="8" t="s">
        <x:v>28</x:v>
      </x:c>
      <x:c r="D125" s="8" t="s">
        <x:v>36</x:v>
      </x:c>
      <x:c r="E125" s="8" t="s">
        <x:v>481</x:v>
      </x:c>
      <x:c r="F125" s="8" t="s">
        <x:v>482</x:v>
      </x:c>
      <x:c r="G125" s="7" t="s">
        <x:v>1</x:v>
      </x:c>
      <x:c r="H125" s="7" t="s">
        <x:v>32</x:v>
      </x:c>
      <x:c r="I125" s="55">
        <x:v>46205</x:v>
      </x:c>
      <x:c r="J125" s="51">
        <x:v>0.62156250000000002</x:v>
      </x:c>
      <x:c r="K125" s="7">
        <x:v>6</x:v>
      </x:c>
      <x:c r="L125" s="7">
        <x:v>0</x:v>
      </x:c>
      <x:c r="M125" s="7">
        <x:v>4</x:v>
      </x:c>
      <x:c r="N125" s="7">
        <x:v>0</x:v>
      </x:c>
      <x:c r="O125" s="10">
        <x:v>0.33333333333333331</x:v>
      </x:c>
      <x:c r="P125" s="52" t="e">
        <x:f>HYPERLINK("https://github.com/kapiltrip/hdlBits/blob/main/study/problems/Day%2009/146-count_clock.md","Note")</x:f>
        <x:v>HYPERLINK is not implemented. linkLocation=https://github.com/kapiltrip/hdlBits/blob/main/study/problems/Day%2009/146-count_clock.md, friendlyName=Note</x:v>
      </x:c>
      <x:c r="Q125" s="52" t="e">
        <x:f>HYPERLINK("https://github.com/kapiltrip/hdlBits/blob/main/study/images/Day%2009/146-count_clock.png","Image")</x:f>
        <x:v>HYPERLINK is not implemented. linkLocation=https://github.com/kapiltrip/hdlBits/blob/main/study/images/Day%2009/146-count_clock.png, friendlyName=Image</x:v>
      </x:c>
      <x:c r="R125" s="52" t="e">
        <x:f>HYPERLINK("https://github.com/kapiltrip/hdlBits/blob/main/study/solutions/Day%2009/146-count_clock.sv","Code")</x:f>
        <x:v>HYPERLINK is not implemented. linkLocation=https://github.com/kapiltrip/hdlBits/blob/main/study/solutions/Day%2009/146-count_clock.sv, friendlyName=Code</x:v>
      </x:c>
      <x:c r="S125" s="52" t="e">
        <x:f>HYPERLINK("https://hdlbits.01xz.net/wiki/count_clock","HDLBits")</x:f>
        <x:v>HYPERLINK is not implemented. linkLocation=https://hdlbits.01xz.net/wiki/count_clock, friendlyName=HDLBits</x:v>
      </x:c>
      <x:c r="T125" s="8" t="s">
        <x:v>483</x:v>
      </x:c>
      <x:c r="U125" s="8"/>
    </x:row>
    <x:row r="126" ht="22.049999237060547" customHeight="1">
      <x:c r="A126" s="44" t="s">
        <x:v>484</x:v>
      </x:c>
      <x:c r="B126" s="44"/>
      <x:c r="C126" s="44"/>
      <x:c r="D126" s="44"/>
      <x:c r="E126" s="44"/>
      <x:c r="F126" s="44"/>
      <x:c r="G126" s="44"/>
      <x:c r="H126" s="44"/>
      <x:c r="I126" s="60"/>
      <x:c r="J126" s="44"/>
      <x:c r="K126" s="44"/>
      <x:c r="L126" s="44"/>
      <x:c r="M126" s="44"/>
      <x:c r="N126" s="44"/>
      <x:c r="O126" s="46"/>
      <x:c r="P126" s="44"/>
      <x:c r="Q126" s="44"/>
      <x:c r="R126" s="44"/>
      <x:c r="S126" s="44"/>
      <x:c r="T126" s="44"/>
      <x:c r="U126" s="44"/>
    </x:row>
    <x:row r="127" ht="34.04999923706055" customHeight="1">
      <x:c r="A127" s="3">
        <x:v>107</x:v>
      </x:c>
      <x:c r="B127" s="3">
        <x:v>101</x:v>
      </x:c>
      <x:c r="C127" s="2" t="s">
        <x:v>28</x:v>
      </x:c>
      <x:c r="D127" s="2" t="s">
        <x:v>37</x:v>
      </x:c>
      <x:c r="E127" s="2" t="s">
        <x:v>485</x:v>
      </x:c>
      <x:c r="F127" s="2" t="s">
        <x:v>486</x:v>
      </x:c>
      <x:c r="G127" s="3" t="s">
        <x:v>1</x:v>
      </x:c>
      <x:c r="H127" s="3" t="s">
        <x:v>21</x:v>
      </x:c>
      <x:c r="I127" s="56">
        <x:v>46199</x:v>
      </x:c>
      <x:c r="J127" s="3" t="s">
        <x:v>487</x:v>
      </x:c>
      <x:c r="K127" s="3">
        <x:v>4</x:v>
      </x:c>
      <x:c r="L127" s="3">
        <x:v>3</x:v>
      </x:c>
      <x:c r="M127" s="3">
        <x:v>0</x:v>
      </x:c>
      <x:c r="N127" s="3">
        <x:v>0</x:v>
      </x:c>
      <x:c r="O127" s="6">
        <x:v>0.25</x:v>
      </x:c>
      <x:c r="P127" s="4" t="e">
        <x:f>HYPERLINK("https://github.com/kapiltrip/hdlBits/blob/main/study/problems/Day%2004/101-shift4.md","Note")</x:f>
        <x:v>HYPERLINK is not implemented. linkLocation=https://github.com/kapiltrip/hdlBits/blob/main/study/problems/Day%2004/101-shift4.md, friendlyName=Note</x:v>
      </x:c>
      <x:c r="Q127" s="4" t="e">
        <x:f>HYPERLINK("https://github.com/kapiltrip/hdlBits/blob/main/study/images/Day%2004/101-shift4.png","Image")</x:f>
        <x:v>HYPERLINK is not implemented. linkLocation=https://github.com/kapiltrip/hdlBits/blob/main/study/images/Day%2004/101-shift4.png, friendlyName=Image</x:v>
      </x:c>
      <x:c r="R127" s="4" t="e">
        <x:f>HYPERLINK("https://github.com/kapiltrip/hdlBits/blob/main/study/solutions/Day%2004/101-shift4.sv","Code")</x:f>
        <x:v>HYPERLINK is not implemented. linkLocation=https://github.com/kapiltrip/hdlBits/blob/main/study/solutions/Day%2004/101-shift4.sv, friendlyName=Code</x:v>
      </x:c>
      <x:c r="S127" s="4" t="e">
        <x:f>HYPERLINK("https://hdlbits.01xz.net/wiki/shift4","HDLBits")</x:f>
        <x:v>HYPERLINK is not implemented. linkLocation=https://hdlbits.01xz.net/wiki/shift4, friendlyName=HDLBits</x:v>
      </x:c>
      <x:c r="T127" s="2" t="s">
        <x:v>488</x:v>
      </x:c>
      <x:c r="U127" s="2"/>
    </x:row>
    <x:row r="128" ht="34.04999923706055" customHeight="1">
      <x:c r="A128" s="7">
        <x:v>108</x:v>
      </x:c>
      <x:c r="B128" s="7">
        <x:v>102</x:v>
      </x:c>
      <x:c r="C128" s="8" t="s">
        <x:v>28</x:v>
      </x:c>
      <x:c r="D128" s="8" t="s">
        <x:v>37</x:v>
      </x:c>
      <x:c r="E128" s="8" t="s">
        <x:v>489</x:v>
      </x:c>
      <x:c r="F128" s="8" t="s">
        <x:v>490</x:v>
      </x:c>
      <x:c r="G128" s="7" t="s">
        <x:v>1</x:v>
      </x:c>
      <x:c r="H128" s="7" t="s">
        <x:v>21</x:v>
      </x:c>
      <x:c r="I128" s="55">
        <x:v>46199</x:v>
      </x:c>
      <x:c r="J128" s="7" t="s">
        <x:v>491</x:v>
      </x:c>
      <x:c r="K128" s="7">
        <x:v>2</x:v>
      </x:c>
      <x:c r="L128" s="7">
        <x:v>0</x:v>
      </x:c>
      <x:c r="M128" s="7">
        <x:v>1</x:v>
      </x:c>
      <x:c r="N128" s="7">
        <x:v>0</x:v>
      </x:c>
      <x:c r="O128" s="10">
        <x:v>0.5</x:v>
      </x:c>
      <x:c r="P128" s="11" t="e">
        <x:f>HYPERLINK("https://github.com/kapiltrip/hdlBits/blob/main/study/problems/Day%2004/102-rotate100.md","Note")</x:f>
        <x:v>HYPERLINK is not implemented. linkLocation=https://github.com/kapiltrip/hdlBits/blob/main/study/problems/Day%2004/102-rotate100.md, friendlyName=Note</x:v>
      </x:c>
      <x:c r="Q128" s="11" t="e">
        <x:f>HYPERLINK("https://github.com/kapiltrip/hdlBits/blob/main/study/images/Day%2004/102-rotate100.png","Image")</x:f>
        <x:v>HYPERLINK is not implemented. linkLocation=https://github.com/kapiltrip/hdlBits/blob/main/study/images/Day%2004/102-rotate100.png, friendlyName=Image</x:v>
      </x:c>
      <x:c r="R128" s="11" t="e">
        <x:f>HYPERLINK("https://github.com/kapiltrip/hdlBits/blob/main/study/solutions/Day%2004/102-rotate100.sv","Code")</x:f>
        <x:v>HYPERLINK is not implemented. linkLocation=https://github.com/kapiltrip/hdlBits/blob/main/study/solutions/Day%2004/102-rotate100.sv, friendlyName=Code</x:v>
      </x:c>
      <x:c r="S128" s="11" t="e">
        <x:f>HYPERLINK("https://hdlbits.01xz.net/wiki/rotate100","HDLBits")</x:f>
        <x:v>HYPERLINK is not implemented. linkLocation=https://hdlbits.01xz.net/wiki/rotate100, friendlyName=HDLBits</x:v>
      </x:c>
      <x:c r="T128" s="8" t="s">
        <x:v>492</x:v>
      </x:c>
      <x:c r="U128" s="8"/>
    </x:row>
    <x:row r="129" ht="34.04999923706055" customHeight="1">
      <x:c r="A129" s="3">
        <x:v>109</x:v>
      </x:c>
      <x:c r="B129" s="3">
        <x:v>103</x:v>
      </x:c>
      <x:c r="C129" s="2" t="s">
        <x:v>28</x:v>
      </x:c>
      <x:c r="D129" s="2" t="s">
        <x:v>37</x:v>
      </x:c>
      <x:c r="E129" s="2" t="s">
        <x:v>493</x:v>
      </x:c>
      <x:c r="F129" s="2" t="s">
        <x:v>494</x:v>
      </x:c>
      <x:c r="G129" s="3" t="s">
        <x:v>1</x:v>
      </x:c>
      <x:c r="H129" s="3" t="s">
        <x:v>21</x:v>
      </x:c>
      <x:c r="I129" s="56">
        <x:v>46199</x:v>
      </x:c>
      <x:c r="J129" s="3" t="s">
        <x:v>495</x:v>
      </x:c>
      <x:c r="K129" s="3">
        <x:v>6</x:v>
      </x:c>
      <x:c r="L129" s="3">
        <x:v>0</x:v>
      </x:c>
      <x:c r="M129" s="3">
        <x:v>5</x:v>
      </x:c>
      <x:c r="N129" s="3">
        <x:v>0</x:v>
      </x:c>
      <x:c r="O129" s="6">
        <x:v>0.17</x:v>
      </x:c>
      <x:c r="P129" s="4" t="e">
        <x:f>HYPERLINK("https://github.com/kapiltrip/hdlBits/blob/main/study/problems/Day%2004/103-shift18.md","Note")</x:f>
        <x:v>HYPERLINK is not implemented. linkLocation=https://github.com/kapiltrip/hdlBits/blob/main/study/problems/Day%2004/103-shift18.md, friendlyName=Note</x:v>
      </x:c>
      <x:c r="Q129" s="4" t="e">
        <x:f>HYPERLINK("https://github.com/kapiltrip/hdlBits/blob/main/study/images/Day%2004/103-shift18.png","Image")</x:f>
        <x:v>HYPERLINK is not implemented. linkLocation=https://github.com/kapiltrip/hdlBits/blob/main/study/images/Day%2004/103-shift18.png, friendlyName=Image</x:v>
      </x:c>
      <x:c r="R129" s="4" t="e">
        <x:f>HYPERLINK("https://github.com/kapiltrip/hdlBits/blob/main/study/solutions/Day%2004/103-shift18.sv","Code")</x:f>
        <x:v>HYPERLINK is not implemented. linkLocation=https://github.com/kapiltrip/hdlBits/blob/main/study/solutions/Day%2004/103-shift18.sv, friendlyName=Code</x:v>
      </x:c>
      <x:c r="S129" s="4" t="e">
        <x:f>HYPERLINK("https://hdlbits.01xz.net/wiki/shift18","HDLBits")</x:f>
        <x:v>HYPERLINK is not implemented. linkLocation=https://hdlbits.01xz.net/wiki/shift18, friendlyName=HDLBits</x:v>
      </x:c>
      <x:c r="T129" s="2" t="s">
        <x:v>496</x:v>
      </x:c>
      <x:c r="U129" s="2"/>
    </x:row>
    <x:row r="130" ht="34.04999923706055" customHeight="1">
      <x:c r="A130" s="7">
        <x:v>110</x:v>
      </x:c>
      <x:c r="B130" s="7">
        <x:v>104</x:v>
      </x:c>
      <x:c r="C130" s="8" t="s">
        <x:v>28</x:v>
      </x:c>
      <x:c r="D130" s="8" t="s">
        <x:v>37</x:v>
      </x:c>
      <x:c r="E130" s="8" t="s">
        <x:v>497</x:v>
      </x:c>
      <x:c r="F130" s="8" t="s">
        <x:v>498</x:v>
      </x:c>
      <x:c r="G130" s="7" t="s">
        <x:v>1</x:v>
      </x:c>
      <x:c r="H130" s="7" t="s">
        <x:v>21</x:v>
      </x:c>
      <x:c r="I130" s="55">
        <x:v>46199</x:v>
      </x:c>
      <x:c r="J130" s="7" t="s">
        <x:v>499</x:v>
      </x:c>
      <x:c r="K130" s="7">
        <x:v>1</x:v>
      </x:c>
      <x:c r="L130" s="7">
        <x:v>0</x:v>
      </x:c>
      <x:c r="M130" s="7">
        <x:v>0</x:v>
      </x:c>
      <x:c r="N130" s="7">
        <x:v>0</x:v>
      </x:c>
      <x:c r="O130" s="10">
        <x:v>1</x:v>
      </x:c>
      <x:c r="P130" s="11" t="e">
        <x:f>HYPERLINK("https://github.com/kapiltrip/hdlBits/blob/main/study/problems/Day%2004/104-lfsr5.md","Note")</x:f>
        <x:v>HYPERLINK is not implemented. linkLocation=https://github.com/kapiltrip/hdlBits/blob/main/study/problems/Day%2004/104-lfsr5.md, friendlyName=Note</x:v>
      </x:c>
      <x:c r="Q130" s="11" t="e">
        <x:f>HYPERLINK("https://github.com/kapiltrip/hdlBits/blob/main/study/images/Day%2004/104-lfsr5.png","Image")</x:f>
        <x:v>HYPERLINK is not implemented. linkLocation=https://github.com/kapiltrip/hdlBits/blob/main/study/images/Day%2004/104-lfsr5.png, friendlyName=Image</x:v>
      </x:c>
      <x:c r="R130" s="11" t="e">
        <x:f>HYPERLINK("https://github.com/kapiltrip/hdlBits/blob/main/study/solutions/Day%2004/104-lfsr5.sv","Code")</x:f>
        <x:v>HYPERLINK is not implemented. linkLocation=https://github.com/kapiltrip/hdlBits/blob/main/study/solutions/Day%2004/104-lfsr5.sv, friendlyName=Code</x:v>
      </x:c>
      <x:c r="S130" s="11" t="e">
        <x:f>HYPERLINK("https://hdlbits.01xz.net/wiki/lfsr5","HDLBits")</x:f>
        <x:v>HYPERLINK is not implemented. linkLocation=https://hdlbits.01xz.net/wiki/lfsr5, friendlyName=HDLBits</x:v>
      </x:c>
      <x:c r="T130" s="8" t="s">
        <x:v>500</x:v>
      </x:c>
      <x:c r="U130" s="8"/>
    </x:row>
    <x:row r="131" ht="34.04999923706055" customHeight="1">
      <x:c r="A131" s="3">
        <x:v>111</x:v>
      </x:c>
      <x:c r="B131" s="3">
        <x:v>105</x:v>
      </x:c>
      <x:c r="C131" s="2" t="s">
        <x:v>28</x:v>
      </x:c>
      <x:c r="D131" s="2" t="s">
        <x:v>37</x:v>
      </x:c>
      <x:c r="E131" s="2" t="s">
        <x:v>501</x:v>
      </x:c>
      <x:c r="F131" s="2" t="s">
        <x:v>502</x:v>
      </x:c>
      <x:c r="G131" s="3" t="s">
        <x:v>1</x:v>
      </x:c>
      <x:c r="H131" s="3" t="s">
        <x:v>21</x:v>
      </x:c>
      <x:c r="I131" s="56">
        <x:v>46199</x:v>
      </x:c>
      <x:c r="J131" s="3" t="s">
        <x:v>503</x:v>
      </x:c>
      <x:c r="K131" s="3">
        <x:v>4</x:v>
      </x:c>
      <x:c r="L131" s="3">
        <x:v>1</x:v>
      </x:c>
      <x:c r="M131" s="3">
        <x:v>2</x:v>
      </x:c>
      <x:c r="N131" s="3">
        <x:v>0</x:v>
      </x:c>
      <x:c r="O131" s="6">
        <x:v>0.25</x:v>
      </x:c>
      <x:c r="P131" s="4" t="e">
        <x:f>HYPERLINK("https://github.com/kapiltrip/hdlBits/blob/main/study/problems/Day%2004/105-mt2015_lfsr.md","Note")</x:f>
        <x:v>HYPERLINK is not implemented. linkLocation=https://github.com/kapiltrip/hdlBits/blob/main/study/problems/Day%2004/105-mt2015_lfsr.md, friendlyName=Note</x:v>
      </x:c>
      <x:c r="Q131" s="4" t="e">
        <x:f>HYPERLINK("https://github.com/kapiltrip/hdlBits/blob/main/study/images/Day%2004/105-mt2015_lfsr.png","Image")</x:f>
        <x:v>HYPERLINK is not implemented. linkLocation=https://github.com/kapiltrip/hdlBits/blob/main/study/images/Day%2004/105-mt2015_lfsr.png, friendlyName=Image</x:v>
      </x:c>
      <x:c r="R131" s="4" t="e">
        <x:f>HYPERLINK("https://github.com/kapiltrip/hdlBits/blob/main/study/solutions/Day%2004/105-mt2015_lfsr.sv","Code")</x:f>
        <x:v>HYPERLINK is not implemented. linkLocation=https://github.com/kapiltrip/hdlBits/blob/main/study/solutions/Day%2004/105-mt2015_lfsr.sv, friendlyName=Code</x:v>
      </x:c>
      <x:c r="S131" s="4" t="e">
        <x:f>HYPERLINK("https://hdlbits.01xz.net/wiki/mt2015_lfsr","HDLBits")</x:f>
        <x:v>HYPERLINK is not implemented. linkLocation=https://hdlbits.01xz.net/wiki/mt2015_lfsr, friendlyName=HDLBits</x:v>
      </x:c>
      <x:c r="T131" s="2" t="s">
        <x:v>504</x:v>
      </x:c>
      <x:c r="U131" s="2"/>
    </x:row>
    <x:row r="132" ht="34.04999923706055" customHeight="1">
      <x:c r="A132" s="7">
        <x:v>112</x:v>
      </x:c>
      <x:c r="B132" s="7">
        <x:v>106</x:v>
      </x:c>
      <x:c r="C132" s="8" t="s">
        <x:v>28</x:v>
      </x:c>
      <x:c r="D132" s="8" t="s">
        <x:v>37</x:v>
      </x:c>
      <x:c r="E132" s="8" t="s">
        <x:v>505</x:v>
      </x:c>
      <x:c r="F132" s="8" t="s">
        <x:v>506</x:v>
      </x:c>
      <x:c r="G132" s="7" t="s">
        <x:v>1</x:v>
      </x:c>
      <x:c r="H132" s="7" t="s">
        <x:v>21</x:v>
      </x:c>
      <x:c r="I132" s="55">
        <x:v>46199</x:v>
      </x:c>
      <x:c r="J132" s="7" t="s">
        <x:v>507</x:v>
      </x:c>
      <x:c r="K132" s="7">
        <x:v>1</x:v>
      </x:c>
      <x:c r="L132" s="7">
        <x:v>0</x:v>
      </x:c>
      <x:c r="M132" s="7">
        <x:v>0</x:v>
      </x:c>
      <x:c r="N132" s="7">
        <x:v>0</x:v>
      </x:c>
      <x:c r="O132" s="10">
        <x:v>1</x:v>
      </x:c>
      <x:c r="P132" s="11" t="e">
        <x:f>HYPERLINK("https://github.com/kapiltrip/hdlBits/blob/main/study/problems/Day%2004/106-lfsr32.md","Note")</x:f>
        <x:v>HYPERLINK is not implemented. linkLocation=https://github.com/kapiltrip/hdlBits/blob/main/study/problems/Day%2004/106-lfsr32.md, friendlyName=Note</x:v>
      </x:c>
      <x:c r="Q132" s="11" t="e">
        <x:f>HYPERLINK("https://github.com/kapiltrip/hdlBits/blob/main/study/images/Day%2004/106-lfsr32.png","Image")</x:f>
        <x:v>HYPERLINK is not implemented. linkLocation=https://github.com/kapiltrip/hdlBits/blob/main/study/images/Day%2004/106-lfsr32.png, friendlyName=Image</x:v>
      </x:c>
      <x:c r="R132" s="11" t="e">
        <x:f>HYPERLINK("https://github.com/kapiltrip/hdlBits/blob/main/study/solutions/Day%2004/106-lfsr32.sv","Code")</x:f>
        <x:v>HYPERLINK is not implemented. linkLocation=https://github.com/kapiltrip/hdlBits/blob/main/study/solutions/Day%2004/106-lfsr32.sv, friendlyName=Code</x:v>
      </x:c>
      <x:c r="S132" s="11" t="e">
        <x:f>HYPERLINK("https://hdlbits.01xz.net/wiki/lfsr32","HDLBits")</x:f>
        <x:v>HYPERLINK is not implemented. linkLocation=https://hdlbits.01xz.net/wiki/lfsr32, friendlyName=HDLBits</x:v>
      </x:c>
      <x:c r="T132" s="8" t="s">
        <x:v>508</x:v>
      </x:c>
      <x:c r="U132" s="8"/>
    </x:row>
    <x:row r="133" ht="34.04999923706055" customHeight="1">
      <x:c r="A133" s="3">
        <x:v>113</x:v>
      </x:c>
      <x:c r="B133" s="3">
        <x:v>107</x:v>
      </x:c>
      <x:c r="C133" s="2" t="s">
        <x:v>28</x:v>
      </x:c>
      <x:c r="D133" s="2" t="s">
        <x:v>37</x:v>
      </x:c>
      <x:c r="E133" s="2" t="s">
        <x:v>509</x:v>
      </x:c>
      <x:c r="F133" s="2" t="s">
        <x:v>510</x:v>
      </x:c>
      <x:c r="G133" s="3" t="s">
        <x:v>1</x:v>
      </x:c>
      <x:c r="H133" s="3" t="s">
        <x:v>21</x:v>
      </x:c>
      <x:c r="I133" s="56">
        <x:v>46199</x:v>
      </x:c>
      <x:c r="J133" s="3" t="s">
        <x:v>511</x:v>
      </x:c>
      <x:c r="K133" s="3">
        <x:v>8</x:v>
      </x:c>
      <x:c r="L133" s="3">
        <x:v>6</x:v>
      </x:c>
      <x:c r="M133" s="3">
        <x:v>1</x:v>
      </x:c>
      <x:c r="N133" s="3">
        <x:v>0</x:v>
      </x:c>
      <x:c r="O133" s="6">
        <x:v>0.13</x:v>
      </x:c>
      <x:c r="P133" s="4" t="e">
        <x:f>HYPERLINK("https://github.com/kapiltrip/hdlBits/blob/main/study/problems/Day%2004/107-exams__m2014_q4k.md","Note")</x:f>
        <x:v>HYPERLINK is not implemented. linkLocation=https://github.com/kapiltrip/hdlBits/blob/main/study/problems/Day%2004/107-exams__m2014_q4k.md, friendlyName=Note</x:v>
      </x:c>
      <x:c r="Q133" s="4" t="e">
        <x:f>HYPERLINK("https://github.com/kapiltrip/hdlBits/blob/main/study/images/Day%2004/107-exams__m2014_q4k.png","Image")</x:f>
        <x:v>HYPERLINK is not implemented. linkLocation=https://github.com/kapiltrip/hdlBits/blob/main/study/images/Day%2004/107-exams__m2014_q4k.png, friendlyName=Image</x:v>
      </x:c>
      <x:c r="R133" s="4" t="e">
        <x:f>HYPERLINK("https://github.com/kapiltrip/hdlBits/blob/main/study/solutions/Day%2004/107-exams__m2014_q4k.sv","Code")</x:f>
        <x:v>HYPERLINK is not implemented. linkLocation=https://github.com/kapiltrip/hdlBits/blob/main/study/solutions/Day%2004/107-exams__m2014_q4k.sv, friendlyName=Code</x:v>
      </x:c>
      <x:c r="S133" s="4" t="e">
        <x:f>HYPERLINK("https://hdlbits.01xz.net/wiki/exams/m2014_q4k","HDLBits")</x:f>
        <x:v>HYPERLINK is not implemented. linkLocation=https://hdlbits.01xz.net/wiki/exams/m2014_q4k, friendlyName=HDLBits</x:v>
      </x:c>
      <x:c r="T133" s="2" t="s">
        <x:v>512</x:v>
      </x:c>
      <x:c r="U133" s="2"/>
    </x:row>
    <x:row r="134" ht="34.04999923706055" customHeight="1">
      <x:c r="A134" s="7">
        <x:v>114</x:v>
      </x:c>
      <x:c r="B134" s="7">
        <x:v>108</x:v>
      </x:c>
      <x:c r="C134" s="8" t="s">
        <x:v>28</x:v>
      </x:c>
      <x:c r="D134" s="8" t="s">
        <x:v>37</x:v>
      </x:c>
      <x:c r="E134" s="8" t="s">
        <x:v>509</x:v>
      </x:c>
      <x:c r="F134" s="8" t="s">
        <x:v>513</x:v>
      </x:c>
      <x:c r="G134" s="7" t="s">
        <x:v>1</x:v>
      </x:c>
      <x:c r="H134" s="7" t="s">
        <x:v>23</x:v>
      </x:c>
      <x:c r="I134" s="55">
        <x:v>46200</x:v>
      </x:c>
      <x:c r="J134" s="7" t="s">
        <x:v>514</x:v>
      </x:c>
      <x:c r="K134" s="7">
        <x:v>6</x:v>
      </x:c>
      <x:c r="L134" s="7">
        <x:v>0</x:v>
      </x:c>
      <x:c r="M134" s="7">
        <x:v>5</x:v>
      </x:c>
      <x:c r="N134" s="7">
        <x:v>0</x:v>
      </x:c>
      <x:c r="O134" s="10">
        <x:v>0.17</x:v>
      </x:c>
      <x:c r="P134" s="11" t="e">
        <x:f>HYPERLINK("https://github.com/kapiltrip/hdlBits/blob/main/study/problems/Day%2005/108-exams__2014_q4b.md","Note")</x:f>
        <x:v>HYPERLINK is not implemented. linkLocation=https://github.com/kapiltrip/hdlBits/blob/main/study/problems/Day%2005/108-exams__2014_q4b.md, friendlyName=Note</x:v>
      </x:c>
      <x:c r="Q134" s="11" t="e">
        <x:f>HYPERLINK("https://github.com/kapiltrip/hdlBits/blob/main/study/images/Day%2005/108-exams__2014_q4b.png","Image")</x:f>
        <x:v>HYPERLINK is not implemented. linkLocation=https://github.com/kapiltrip/hdlBits/blob/main/study/images/Day%2005/108-exams__2014_q4b.png, friendlyName=Image</x:v>
      </x:c>
      <x:c r="R134" s="11" t="e">
        <x:f>HYPERLINK("https://github.com/kapiltrip/hdlBits/blob/main/study/solutions/Day%2005/108-exams__2014_q4b.sv","Code")</x:f>
        <x:v>HYPERLINK is not implemented. linkLocation=https://github.com/kapiltrip/hdlBits/blob/main/study/solutions/Day%2005/108-exams__2014_q4b.sv, friendlyName=Code</x:v>
      </x:c>
      <x:c r="S134" s="11" t="e">
        <x:f>HYPERLINK("https://hdlbits.01xz.net/wiki/exams/2014_q4b","HDLBits")</x:f>
        <x:v>HYPERLINK is not implemented. linkLocation=https://hdlbits.01xz.net/wiki/exams/2014_q4b, friendlyName=HDLBits</x:v>
      </x:c>
      <x:c r="T134" s="8" t="s">
        <x:v>515</x:v>
      </x:c>
      <x:c r="U134" s="8"/>
    </x:row>
    <x:row r="135" ht="34.04999923706055" customHeight="1">
      <x:c r="A135" s="3">
        <x:v>115</x:v>
      </x:c>
      <x:c r="B135" s="3">
        <x:v>109</x:v>
      </x:c>
      <x:c r="C135" s="2" t="s">
        <x:v>28</x:v>
      </x:c>
      <x:c r="D135" s="2" t="s">
        <x:v>37</x:v>
      </x:c>
      <x:c r="E135" s="2" t="s">
        <x:v>516</x:v>
      </x:c>
      <x:c r="F135" s="2" t="s">
        <x:v>517</x:v>
      </x:c>
      <x:c r="G135" s="3" t="s">
        <x:v>1</x:v>
      </x:c>
      <x:c r="H135" s="3" t="s">
        <x:v>23</x:v>
      </x:c>
      <x:c r="I135" s="56">
        <x:v>46200</x:v>
      </x:c>
      <x:c r="J135" s="3" t="s">
        <x:v>518</x:v>
      </x:c>
      <x:c r="K135" s="3">
        <x:v>2</x:v>
      </x:c>
      <x:c r="L135" s="3">
        <x:v>0</x:v>
      </x:c>
      <x:c r="M135" s="3">
        <x:v>1</x:v>
      </x:c>
      <x:c r="N135" s="3">
        <x:v>0</x:v>
      </x:c>
      <x:c r="O135" s="6">
        <x:v>0.5</x:v>
      </x:c>
      <x:c r="P135" s="4" t="e">
        <x:f>HYPERLINK("https://github.com/kapiltrip/hdlBits/blob/main/study/problems/Day%2005/109-exams__ece241_2013_q12.md","Note")</x:f>
        <x:v>HYPERLINK is not implemented. linkLocation=https://github.com/kapiltrip/hdlBits/blob/main/study/problems/Day%2005/109-exams__ece241_2013_q12.md, friendlyName=Note</x:v>
      </x:c>
      <x:c r="Q135" s="4" t="e">
        <x:f>HYPERLINK("https://github.com/kapiltrip/hdlBits/blob/main/study/images/Day%2005/109-exams__ece241_2013_q12.png","Image")</x:f>
        <x:v>HYPERLINK is not implemented. linkLocation=https://github.com/kapiltrip/hdlBits/blob/main/study/images/Day%2005/109-exams__ece241_2013_q12.png, friendlyName=Image</x:v>
      </x:c>
      <x:c r="R135" s="4" t="e">
        <x:f>HYPERLINK("https://github.com/kapiltrip/hdlBits/blob/main/study/solutions/Day%2005/109-exams__ece241_2013_q12.sv","Code")</x:f>
        <x:v>HYPERLINK is not implemented. linkLocation=https://github.com/kapiltrip/hdlBits/blob/main/study/solutions/Day%2005/109-exams__ece241_2013_q12.sv, friendlyName=Code</x:v>
      </x:c>
      <x:c r="S135" s="4" t="e">
        <x:f>HYPERLINK("https://hdlbits.01xz.net/wiki/exams/ece241_2013_q12","HDLBits")</x:f>
        <x:v>HYPERLINK is not implemented. linkLocation=https://hdlbits.01xz.net/wiki/exams/ece241_2013_q12, friendlyName=HDLBits</x:v>
      </x:c>
      <x:c r="T135" s="2" t="s">
        <x:v>519</x:v>
      </x:c>
      <x:c r="U135" s="2"/>
    </x:row>
    <x:row r="136" ht="22.049999237060547" customHeight="1">
      <x:c r="A136" s="44" t="s">
        <x:v>520</x:v>
      </x:c>
      <x:c r="B136" s="44"/>
      <x:c r="C136" s="44"/>
      <x:c r="D136" s="44"/>
      <x:c r="E136" s="44"/>
      <x:c r="F136" s="44"/>
      <x:c r="G136" s="44"/>
      <x:c r="H136" s="44"/>
      <x:c r="I136" s="60"/>
      <x:c r="J136" s="44"/>
      <x:c r="K136" s="44"/>
      <x:c r="L136" s="44"/>
      <x:c r="M136" s="44"/>
      <x:c r="N136" s="44"/>
      <x:c r="O136" s="46"/>
      <x:c r="P136" s="44"/>
      <x:c r="Q136" s="44"/>
      <x:c r="R136" s="44"/>
      <x:c r="S136" s="44"/>
      <x:c r="T136" s="44"/>
      <x:c r="U136" s="44"/>
    </x:row>
    <x:row r="137" ht="34.04999923706055" customHeight="1">
      <x:c r="A137" s="7">
        <x:v>116</x:v>
      </x:c>
      <x:c r="B137" s="7"/>
      <x:c r="C137" s="8" t="s">
        <x:v>28</x:v>
      </x:c>
      <x:c r="D137" s="8" t="s">
        <x:v>38</x:v>
      </x:c>
      <x:c r="E137" s="8" t="s">
        <x:v>521</x:v>
      </x:c>
      <x:c r="F137" s="8" t="s">
        <x:v>522</x:v>
      </x:c>
      <x:c r="G137" s="7" t="s">
        <x:v>523</x:v>
      </x:c>
      <x:c r="H137" s="57" t="str">
        <x:v>Day 11</x:v>
      </x:c>
      <x:c r="I137" s="55"/>
      <x:c r="J137" s="7"/>
      <x:c r="K137" s="7">
        <x:v>0</x:v>
      </x:c>
      <x:c r="L137" s="7">
        <x:v>0</x:v>
      </x:c>
      <x:c r="M137" s="7">
        <x:v>0</x:v>
      </x:c>
      <x:c r="N137" s="7">
        <x:v>0</x:v>
      </x:c>
      <x:c r="O137" s="10"/>
      <x:c r="P137" s="11"/>
      <x:c r="Q137" s="11"/>
      <x:c r="R137" s="11"/>
      <x:c r="S137" s="11" t="e">
        <x:f>HYPERLINK("https://hdlbits.01xz.net/wiki/rule90","HDLBits")</x:f>
        <x:v>HYPERLINK is not implemented. linkLocation=https://hdlbits.01xz.net/wiki/rule90, friendlyName=HDLBits</x:v>
      </x:c>
      <x:c r="T137" s="8" t="s">
        <x:v>524</x:v>
      </x:c>
      <x:c r="U137" s="8" t="str">
        <x:v>Planned for 2026-07-04. Add the screenshot, solution, archive number, and actual submission timestamp only after HDLBits reports Success.</x:v>
      </x:c>
    </x:row>
    <x:row r="138" ht="34.04999923706055" customHeight="1">
      <x:c r="A138" s="3">
        <x:v>117</x:v>
      </x:c>
      <x:c r="B138" s="3"/>
      <x:c r="C138" s="2" t="s">
        <x:v>28</x:v>
      </x:c>
      <x:c r="D138" s="2" t="s">
        <x:v>38</x:v>
      </x:c>
      <x:c r="E138" s="2" t="s">
        <x:v>525</x:v>
      </x:c>
      <x:c r="F138" s="2" t="s">
        <x:v>526</x:v>
      </x:c>
      <x:c r="G138" s="3" t="s">
        <x:v>523</x:v>
      </x:c>
      <x:c r="H138" s="57" t="str">
        <x:v>Day 11</x:v>
      </x:c>
      <x:c r="I138" s="56"/>
      <x:c r="J138" s="3"/>
      <x:c r="K138" s="3">
        <x:v>0</x:v>
      </x:c>
      <x:c r="L138" s="3">
        <x:v>0</x:v>
      </x:c>
      <x:c r="M138" s="3">
        <x:v>0</x:v>
      </x:c>
      <x:c r="N138" s="3">
        <x:v>0</x:v>
      </x:c>
      <x:c r="O138" s="6"/>
      <x:c r="P138" s="4"/>
      <x:c r="Q138" s="4"/>
      <x:c r="R138" s="4"/>
      <x:c r="S138" s="4" t="e">
        <x:f>HYPERLINK("https://hdlbits.01xz.net/wiki/rule110","HDLBits")</x:f>
        <x:v>HYPERLINK is not implemented. linkLocation=https://hdlbits.01xz.net/wiki/rule110, friendlyName=HDLBits</x:v>
      </x:c>
      <x:c r="T138" s="2" t="s">
        <x:v>524</x:v>
      </x:c>
      <x:c r="U138" s="2" t="str">
        <x:v>Planned for 2026-07-04. Add the screenshot, solution, archive number, and actual submission timestamp only after HDLBits reports Success.</x:v>
      </x:c>
    </x:row>
    <x:row r="139" ht="34.04999923706055" customHeight="1">
      <x:c r="A139" s="7">
        <x:v>118</x:v>
      </x:c>
      <x:c r="B139" s="7"/>
      <x:c r="C139" s="8" t="s">
        <x:v>28</x:v>
      </x:c>
      <x:c r="D139" s="8" t="s">
        <x:v>38</x:v>
      </x:c>
      <x:c r="E139" s="8" t="s">
        <x:v>527</x:v>
      </x:c>
      <x:c r="F139" s="8" t="s">
        <x:v>528</x:v>
      </x:c>
      <x:c r="G139" s="7" t="s">
        <x:v>523</x:v>
      </x:c>
      <x:c r="H139" s="57" t="str">
        <x:v>Day 11</x:v>
      </x:c>
      <x:c r="I139" s="55"/>
      <x:c r="J139" s="7"/>
      <x:c r="K139" s="7">
        <x:v>0</x:v>
      </x:c>
      <x:c r="L139" s="7">
        <x:v>0</x:v>
      </x:c>
      <x:c r="M139" s="7">
        <x:v>0</x:v>
      </x:c>
      <x:c r="N139" s="7">
        <x:v>0</x:v>
      </x:c>
      <x:c r="O139" s="10"/>
      <x:c r="P139" s="11"/>
      <x:c r="Q139" s="11"/>
      <x:c r="R139" s="11"/>
      <x:c r="S139" s="11" t="e">
        <x:f>HYPERLINK("https://hdlbits.01xz.net/wiki/conwaylife","HDLBits")</x:f>
        <x:v>HYPERLINK is not implemented. linkLocation=https://hdlbits.01xz.net/wiki/conwaylife, friendlyName=HDLBits</x:v>
      </x:c>
      <x:c r="T139" s="8" t="s">
        <x:v>524</x:v>
      </x:c>
      <x:c r="U139" s="8" t="str">
        <x:v>Planned for 2026-07-04. Add the screenshot, solution, archive number, and actual submission timestamp only after HDLBits reports Success.</x:v>
      </x:c>
    </x:row>
    <x:row r="140" ht="22.049999237060547" customHeight="1">
      <x:c r="A140" s="44" t="s">
        <x:v>529</x:v>
      </x:c>
      <x:c r="B140" s="44"/>
      <x:c r="C140" s="44"/>
      <x:c r="D140" s="44"/>
      <x:c r="E140" s="44"/>
      <x:c r="F140" s="44"/>
      <x:c r="G140" s="44"/>
      <x:c r="H140" s="44"/>
      <x:c r="I140" s="60"/>
      <x:c r="J140" s="44"/>
      <x:c r="K140" s="44"/>
      <x:c r="L140" s="44"/>
      <x:c r="M140" s="44"/>
      <x:c r="N140" s="44"/>
      <x:c r="O140" s="46"/>
      <x:c r="P140" s="44"/>
      <x:c r="Q140" s="44"/>
      <x:c r="R140" s="44"/>
      <x:c r="S140" s="44"/>
      <x:c r="T140" s="44"/>
      <x:c r="U140" s="44"/>
    </x:row>
    <x:row r="141" ht="34.04999923706055" customHeight="1">
      <x:c r="A141" s="3">
        <x:v>119</x:v>
      </x:c>
      <x:c r="B141" s="3">
        <x:v>110</x:v>
      </x:c>
      <x:c r="C141" s="2" t="s">
        <x:v>28</x:v>
      </x:c>
      <x:c r="D141" s="2" t="s">
        <x:v>39</x:v>
      </x:c>
      <x:c r="E141" s="2" t="s">
        <x:v>530</x:v>
      </x:c>
      <x:c r="F141" s="2" t="s">
        <x:v>531</x:v>
      </x:c>
      <x:c r="G141" s="3" t="s">
        <x:v>1</x:v>
      </x:c>
      <x:c r="H141" s="3" t="s">
        <x:v>23</x:v>
      </x:c>
      <x:c r="I141" s="56">
        <x:v>46200</x:v>
      </x:c>
      <x:c r="J141" s="3" t="s">
        <x:v>532</x:v>
      </x:c>
      <x:c r="K141" s="3">
        <x:v>9</x:v>
      </x:c>
      <x:c r="L141" s="3">
        <x:v>2</x:v>
      </x:c>
      <x:c r="M141" s="3">
        <x:v>5</x:v>
      </x:c>
      <x:c r="N141" s="3">
        <x:v>1</x:v>
      </x:c>
      <x:c r="O141" s="6">
        <x:v>0.11</x:v>
      </x:c>
      <x:c r="P141" s="4" t="e">
        <x:f>HYPERLINK("https://github.com/kapiltrip/hdlBits/blob/main/study/problems/Day%2005/110-fsm1.md","Note")</x:f>
        <x:v>HYPERLINK is not implemented. linkLocation=https://github.com/kapiltrip/hdlBits/blob/main/study/problems/Day%2005/110-fsm1.md, friendlyName=Note</x:v>
      </x:c>
      <x:c r="Q141" s="4" t="e">
        <x:f>HYPERLINK("https://github.com/kapiltrip/hdlBits/blob/main/study/images/Day%2005/110-fsm1.png","Image")</x:f>
        <x:v>HYPERLINK is not implemented. linkLocation=https://github.com/kapiltrip/hdlBits/blob/main/study/images/Day%2005/110-fsm1.png, friendlyName=Image</x:v>
      </x:c>
      <x:c r="R141" s="4" t="e">
        <x:f>HYPERLINK("https://github.com/kapiltrip/hdlBits/blob/main/study/solutions/Day%2005/110-fsm1.sv","Code")</x:f>
        <x:v>HYPERLINK is not implemented. linkLocation=https://github.com/kapiltrip/hdlBits/blob/main/study/solutions/Day%2005/110-fsm1.sv, friendlyName=Code</x:v>
      </x:c>
      <x:c r="S141" s="4" t="e">
        <x:f>HYPERLINK("https://hdlbits.01xz.net/wiki/fsm1","HDLBits")</x:f>
        <x:v>HYPERLINK is not implemented. linkLocation=https://hdlbits.01xz.net/wiki/fsm1, friendlyName=HDLBits</x:v>
      </x:c>
      <x:c r="T141" s="2" t="s">
        <x:v>533</x:v>
      </x:c>
      <x:c r="U141" s="2"/>
    </x:row>
    <x:row r="142" ht="34.04999923706055" customHeight="1">
      <x:c r="A142" s="7">
        <x:v>120</x:v>
      </x:c>
      <x:c r="B142" s="7">
        <x:v>111</x:v>
      </x:c>
      <x:c r="C142" s="8" t="s">
        <x:v>28</x:v>
      </x:c>
      <x:c r="D142" s="8" t="s">
        <x:v>39</x:v>
      </x:c>
      <x:c r="E142" s="8" t="s">
        <x:v>534</x:v>
      </x:c>
      <x:c r="F142" s="8" t="s">
        <x:v>535</x:v>
      </x:c>
      <x:c r="G142" s="7" t="s">
        <x:v>1</x:v>
      </x:c>
      <x:c r="H142" s="7" t="s">
        <x:v>23</x:v>
      </x:c>
      <x:c r="I142" s="55">
        <x:v>46200</x:v>
      </x:c>
      <x:c r="J142" s="7" t="s">
        <x:v>536</x:v>
      </x:c>
      <x:c r="K142" s="7">
        <x:v>3</x:v>
      </x:c>
      <x:c r="L142" s="7">
        <x:v>1</x:v>
      </x:c>
      <x:c r="M142" s="7">
        <x:v>1</x:v>
      </x:c>
      <x:c r="N142" s="7">
        <x:v>0</x:v>
      </x:c>
      <x:c r="O142" s="10">
        <x:v>0.33</x:v>
      </x:c>
      <x:c r="P142" s="11" t="e">
        <x:f>HYPERLINK("https://github.com/kapiltrip/hdlBits/blob/main/study/problems/Day%2005/111-fsm1s.md","Note")</x:f>
        <x:v>HYPERLINK is not implemented. linkLocation=https://github.com/kapiltrip/hdlBits/blob/main/study/problems/Day%2005/111-fsm1s.md, friendlyName=Note</x:v>
      </x:c>
      <x:c r="Q142" s="11" t="e">
        <x:f>HYPERLINK("https://github.com/kapiltrip/hdlBits/blob/main/study/images/Day%2005/111-fsm1s.png","Image")</x:f>
        <x:v>HYPERLINK is not implemented. linkLocation=https://github.com/kapiltrip/hdlBits/blob/main/study/images/Day%2005/111-fsm1s.png, friendlyName=Image</x:v>
      </x:c>
      <x:c r="R142" s="11" t="e">
        <x:f>HYPERLINK("https://github.com/kapiltrip/hdlBits/blob/main/study/solutions/Day%2005/111-fsm1s.sv","Code")</x:f>
        <x:v>HYPERLINK is not implemented. linkLocation=https://github.com/kapiltrip/hdlBits/blob/main/study/solutions/Day%2005/111-fsm1s.sv, friendlyName=Code</x:v>
      </x:c>
      <x:c r="S142" s="11" t="e">
        <x:f>HYPERLINK("https://hdlbits.01xz.net/wiki/fsm1s","HDLBits")</x:f>
        <x:v>HYPERLINK is not implemented. linkLocation=https://hdlbits.01xz.net/wiki/fsm1s, friendlyName=HDLBits</x:v>
      </x:c>
      <x:c r="T142" s="8" t="s">
        <x:v>537</x:v>
      </x:c>
      <x:c r="U142" s="8"/>
    </x:row>
    <x:row r="143" ht="34.04999923706055" customHeight="1">
      <x:c r="A143" s="3">
        <x:v>121</x:v>
      </x:c>
      <x:c r="B143" s="3">
        <x:v>112</x:v>
      </x:c>
      <x:c r="C143" s="2" t="s">
        <x:v>28</x:v>
      </x:c>
      <x:c r="D143" s="2" t="s">
        <x:v>39</x:v>
      </x:c>
      <x:c r="E143" s="2" t="s">
        <x:v>538</x:v>
      </x:c>
      <x:c r="F143" s="2" t="s">
        <x:v>539</x:v>
      </x:c>
      <x:c r="G143" s="3" t="s">
        <x:v>1</x:v>
      </x:c>
      <x:c r="H143" s="3" t="s">
        <x:v>23</x:v>
      </x:c>
      <x:c r="I143" s="56">
        <x:v>46200</x:v>
      </x:c>
      <x:c r="J143" s="3" t="s">
        <x:v>540</x:v>
      </x:c>
      <x:c r="K143" s="3">
        <x:v>6</x:v>
      </x:c>
      <x:c r="L143" s="3">
        <x:v>5</x:v>
      </x:c>
      <x:c r="M143" s="3">
        <x:v>0</x:v>
      </x:c>
      <x:c r="N143" s="3">
        <x:v>0</x:v>
      </x:c>
      <x:c r="O143" s="6">
        <x:v>0.17</x:v>
      </x:c>
      <x:c r="P143" s="4" t="e">
        <x:f>HYPERLINK("https://github.com/kapiltrip/hdlBits/blob/main/study/problems/Day%2005/112-fsm2.md","Note")</x:f>
        <x:v>HYPERLINK is not implemented. linkLocation=https://github.com/kapiltrip/hdlBits/blob/main/study/problems/Day%2005/112-fsm2.md, friendlyName=Note</x:v>
      </x:c>
      <x:c r="Q143" s="4" t="e">
        <x:f>HYPERLINK("https://github.com/kapiltrip/hdlBits/blob/main/study/images/Day%2005/112-fsm2.png","Image")</x:f>
        <x:v>HYPERLINK is not implemented. linkLocation=https://github.com/kapiltrip/hdlBits/blob/main/study/images/Day%2005/112-fsm2.png, friendlyName=Image</x:v>
      </x:c>
      <x:c r="R143" s="4" t="e">
        <x:f>HYPERLINK("https://github.com/kapiltrip/hdlBits/blob/main/study/solutions/Day%2005/112-fsm2.sv","Code")</x:f>
        <x:v>HYPERLINK is not implemented. linkLocation=https://github.com/kapiltrip/hdlBits/blob/main/study/solutions/Day%2005/112-fsm2.sv, friendlyName=Code</x:v>
      </x:c>
      <x:c r="S143" s="4" t="e">
        <x:f>HYPERLINK("https://hdlbits.01xz.net/wiki/fsm2","HDLBits")</x:f>
        <x:v>HYPERLINK is not implemented. linkLocation=https://hdlbits.01xz.net/wiki/fsm2, friendlyName=HDLBits</x:v>
      </x:c>
      <x:c r="T143" s="2" t="s">
        <x:v>541</x:v>
      </x:c>
      <x:c r="U143" s="2"/>
    </x:row>
    <x:row r="144" ht="34.04999923706055" customHeight="1">
      <x:c r="A144" s="7">
        <x:v>122</x:v>
      </x:c>
      <x:c r="B144" s="7">
        <x:v>113</x:v>
      </x:c>
      <x:c r="C144" s="8" t="s">
        <x:v>28</x:v>
      </x:c>
      <x:c r="D144" s="8" t="s">
        <x:v>39</x:v>
      </x:c>
      <x:c r="E144" s="8" t="s">
        <x:v>542</x:v>
      </x:c>
      <x:c r="F144" s="8" t="s">
        <x:v>543</x:v>
      </x:c>
      <x:c r="G144" s="7" t="s">
        <x:v>1</x:v>
      </x:c>
      <x:c r="H144" s="7" t="s">
        <x:v>23</x:v>
      </x:c>
      <x:c r="I144" s="55">
        <x:v>46200</x:v>
      </x:c>
      <x:c r="J144" s="7" t="s">
        <x:v>544</x:v>
      </x:c>
      <x:c r="K144" s="7">
        <x:v>2</x:v>
      </x:c>
      <x:c r="L144" s="7">
        <x:v>0</x:v>
      </x:c>
      <x:c r="M144" s="7">
        <x:v>1</x:v>
      </x:c>
      <x:c r="N144" s="7">
        <x:v>0</x:v>
      </x:c>
      <x:c r="O144" s="10">
        <x:v>0.5</x:v>
      </x:c>
      <x:c r="P144" s="11" t="e">
        <x:f>HYPERLINK("https://github.com/kapiltrip/hdlBits/blob/main/study/problems/Day%2005/113-fsm2s.md","Note")</x:f>
        <x:v>HYPERLINK is not implemented. linkLocation=https://github.com/kapiltrip/hdlBits/blob/main/study/problems/Day%2005/113-fsm2s.md, friendlyName=Note</x:v>
      </x:c>
      <x:c r="Q144" s="11" t="e">
        <x:f>HYPERLINK("https://github.com/kapiltrip/hdlBits/blob/main/study/images/Day%2005/113-fsm2s.png","Image")</x:f>
        <x:v>HYPERLINK is not implemented. linkLocation=https://github.com/kapiltrip/hdlBits/blob/main/study/images/Day%2005/113-fsm2s.png, friendlyName=Image</x:v>
      </x:c>
      <x:c r="R144" s="11" t="e">
        <x:f>HYPERLINK("https://github.com/kapiltrip/hdlBits/blob/main/study/solutions/Day%2005/113-fsm2s.sv","Code")</x:f>
        <x:v>HYPERLINK is not implemented. linkLocation=https://github.com/kapiltrip/hdlBits/blob/main/study/solutions/Day%2005/113-fsm2s.sv, friendlyName=Code</x:v>
      </x:c>
      <x:c r="S144" s="11" t="e">
        <x:f>HYPERLINK("https://hdlbits.01xz.net/wiki/fsm2s","HDLBits")</x:f>
        <x:v>HYPERLINK is not implemented. linkLocation=https://hdlbits.01xz.net/wiki/fsm2s, friendlyName=HDLBits</x:v>
      </x:c>
      <x:c r="T144" s="8" t="s">
        <x:v>545</x:v>
      </x:c>
      <x:c r="U144" s="8"/>
    </x:row>
    <x:row r="145" ht="34.04999923706055" customHeight="1">
      <x:c r="A145" s="3">
        <x:v>123</x:v>
      </x:c>
      <x:c r="B145" s="3">
        <x:v>114</x:v>
      </x:c>
      <x:c r="C145" s="2" t="s">
        <x:v>28</x:v>
      </x:c>
      <x:c r="D145" s="2" t="s">
        <x:v>39</x:v>
      </x:c>
      <x:c r="E145" s="2" t="s">
        <x:v>546</x:v>
      </x:c>
      <x:c r="F145" s="2" t="s">
        <x:v>547</x:v>
      </x:c>
      <x:c r="G145" s="3" t="s">
        <x:v>1</x:v>
      </x:c>
      <x:c r="H145" s="3" t="s">
        <x:v>23</x:v>
      </x:c>
      <x:c r="I145" s="56">
        <x:v>46200</x:v>
      </x:c>
      <x:c r="J145" s="3" t="s">
        <x:v>548</x:v>
      </x:c>
      <x:c r="K145" s="3">
        <x:v>7</x:v>
      </x:c>
      <x:c r="L145" s="3">
        <x:v>1</x:v>
      </x:c>
      <x:c r="M145" s="3">
        <x:v>5</x:v>
      </x:c>
      <x:c r="N145" s="3">
        <x:v>0</x:v>
      </x:c>
      <x:c r="O145" s="6">
        <x:v>0.14000000000000001</x:v>
      </x:c>
      <x:c r="P145" s="4" t="e">
        <x:f>HYPERLINK("https://github.com/kapiltrip/hdlBits/blob/main/study/problems/Day%2005/114-fsm3comb.md","Note")</x:f>
        <x:v>HYPERLINK is not implemented. linkLocation=https://github.com/kapiltrip/hdlBits/blob/main/study/problems/Day%2005/114-fsm3comb.md, friendlyName=Note</x:v>
      </x:c>
      <x:c r="Q145" s="4" t="e">
        <x:f>HYPERLINK("https://github.com/kapiltrip/hdlBits/blob/main/study/images/Day%2005/114-fsm3comb.png","Image")</x:f>
        <x:v>HYPERLINK is not implemented. linkLocation=https://github.com/kapiltrip/hdlBits/blob/main/study/images/Day%2005/114-fsm3comb.png, friendlyName=Image</x:v>
      </x:c>
      <x:c r="R145" s="4" t="e">
        <x:f>HYPERLINK("https://github.com/kapiltrip/hdlBits/blob/main/study/solutions/Day%2005/114-fsm3comb.sv","Code")</x:f>
        <x:v>HYPERLINK is not implemented. linkLocation=https://github.com/kapiltrip/hdlBits/blob/main/study/solutions/Day%2005/114-fsm3comb.sv, friendlyName=Code</x:v>
      </x:c>
      <x:c r="S145" s="4" t="e">
        <x:f>HYPERLINK("https://hdlbits.01xz.net/wiki/fsm3comb","HDLBits")</x:f>
        <x:v>HYPERLINK is not implemented. linkLocation=https://hdlbits.01xz.net/wiki/fsm3comb, friendlyName=HDLBits</x:v>
      </x:c>
      <x:c r="T145" s="2" t="s">
        <x:v>549</x:v>
      </x:c>
      <x:c r="U145" s="2"/>
    </x:row>
    <x:row r="146" ht="34.04999923706055" customHeight="1">
      <x:c r="A146" s="7">
        <x:v>124</x:v>
      </x:c>
      <x:c r="B146" s="7">
        <x:v>115</x:v>
      </x:c>
      <x:c r="C146" s="8" t="s">
        <x:v>28</x:v>
      </x:c>
      <x:c r="D146" s="8" t="s">
        <x:v>39</x:v>
      </x:c>
      <x:c r="E146" s="8" t="s">
        <x:v>550</x:v>
      </x:c>
      <x:c r="F146" s="8" t="s">
        <x:v>551</x:v>
      </x:c>
      <x:c r="G146" s="7" t="s">
        <x:v>1</x:v>
      </x:c>
      <x:c r="H146" s="7" t="s">
        <x:v>23</x:v>
      </x:c>
      <x:c r="I146" s="55">
        <x:v>46200</x:v>
      </x:c>
      <x:c r="J146" s="7" t="s">
        <x:v>552</x:v>
      </x:c>
      <x:c r="K146" s="7">
        <x:v>6</x:v>
      </x:c>
      <x:c r="L146" s="7">
        <x:v>4</x:v>
      </x:c>
      <x:c r="M146" s="7">
        <x:v>1</x:v>
      </x:c>
      <x:c r="N146" s="7">
        <x:v>0</x:v>
      </x:c>
      <x:c r="O146" s="10">
        <x:v>0.17</x:v>
      </x:c>
      <x:c r="P146" s="11" t="e">
        <x:f>HYPERLINK("https://github.com/kapiltrip/hdlBits/blob/main/study/problems/Day%2005/115-fsm3onehot.md","Note")</x:f>
        <x:v>HYPERLINK is not implemented. linkLocation=https://github.com/kapiltrip/hdlBits/blob/main/study/problems/Day%2005/115-fsm3onehot.md, friendlyName=Note</x:v>
      </x:c>
      <x:c r="Q146" s="11" t="e">
        <x:f>HYPERLINK("https://github.com/kapiltrip/hdlBits/blob/main/study/images/Day%2005/115-fsm3onehot.png","Image")</x:f>
        <x:v>HYPERLINK is not implemented. linkLocation=https://github.com/kapiltrip/hdlBits/blob/main/study/images/Day%2005/115-fsm3onehot.png, friendlyName=Image</x:v>
      </x:c>
      <x:c r="R146" s="11" t="e">
        <x:f>HYPERLINK("https://github.com/kapiltrip/hdlBits/blob/main/study/solutions/Day%2005/115-fsm3onehot.sv","Code")</x:f>
        <x:v>HYPERLINK is not implemented. linkLocation=https://github.com/kapiltrip/hdlBits/blob/main/study/solutions/Day%2005/115-fsm3onehot.sv, friendlyName=Code</x:v>
      </x:c>
      <x:c r="S146" s="11" t="e">
        <x:f>HYPERLINK("https://hdlbits.01xz.net/wiki/fsm3onehot","HDLBits")</x:f>
        <x:v>HYPERLINK is not implemented. linkLocation=https://hdlbits.01xz.net/wiki/fsm3onehot, friendlyName=HDLBits</x:v>
      </x:c>
      <x:c r="T146" s="8" t="s">
        <x:v>553</x:v>
      </x:c>
      <x:c r="U146" s="8"/>
    </x:row>
    <x:row r="147" ht="34.04999923706055" customHeight="1">
      <x:c r="A147" s="3">
        <x:v>125</x:v>
      </x:c>
      <x:c r="B147" s="3">
        <x:v>116</x:v>
      </x:c>
      <x:c r="C147" s="2" t="s">
        <x:v>28</x:v>
      </x:c>
      <x:c r="D147" s="2" t="s">
        <x:v>39</x:v>
      </x:c>
      <x:c r="E147" s="2" t="s">
        <x:v>554</x:v>
      </x:c>
      <x:c r="F147" s="2" t="s">
        <x:v>555</x:v>
      </x:c>
      <x:c r="G147" s="3" t="s">
        <x:v>1</x:v>
      </x:c>
      <x:c r="H147" s="3" t="s">
        <x:v>23</x:v>
      </x:c>
      <x:c r="I147" s="56">
        <x:v>46200</x:v>
      </x:c>
      <x:c r="J147" s="3" t="s">
        <x:v>556</x:v>
      </x:c>
      <x:c r="K147" s="3">
        <x:v>1</x:v>
      </x:c>
      <x:c r="L147" s="3">
        <x:v>0</x:v>
      </x:c>
      <x:c r="M147" s="3">
        <x:v>0</x:v>
      </x:c>
      <x:c r="N147" s="3">
        <x:v>0</x:v>
      </x:c>
      <x:c r="O147" s="6">
        <x:v>1</x:v>
      </x:c>
      <x:c r="P147" s="4" t="e">
        <x:f>HYPERLINK("https://github.com/kapiltrip/hdlBits/blob/main/study/problems/Day%2005/116-fsm3.md","Note")</x:f>
        <x:v>HYPERLINK is not implemented. linkLocation=https://github.com/kapiltrip/hdlBits/blob/main/study/problems/Day%2005/116-fsm3.md, friendlyName=Note</x:v>
      </x:c>
      <x:c r="Q147" s="4" t="e">
        <x:f>HYPERLINK("https://github.com/kapiltrip/hdlBits/blob/main/study/images/Day%2005/116-fsm3.png","Image")</x:f>
        <x:v>HYPERLINK is not implemented. linkLocation=https://github.com/kapiltrip/hdlBits/blob/main/study/images/Day%2005/116-fsm3.png, friendlyName=Image</x:v>
      </x:c>
      <x:c r="R147" s="4" t="e">
        <x:f>HYPERLINK("https://github.com/kapiltrip/hdlBits/blob/main/study/solutions/Day%2005/116-fsm3.sv","Code")</x:f>
        <x:v>HYPERLINK is not implemented. linkLocation=https://github.com/kapiltrip/hdlBits/blob/main/study/solutions/Day%2005/116-fsm3.sv, friendlyName=Code</x:v>
      </x:c>
      <x:c r="S147" s="4" t="e">
        <x:f>HYPERLINK("https://hdlbits.01xz.net/wiki/fsm3","HDLBits")</x:f>
        <x:v>HYPERLINK is not implemented. linkLocation=https://hdlbits.01xz.net/wiki/fsm3, friendlyName=HDLBits</x:v>
      </x:c>
      <x:c r="T147" s="2" t="s">
        <x:v>557</x:v>
      </x:c>
      <x:c r="U147" s="2"/>
    </x:row>
    <x:row r="148" ht="34.04999923706055" customHeight="1">
      <x:c r="A148" s="7">
        <x:v>126</x:v>
      </x:c>
      <x:c r="B148" s="7">
        <x:v>117</x:v>
      </x:c>
      <x:c r="C148" s="8" t="s">
        <x:v>28</x:v>
      </x:c>
      <x:c r="D148" s="8" t="s">
        <x:v>39</x:v>
      </x:c>
      <x:c r="E148" s="8" t="s">
        <x:v>558</x:v>
      </x:c>
      <x:c r="F148" s="8" t="s">
        <x:v>559</x:v>
      </x:c>
      <x:c r="G148" s="7" t="s">
        <x:v>1</x:v>
      </x:c>
      <x:c r="H148" s="7" t="s">
        <x:v>23</x:v>
      </x:c>
      <x:c r="I148" s="55">
        <x:v>46200</x:v>
      </x:c>
      <x:c r="J148" s="7" t="s">
        <x:v>560</x:v>
      </x:c>
      <x:c r="K148" s="7">
        <x:v>2</x:v>
      </x:c>
      <x:c r="L148" s="7">
        <x:v>0</x:v>
      </x:c>
      <x:c r="M148" s="7">
        <x:v>1</x:v>
      </x:c>
      <x:c r="N148" s="7">
        <x:v>0</x:v>
      </x:c>
      <x:c r="O148" s="10">
        <x:v>0.5</x:v>
      </x:c>
      <x:c r="P148" s="11" t="e">
        <x:f>HYPERLINK("https://github.com/kapiltrip/hdlBits/blob/main/study/problems/Day%2005/117-fsm3s.md","Note")</x:f>
        <x:v>HYPERLINK is not implemented. linkLocation=https://github.com/kapiltrip/hdlBits/blob/main/study/problems/Day%2005/117-fsm3s.md, friendlyName=Note</x:v>
      </x:c>
      <x:c r="Q148" s="11" t="e">
        <x:f>HYPERLINK("https://github.com/kapiltrip/hdlBits/blob/main/study/images/Day%2005/117-fsm3s.png","Image")</x:f>
        <x:v>HYPERLINK is not implemented. linkLocation=https://github.com/kapiltrip/hdlBits/blob/main/study/images/Day%2005/117-fsm3s.png, friendlyName=Image</x:v>
      </x:c>
      <x:c r="R148" s="11" t="e">
        <x:f>HYPERLINK("https://github.com/kapiltrip/hdlBits/blob/main/study/solutions/Day%2005/117-fsm3s.sv","Code")</x:f>
        <x:v>HYPERLINK is not implemented. linkLocation=https://github.com/kapiltrip/hdlBits/blob/main/study/solutions/Day%2005/117-fsm3s.sv, friendlyName=Code</x:v>
      </x:c>
      <x:c r="S148" s="11" t="e">
        <x:f>HYPERLINK("https://hdlbits.01xz.net/wiki/fsm3s","HDLBits")</x:f>
        <x:v>HYPERLINK is not implemented. linkLocation=https://hdlbits.01xz.net/wiki/fsm3s, friendlyName=HDLBits</x:v>
      </x:c>
      <x:c r="T148" s="8" t="s">
        <x:v>561</x:v>
      </x:c>
      <x:c r="U148" s="8"/>
    </x:row>
    <x:row r="149" ht="34.04999923706055" customHeight="1">
      <x:c r="A149" s="3">
        <x:v>127</x:v>
      </x:c>
      <x:c r="B149" s="3">
        <x:v>118</x:v>
      </x:c>
      <x:c r="C149" s="2" t="s">
        <x:v>28</x:v>
      </x:c>
      <x:c r="D149" s="2" t="s">
        <x:v>39</x:v>
      </x:c>
      <x:c r="E149" s="2" t="s">
        <x:v>562</x:v>
      </x:c>
      <x:c r="F149" s="2" t="s">
        <x:v>563</x:v>
      </x:c>
      <x:c r="G149" s="3" t="s">
        <x:v>1</x:v>
      </x:c>
      <x:c r="H149" s="3" t="s">
        <x:v>23</x:v>
      </x:c>
      <x:c r="I149" s="56">
        <x:v>46200</x:v>
      </x:c>
      <x:c r="J149" s="3" t="s">
        <x:v>564</x:v>
      </x:c>
      <x:c r="K149" s="3">
        <x:v>4</x:v>
      </x:c>
      <x:c r="L149" s="3">
        <x:v>1</x:v>
      </x:c>
      <x:c r="M149" s="3">
        <x:v>2</x:v>
      </x:c>
      <x:c r="N149" s="3">
        <x:v>0</x:v>
      </x:c>
      <x:c r="O149" s="6">
        <x:v>0.25</x:v>
      </x:c>
      <x:c r="P149" s="4" t="e">
        <x:f>HYPERLINK("https://github.com/kapiltrip/hdlBits/blob/main/study/problems/Day%2005/118-exams__ece241_2013_q4.md","Note")</x:f>
        <x:v>HYPERLINK is not implemented. linkLocation=https://github.com/kapiltrip/hdlBits/blob/main/study/problems/Day%2005/118-exams__ece241_2013_q4.md, friendlyName=Note</x:v>
      </x:c>
      <x:c r="Q149" s="4" t="e">
        <x:f>HYPERLINK("https://github.com/kapiltrip/hdlBits/blob/main/study/images/Day%2005/118-exams__ece241_2013_q4.png","Image")</x:f>
        <x:v>HYPERLINK is not implemented. linkLocation=https://github.com/kapiltrip/hdlBits/blob/main/study/images/Day%2005/118-exams__ece241_2013_q4.png, friendlyName=Image</x:v>
      </x:c>
      <x:c r="R149" s="4" t="e">
        <x:f>HYPERLINK("https://github.com/kapiltrip/hdlBits/blob/main/study/solutions/Day%2005/118-exams__ece241_2013_q4.sv","Code")</x:f>
        <x:v>HYPERLINK is not implemented. linkLocation=https://github.com/kapiltrip/hdlBits/blob/main/study/solutions/Day%2005/118-exams__ece241_2013_q4.sv, friendlyName=Code</x:v>
      </x:c>
      <x:c r="S149" s="4" t="e">
        <x:f>HYPERLINK("https://hdlbits.01xz.net/wiki/exams/ece241_2013_q4","HDLBits")</x:f>
        <x:v>HYPERLINK is not implemented. linkLocation=https://hdlbits.01xz.net/wiki/exams/ece241_2013_q4, friendlyName=HDLBits</x:v>
      </x:c>
      <x:c r="T149" s="2" t="s">
        <x:v>565</x:v>
      </x:c>
      <x:c r="U149" s="2"/>
    </x:row>
    <x:row r="150" ht="34.04999923706055" customHeight="1">
      <x:c r="A150" s="7">
        <x:v>128</x:v>
      </x:c>
      <x:c r="B150" s="7">
        <x:v>119</x:v>
      </x:c>
      <x:c r="C150" s="8" t="s">
        <x:v>28</x:v>
      </x:c>
      <x:c r="D150" s="8" t="s">
        <x:v>39</x:v>
      </x:c>
      <x:c r="E150" s="8" t="s">
        <x:v>566</x:v>
      </x:c>
      <x:c r="F150" s="8" t="s">
        <x:v>567</x:v>
      </x:c>
      <x:c r="G150" s="7" t="s">
        <x:v>1</x:v>
      </x:c>
      <x:c r="H150" s="7" t="s">
        <x:v>23</x:v>
      </x:c>
      <x:c r="I150" s="55">
        <x:v>46200</x:v>
      </x:c>
      <x:c r="J150" s="7" t="s">
        <x:v>568</x:v>
      </x:c>
      <x:c r="K150" s="7">
        <x:v>2</x:v>
      </x:c>
      <x:c r="L150" s="7">
        <x:v>0</x:v>
      </x:c>
      <x:c r="M150" s="7">
        <x:v>1</x:v>
      </x:c>
      <x:c r="N150" s="7">
        <x:v>0</x:v>
      </x:c>
      <x:c r="O150" s="10">
        <x:v>0.5</x:v>
      </x:c>
      <x:c r="P150" s="11" t="e">
        <x:f>HYPERLINK("https://github.com/kapiltrip/hdlBits/blob/main/study/problems/Day%2005/119-lemmings1.md","Note")</x:f>
        <x:v>HYPERLINK is not implemented. linkLocation=https://github.com/kapiltrip/hdlBits/blob/main/study/problems/Day%2005/119-lemmings1.md, friendlyName=Note</x:v>
      </x:c>
      <x:c r="Q150" s="11" t="e">
        <x:f>HYPERLINK("https://github.com/kapiltrip/hdlBits/blob/main/study/images/Day%2005/119-lemmings1.png","Image")</x:f>
        <x:v>HYPERLINK is not implemented. linkLocation=https://github.com/kapiltrip/hdlBits/blob/main/study/images/Day%2005/119-lemmings1.png, friendlyName=Image</x:v>
      </x:c>
      <x:c r="R150" s="11" t="e">
        <x:f>HYPERLINK("https://github.com/kapiltrip/hdlBits/blob/main/study/solutions/Day%2005/119-lemmings1.sv","Code")</x:f>
        <x:v>HYPERLINK is not implemented. linkLocation=https://github.com/kapiltrip/hdlBits/blob/main/study/solutions/Day%2005/119-lemmings1.sv, friendlyName=Code</x:v>
      </x:c>
      <x:c r="S150" s="11" t="e">
        <x:f>HYPERLINK("https://hdlbits.01xz.net/wiki/lemmings1","HDLBits")</x:f>
        <x:v>HYPERLINK is not implemented. linkLocation=https://hdlbits.01xz.net/wiki/lemmings1, friendlyName=HDLBits</x:v>
      </x:c>
      <x:c r="T150" s="8" t="s">
        <x:v>569</x:v>
      </x:c>
      <x:c r="U150" s="8"/>
    </x:row>
    <x:row r="151" ht="34.04999923706055" customHeight="1">
      <x:c r="A151" s="3">
        <x:v>129</x:v>
      </x:c>
      <x:c r="B151" s="3">
        <x:v>120</x:v>
      </x:c>
      <x:c r="C151" s="2" t="s">
        <x:v>28</x:v>
      </x:c>
      <x:c r="D151" s="2" t="s">
        <x:v>39</x:v>
      </x:c>
      <x:c r="E151" s="2" t="s">
        <x:v>570</x:v>
      </x:c>
      <x:c r="F151" s="2" t="s">
        <x:v>571</x:v>
      </x:c>
      <x:c r="G151" s="3" t="s">
        <x:v>2</x:v>
      </x:c>
      <x:c r="H151" s="57" t="str">
        <x:v>Day 11</x:v>
      </x:c>
      <x:c r="I151" s="56"/>
      <x:c r="J151" s="3"/>
      <x:c r="K151" s="3">
        <x:v>7</x:v>
      </x:c>
      <x:c r="L151" s="3">
        <x:v>5</x:v>
      </x:c>
      <x:c r="M151" s="3">
        <x:v>2</x:v>
      </x:c>
      <x:c r="N151" s="3">
        <x:v>0</x:v>
      </x:c>
      <x:c r="O151" s="6">
        <x:v>0</x:v>
      </x:c>
      <x:c r="P151" s="4" t="e">
        <x:f>HYPERLINK("https://github.com/kapiltrip/hdlBits/blob/main/study/Review.md","Review")</x:f>
        <x:v>HYPERLINK is not implemented. linkLocation=https://github.com/kapiltrip/hdlBits/blob/main/study/Review.md, friendlyName=Review</x:v>
      </x:c>
      <x:c r="Q151" s="4" t="e">
        <x:f>HYPERLINK("https://github.com/kapiltrip/hdlBits/blob/main/study/images/Review/120-lemmings2.png","Image")</x:f>
        <x:v>HYPERLINK is not implemented. linkLocation=https://github.com/kapiltrip/hdlBits/blob/main/study/images/Review/120-lemmings2.png, friendlyName=Image</x:v>
      </x:c>
      <x:c r="R151" s="4"/>
      <x:c r="S151" s="4" t="e">
        <x:f>HYPERLINK("https://hdlbits.01xz.net/wiki/lemmings2","HDLBits")</x:f>
        <x:v>HYPERLINK is not implemented. linkLocation=https://hdlbits.01xz.net/wiki/lemmings2, friendlyName=HDLBits</x:v>
      </x:c>
      <x:c r="T151" s="2" t="s">
        <x:v>572</x:v>
      </x:c>
      <x:c r="U151" s="2" t="str">
        <x:v>Planned for 2026-07-04. Add the screenshot, solution, archive number, and actual submission timestamp only after HDLBits reports Success.</x:v>
      </x:c>
    </x:row>
    <x:row r="152" ht="34.04999923706055" customHeight="1">
      <x:c r="A152" s="7">
        <x:v>130</x:v>
      </x:c>
      <x:c r="B152" s="7"/>
      <x:c r="C152" s="8" t="s">
        <x:v>28</x:v>
      </x:c>
      <x:c r="D152" s="8" t="s">
        <x:v>39</x:v>
      </x:c>
      <x:c r="E152" s="8" t="s">
        <x:v>573</x:v>
      </x:c>
      <x:c r="F152" s="8" t="s">
        <x:v>574</x:v>
      </x:c>
      <x:c r="G152" s="7" t="s">
        <x:v>523</x:v>
      </x:c>
      <x:c r="H152" s="57" t="str">
        <x:v>Day 11</x:v>
      </x:c>
      <x:c r="I152" s="55"/>
      <x:c r="J152" s="7"/>
      <x:c r="K152" s="7">
        <x:v>0</x:v>
      </x:c>
      <x:c r="L152" s="7">
        <x:v>0</x:v>
      </x:c>
      <x:c r="M152" s="7">
        <x:v>0</x:v>
      </x:c>
      <x:c r="N152" s="7">
        <x:v>0</x:v>
      </x:c>
      <x:c r="O152" s="10"/>
      <x:c r="P152" s="11"/>
      <x:c r="Q152" s="11"/>
      <x:c r="R152" s="11"/>
      <x:c r="S152" s="11" t="e">
        <x:f>HYPERLINK("https://hdlbits.01xz.net/wiki/lemmings3","HDLBits")</x:f>
        <x:v>HYPERLINK is not implemented. linkLocation=https://hdlbits.01xz.net/wiki/lemmings3, friendlyName=HDLBits</x:v>
      </x:c>
      <x:c r="T152" s="8" t="s">
        <x:v>524</x:v>
      </x:c>
      <x:c r="U152" s="8" t="str">
        <x:v>Planned for 2026-07-04. Add the screenshot, solution, archive number, and actual submission timestamp only after HDLBits reports Success.</x:v>
      </x:c>
    </x:row>
    <x:row r="153" ht="34.04999923706055" customHeight="1">
      <x:c r="A153" s="3">
        <x:v>131</x:v>
      </x:c>
      <x:c r="B153" s="3"/>
      <x:c r="C153" s="2" t="s">
        <x:v>28</x:v>
      </x:c>
      <x:c r="D153" s="2" t="s">
        <x:v>39</x:v>
      </x:c>
      <x:c r="E153" s="2" t="s">
        <x:v>575</x:v>
      </x:c>
      <x:c r="F153" s="2" t="s">
        <x:v>576</x:v>
      </x:c>
      <x:c r="G153" s="3" t="s">
        <x:v>523</x:v>
      </x:c>
      <x:c r="H153" s="57" t="str">
        <x:v>Day 11</x:v>
      </x:c>
      <x:c r="I153" s="56"/>
      <x:c r="J153" s="3"/>
      <x:c r="K153" s="3">
        <x:v>0</x:v>
      </x:c>
      <x:c r="L153" s="3">
        <x:v>0</x:v>
      </x:c>
      <x:c r="M153" s="3">
        <x:v>0</x:v>
      </x:c>
      <x:c r="N153" s="3">
        <x:v>0</x:v>
      </x:c>
      <x:c r="O153" s="6"/>
      <x:c r="P153" s="4"/>
      <x:c r="Q153" s="4"/>
      <x:c r="R153" s="4"/>
      <x:c r="S153" s="4" t="e">
        <x:f>HYPERLINK("https://hdlbits.01xz.net/wiki/lemmings4","HDLBits")</x:f>
        <x:v>HYPERLINK is not implemented. linkLocation=https://hdlbits.01xz.net/wiki/lemmings4, friendlyName=HDLBits</x:v>
      </x:c>
      <x:c r="T153" s="2" t="s">
        <x:v>524</x:v>
      </x:c>
      <x:c r="U153" s="2" t="str">
        <x:v>Planned for 2026-07-04. Add the screenshot, solution, archive number, and actual submission timestamp only after HDLBits reports Success.</x:v>
      </x:c>
    </x:row>
    <x:row r="154" ht="34.04999923706055" customHeight="1">
      <x:c r="A154" s="7">
        <x:v>132</x:v>
      </x:c>
      <x:c r="B154" s="7"/>
      <x:c r="C154" s="8" t="s">
        <x:v>28</x:v>
      </x:c>
      <x:c r="D154" s="8" t="s">
        <x:v>39</x:v>
      </x:c>
      <x:c r="E154" s="8" t="s">
        <x:v>577</x:v>
      </x:c>
      <x:c r="F154" s="8" t="s">
        <x:v>578</x:v>
      </x:c>
      <x:c r="G154" s="7" t="s">
        <x:v>523</x:v>
      </x:c>
      <x:c r="H154" s="57" t="str">
        <x:v>Day 11</x:v>
      </x:c>
      <x:c r="I154" s="55"/>
      <x:c r="J154" s="7"/>
      <x:c r="K154" s="7">
        <x:v>0</x:v>
      </x:c>
      <x:c r="L154" s="7">
        <x:v>0</x:v>
      </x:c>
      <x:c r="M154" s="7">
        <x:v>0</x:v>
      </x:c>
      <x:c r="N154" s="7">
        <x:v>0</x:v>
      </x:c>
      <x:c r="O154" s="10"/>
      <x:c r="P154" s="11"/>
      <x:c r="Q154" s="11"/>
      <x:c r="R154" s="11"/>
      <x:c r="S154" s="11" t="e">
        <x:f>HYPERLINK("https://hdlbits.01xz.net/wiki/fsm_onehot","HDLBits")</x:f>
        <x:v>HYPERLINK is not implemented. linkLocation=https://hdlbits.01xz.net/wiki/fsm_onehot, friendlyName=HDLBits</x:v>
      </x:c>
      <x:c r="T154" s="8" t="s">
        <x:v>524</x:v>
      </x:c>
      <x:c r="U154" s="8" t="str">
        <x:v>Planned for 2026-07-04. Add the screenshot, solution, archive number, and actual submission timestamp only after HDLBits reports Success.</x:v>
      </x:c>
    </x:row>
    <x:row r="155" ht="34.04999923706055" customHeight="1">
      <x:c r="A155" s="3">
        <x:v>133</x:v>
      </x:c>
      <x:c r="B155" s="3"/>
      <x:c r="C155" s="2" t="s">
        <x:v>28</x:v>
      </x:c>
      <x:c r="D155" s="2" t="s">
        <x:v>39</x:v>
      </x:c>
      <x:c r="E155" s="2" t="s">
        <x:v>579</x:v>
      </x:c>
      <x:c r="F155" s="2" t="s">
        <x:v>580</x:v>
      </x:c>
      <x:c r="G155" s="3" t="s">
        <x:v>523</x:v>
      </x:c>
      <x:c r="H155" s="57" t="str">
        <x:v>Day 11</x:v>
      </x:c>
      <x:c r="I155" s="56"/>
      <x:c r="J155" s="3"/>
      <x:c r="K155" s="3">
        <x:v>0</x:v>
      </x:c>
      <x:c r="L155" s="3">
        <x:v>0</x:v>
      </x:c>
      <x:c r="M155" s="3">
        <x:v>0</x:v>
      </x:c>
      <x:c r="N155" s="3">
        <x:v>0</x:v>
      </x:c>
      <x:c r="O155" s="6"/>
      <x:c r="P155" s="4"/>
      <x:c r="Q155" s="4"/>
      <x:c r="R155" s="4"/>
      <x:c r="S155" s="4" t="e">
        <x:f>HYPERLINK("https://hdlbits.01xz.net/wiki/fsm_ps2","HDLBits")</x:f>
        <x:v>HYPERLINK is not implemented. linkLocation=https://hdlbits.01xz.net/wiki/fsm_ps2, friendlyName=HDLBits</x:v>
      </x:c>
      <x:c r="T155" s="2" t="s">
        <x:v>524</x:v>
      </x:c>
      <x:c r="U155" s="2" t="str">
        <x:v>Planned for 2026-07-04. Add the screenshot, solution, archive number, and actual submission timestamp only after HDLBits reports Success.</x:v>
      </x:c>
    </x:row>
    <x:row r="156" ht="34.04999923706055" customHeight="1">
      <x:c r="A156" s="7">
        <x:v>134</x:v>
      </x:c>
      <x:c r="B156" s="7"/>
      <x:c r="C156" s="8" t="s">
        <x:v>28</x:v>
      </x:c>
      <x:c r="D156" s="8" t="s">
        <x:v>39</x:v>
      </x:c>
      <x:c r="E156" s="8" t="s">
        <x:v>581</x:v>
      </x:c>
      <x:c r="F156" s="8" t="s">
        <x:v>582</x:v>
      </x:c>
      <x:c r="G156" s="7" t="s">
        <x:v>523</x:v>
      </x:c>
      <x:c r="H156" s="57" t="str">
        <x:v>Day 11</x:v>
      </x:c>
      <x:c r="I156" s="55"/>
      <x:c r="J156" s="7"/>
      <x:c r="K156" s="7">
        <x:v>0</x:v>
      </x:c>
      <x:c r="L156" s="7">
        <x:v>0</x:v>
      </x:c>
      <x:c r="M156" s="7">
        <x:v>0</x:v>
      </x:c>
      <x:c r="N156" s="7">
        <x:v>0</x:v>
      </x:c>
      <x:c r="O156" s="10"/>
      <x:c r="P156" s="11"/>
      <x:c r="Q156" s="11"/>
      <x:c r="R156" s="11"/>
      <x:c r="S156" s="11" t="e">
        <x:f>HYPERLINK("https://hdlbits.01xz.net/wiki/fsm_ps2data","HDLBits")</x:f>
        <x:v>HYPERLINK is not implemented. linkLocation=https://hdlbits.01xz.net/wiki/fsm_ps2data, friendlyName=HDLBits</x:v>
      </x:c>
      <x:c r="T156" s="8" t="s">
        <x:v>524</x:v>
      </x:c>
      <x:c r="U156" s="8" t="str">
        <x:v>Planned for 2026-07-04. Add the screenshot, solution, archive number, and actual submission timestamp only after HDLBits reports Success.</x:v>
      </x:c>
    </x:row>
    <x:row r="157" ht="34.04999923706055" customHeight="1">
      <x:c r="A157" s="3">
        <x:v>135</x:v>
      </x:c>
      <x:c r="B157" s="3"/>
      <x:c r="C157" s="2" t="s">
        <x:v>28</x:v>
      </x:c>
      <x:c r="D157" s="2" t="s">
        <x:v>39</x:v>
      </x:c>
      <x:c r="E157" s="2" t="s">
        <x:v>583</x:v>
      </x:c>
      <x:c r="F157" s="2" t="s">
        <x:v>584</x:v>
      </x:c>
      <x:c r="G157" s="3" t="s">
        <x:v>523</x:v>
      </x:c>
      <x:c r="H157" s="57" t="str">
        <x:v>Day 11</x:v>
      </x:c>
      <x:c r="I157" s="56"/>
      <x:c r="J157" s="3"/>
      <x:c r="K157" s="3">
        <x:v>0</x:v>
      </x:c>
      <x:c r="L157" s="3">
        <x:v>0</x:v>
      </x:c>
      <x:c r="M157" s="3">
        <x:v>0</x:v>
      </x:c>
      <x:c r="N157" s="3">
        <x:v>0</x:v>
      </x:c>
      <x:c r="O157" s="6"/>
      <x:c r="P157" s="4"/>
      <x:c r="Q157" s="4"/>
      <x:c r="R157" s="4"/>
      <x:c r="S157" s="4" t="e">
        <x:f>HYPERLINK("https://hdlbits.01xz.net/wiki/fsm_serial","HDLBits")</x:f>
        <x:v>HYPERLINK is not implemented. linkLocation=https://hdlbits.01xz.net/wiki/fsm_serial, friendlyName=HDLBits</x:v>
      </x:c>
      <x:c r="T157" s="2" t="s">
        <x:v>524</x:v>
      </x:c>
      <x:c r="U157" s="2" t="str">
        <x:v>Planned for 2026-07-04. Add the screenshot, solution, archive number, and actual submission timestamp only after HDLBits reports Success.</x:v>
      </x:c>
    </x:row>
    <x:row r="158" ht="34.04999923706055" customHeight="1">
      <x:c r="A158" s="7">
        <x:v>136</x:v>
      </x:c>
      <x:c r="B158" s="7"/>
      <x:c r="C158" s="8" t="s">
        <x:v>28</x:v>
      </x:c>
      <x:c r="D158" s="8" t="s">
        <x:v>39</x:v>
      </x:c>
      <x:c r="E158" s="8" t="s">
        <x:v>585</x:v>
      </x:c>
      <x:c r="F158" s="8" t="s">
        <x:v>586</x:v>
      </x:c>
      <x:c r="G158" s="7" t="s">
        <x:v>523</x:v>
      </x:c>
      <x:c r="H158" s="57" t="str">
        <x:v>Day 11</x:v>
      </x:c>
      <x:c r="I158" s="55"/>
      <x:c r="J158" s="7"/>
      <x:c r="K158" s="7">
        <x:v>0</x:v>
      </x:c>
      <x:c r="L158" s="7">
        <x:v>0</x:v>
      </x:c>
      <x:c r="M158" s="7">
        <x:v>0</x:v>
      </x:c>
      <x:c r="N158" s="7">
        <x:v>0</x:v>
      </x:c>
      <x:c r="O158" s="10"/>
      <x:c r="P158" s="11"/>
      <x:c r="Q158" s="11"/>
      <x:c r="R158" s="11"/>
      <x:c r="S158" s="11" t="e">
        <x:f>HYPERLINK("https://hdlbits.01xz.net/wiki/fsm_serialdata","HDLBits")</x:f>
        <x:v>HYPERLINK is not implemented. linkLocation=https://hdlbits.01xz.net/wiki/fsm_serialdata, friendlyName=HDLBits</x:v>
      </x:c>
      <x:c r="T158" s="8" t="s">
        <x:v>524</x:v>
      </x:c>
      <x:c r="U158" s="8" t="str">
        <x:v>Planned for 2026-07-04. Add the screenshot, solution, archive number, and actual submission timestamp only after HDLBits reports Success.</x:v>
      </x:c>
    </x:row>
    <x:row r="159" ht="34.04999923706055" customHeight="1">
      <x:c r="A159" s="3">
        <x:v>137</x:v>
      </x:c>
      <x:c r="B159" s="3"/>
      <x:c r="C159" s="2" t="s">
        <x:v>28</x:v>
      </x:c>
      <x:c r="D159" s="2" t="s">
        <x:v>39</x:v>
      </x:c>
      <x:c r="E159" s="2" t="s">
        <x:v>587</x:v>
      </x:c>
      <x:c r="F159" s="2" t="s">
        <x:v>588</x:v>
      </x:c>
      <x:c r="G159" s="3" t="s">
        <x:v>523</x:v>
      </x:c>
      <x:c r="H159" s="57" t="str">
        <x:v>Day 11</x:v>
      </x:c>
      <x:c r="I159" s="56"/>
      <x:c r="J159" s="3"/>
      <x:c r="K159" s="3">
        <x:v>0</x:v>
      </x:c>
      <x:c r="L159" s="3">
        <x:v>0</x:v>
      </x:c>
      <x:c r="M159" s="3">
        <x:v>0</x:v>
      </x:c>
      <x:c r="N159" s="3">
        <x:v>0</x:v>
      </x:c>
      <x:c r="O159" s="6"/>
      <x:c r="P159" s="4"/>
      <x:c r="Q159" s="4"/>
      <x:c r="R159" s="4"/>
      <x:c r="S159" s="4" t="e">
        <x:f>HYPERLINK("https://hdlbits.01xz.net/wiki/fsm_serialdp","HDLBits")</x:f>
        <x:v>HYPERLINK is not implemented. linkLocation=https://hdlbits.01xz.net/wiki/fsm_serialdp, friendlyName=HDLBits</x:v>
      </x:c>
      <x:c r="T159" s="2" t="s">
        <x:v>524</x:v>
      </x:c>
      <x:c r="U159" s="2" t="str">
        <x:v>Planned for 2026-07-04. Add the screenshot, solution, archive number, and actual submission timestamp only after HDLBits reports Success.</x:v>
      </x:c>
    </x:row>
    <x:row r="160" ht="34.04999923706055" customHeight="1">
      <x:c r="A160" s="7">
        <x:v>138</x:v>
      </x:c>
      <x:c r="B160" s="7"/>
      <x:c r="C160" s="8" t="s">
        <x:v>28</x:v>
      </x:c>
      <x:c r="D160" s="8" t="s">
        <x:v>39</x:v>
      </x:c>
      <x:c r="E160" s="8" t="s">
        <x:v>589</x:v>
      </x:c>
      <x:c r="F160" s="8" t="s">
        <x:v>590</x:v>
      </x:c>
      <x:c r="G160" s="7" t="s">
        <x:v>523</x:v>
      </x:c>
      <x:c r="H160" s="57" t="str">
        <x:v>Day 11</x:v>
      </x:c>
      <x:c r="I160" s="55"/>
      <x:c r="J160" s="7"/>
      <x:c r="K160" s="7">
        <x:v>0</x:v>
      </x:c>
      <x:c r="L160" s="7">
        <x:v>0</x:v>
      </x:c>
      <x:c r="M160" s="7">
        <x:v>0</x:v>
      </x:c>
      <x:c r="N160" s="7">
        <x:v>0</x:v>
      </x:c>
      <x:c r="O160" s="10"/>
      <x:c r="P160" s="11"/>
      <x:c r="Q160" s="11"/>
      <x:c r="R160" s="11"/>
      <x:c r="S160" s="11" t="e">
        <x:f>HYPERLINK("https://hdlbits.01xz.net/wiki/fsm_hdlc","HDLBits")</x:f>
        <x:v>HYPERLINK is not implemented. linkLocation=https://hdlbits.01xz.net/wiki/fsm_hdlc, friendlyName=HDLBits</x:v>
      </x:c>
      <x:c r="T160" s="8" t="s">
        <x:v>524</x:v>
      </x:c>
      <x:c r="U160" s="8" t="str">
        <x:v>Planned for 2026-07-04. Add the screenshot, solution, archive number, and actual submission timestamp only after HDLBits reports Success.</x:v>
      </x:c>
    </x:row>
    <x:row r="161" ht="34.04999923706055" customHeight="1">
      <x:c r="A161" s="3">
        <x:v>139</x:v>
      </x:c>
      <x:c r="B161" s="3">
        <x:v>142</x:v>
      </x:c>
      <x:c r="C161" s="2" t="s">
        <x:v>28</x:v>
      </x:c>
      <x:c r="D161" s="2" t="s">
        <x:v>39</x:v>
      </x:c>
      <x:c r="E161" s="2" t="s">
        <x:v>591</x:v>
      </x:c>
      <x:c r="F161" s="2" t="s">
        <x:v>592</x:v>
      </x:c>
      <x:c r="G161" s="3" t="s">
        <x:v>1</x:v>
      </x:c>
      <x:c r="H161" s="3" t="s">
        <x:v>27</x:v>
      </x:c>
      <x:c r="I161" s="56">
        <x:v>46202</x:v>
      </x:c>
      <x:c r="J161" s="3" t="s">
        <x:v>593</x:v>
      </x:c>
      <x:c r="K161" s="3">
        <x:v>12</x:v>
      </x:c>
      <x:c r="L161" s="3">
        <x:v>6</x:v>
      </x:c>
      <x:c r="M161" s="3">
        <x:v>5</x:v>
      </x:c>
      <x:c r="N161" s="3">
        <x:v>0</x:v>
      </x:c>
      <x:c r="O161" s="6">
        <x:v>0.08</x:v>
      </x:c>
      <x:c r="P161" s="4" t="e">
        <x:f>HYPERLINK("https://github.com/kapiltrip/hdlBits/blob/main/study/problems/Day%2007/142-exams__ece241_2013_q8.md","Note")</x:f>
        <x:v>HYPERLINK is not implemented. linkLocation=https://github.com/kapiltrip/hdlBits/blob/main/study/problems/Day%2007/142-exams__ece241_2013_q8.md, friendlyName=Note</x:v>
      </x:c>
      <x:c r="Q161" s="4" t="e">
        <x:f>HYPERLINK("https://github.com/kapiltrip/hdlBits/blob/main/study/images/Day%2007/142-exams__ece241_2013_q8.png","Image")</x:f>
        <x:v>HYPERLINK is not implemented. linkLocation=https://github.com/kapiltrip/hdlBits/blob/main/study/images/Day%2007/142-exams__ece241_2013_q8.png, friendlyName=Image</x:v>
      </x:c>
      <x:c r="R161" s="4" t="e">
        <x:f>HYPERLINK("https://github.com/kapiltrip/hdlBits/blob/main/study/solutions/Day%2007/142-exams__ece241_2013_q8.sv","Code")</x:f>
        <x:v>HYPERLINK is not implemented. linkLocation=https://github.com/kapiltrip/hdlBits/blob/main/study/solutions/Day%2007/142-exams__ece241_2013_q8.sv, friendlyName=Code</x:v>
      </x:c>
      <x:c r="S161" s="4" t="e">
        <x:f>HYPERLINK("https://hdlbits.01xz.net/wiki/exams/ece241_2013_q8","HDLBits")</x:f>
        <x:v>HYPERLINK is not implemented. linkLocation=https://hdlbits.01xz.net/wiki/exams/ece241_2013_q8, friendlyName=HDLBits</x:v>
      </x:c>
      <x:c r="T161" s="2" t="s">
        <x:v>594</x:v>
      </x:c>
      <x:c r="U161" s="2"/>
    </x:row>
    <x:row r="162" ht="34.04999923706055" customHeight="1">
      <x:c r="A162" s="7">
        <x:v>140</x:v>
      </x:c>
      <x:c r="B162" s="7"/>
      <x:c r="C162" s="8" t="s">
        <x:v>28</x:v>
      </x:c>
      <x:c r="D162" s="8" t="s">
        <x:v>39</x:v>
      </x:c>
      <x:c r="E162" s="8" t="s">
        <x:v>595</x:v>
      </x:c>
      <x:c r="F162" s="8" t="s">
        <x:v>596</x:v>
      </x:c>
      <x:c r="G162" s="7" t="s">
        <x:v>523</x:v>
      </x:c>
      <x:c r="H162" s="57" t="str">
        <x:v>Day 11</x:v>
      </x:c>
      <x:c r="I162" s="55"/>
      <x:c r="J162" s="7"/>
      <x:c r="K162" s="7">
        <x:v>0</x:v>
      </x:c>
      <x:c r="L162" s="7">
        <x:v>0</x:v>
      </x:c>
      <x:c r="M162" s="7">
        <x:v>0</x:v>
      </x:c>
      <x:c r="N162" s="7">
        <x:v>0</x:v>
      </x:c>
      <x:c r="O162" s="10"/>
      <x:c r="P162" s="11"/>
      <x:c r="Q162" s="11"/>
      <x:c r="R162" s="11"/>
      <x:c r="S162" s="11" t="e">
        <x:f>HYPERLINK("https://hdlbits.01xz.net/wiki/exams/ece241_2014_q5a","HDLBits")</x:f>
        <x:v>HYPERLINK is not implemented. linkLocation=https://hdlbits.01xz.net/wiki/exams/ece241_2014_q5a, friendlyName=HDLBits</x:v>
      </x:c>
      <x:c r="T162" s="8" t="s">
        <x:v>524</x:v>
      </x:c>
      <x:c r="U162" s="8" t="str">
        <x:v>Planned for 2026-07-04. Add the screenshot, solution, archive number, and actual submission timestamp only after HDLBits reports Success.</x:v>
      </x:c>
    </x:row>
    <x:row r="163" ht="34.04999923706055" customHeight="1">
      <x:c r="A163" s="3">
        <x:v>141</x:v>
      </x:c>
      <x:c r="B163" s="3"/>
      <x:c r="C163" s="2" t="s">
        <x:v>28</x:v>
      </x:c>
      <x:c r="D163" s="2" t="s">
        <x:v>39</x:v>
      </x:c>
      <x:c r="E163" s="2" t="s">
        <x:v>597</x:v>
      </x:c>
      <x:c r="F163" s="2" t="s">
        <x:v>598</x:v>
      </x:c>
      <x:c r="G163" s="3" t="s">
        <x:v>523</x:v>
      </x:c>
      <x:c r="H163" s="57" t="str">
        <x:v>Day 11</x:v>
      </x:c>
      <x:c r="I163" s="56"/>
      <x:c r="J163" s="3"/>
      <x:c r="K163" s="3">
        <x:v>0</x:v>
      </x:c>
      <x:c r="L163" s="3">
        <x:v>0</x:v>
      </x:c>
      <x:c r="M163" s="3">
        <x:v>0</x:v>
      </x:c>
      <x:c r="N163" s="3">
        <x:v>0</x:v>
      </x:c>
      <x:c r="O163" s="6"/>
      <x:c r="P163" s="4"/>
      <x:c r="Q163" s="4"/>
      <x:c r="R163" s="4"/>
      <x:c r="S163" s="4" t="e">
        <x:f>HYPERLINK("https://hdlbits.01xz.net/wiki/exams/ece241_2014_q5b","HDLBits")</x:f>
        <x:v>HYPERLINK is not implemented. linkLocation=https://hdlbits.01xz.net/wiki/exams/ece241_2014_q5b, friendlyName=HDLBits</x:v>
      </x:c>
      <x:c r="T163" s="2" t="s">
        <x:v>524</x:v>
      </x:c>
      <x:c r="U163" s="2" t="str">
        <x:v>Planned for 2026-07-04. Add the screenshot, solution, archive number, and actual submission timestamp only after HDLBits reports Success.</x:v>
      </x:c>
    </x:row>
    <x:row r="164" ht="34.04999923706055" customHeight="1">
      <x:c r="A164" s="7">
        <x:v>142</x:v>
      </x:c>
      <x:c r="B164" s="7" t="n">
        <x:v>155</x:v>
      </x:c>
      <x:c r="C164" s="8" t="s">
        <x:v>28</x:v>
      </x:c>
      <x:c r="D164" s="8" t="s">
        <x:v>39</x:v>
      </x:c>
      <x:c r="E164" s="8" t="s">
        <x:v>599</x:v>
      </x:c>
      <x:c r="F164" s="8" t="s">
        <x:v>600</x:v>
      </x:c>
      <x:c r="G164" s="7" t="str">
        <x:v>Completed</x:v>
      </x:c>
      <x:c r="H164" s="7" t="str">
        <x:v>Day 10</x:v>
      </x:c>
      <x:c r="I164" s="55" t="n">
        <x:v>46206</x:v>
      </x:c>
      <x:c r="J164" s="7" t="str">
        <x:v>Verified success</x:v>
      </x:c>
      <x:c r="K164" s="7" t="n">
        <x:v>1</x:v>
      </x:c>
      <x:c r="L164" s="7" t="n">
        <x:v>0</x:v>
      </x:c>
      <x:c r="M164" s="7" t="n">
        <x:v>0</x:v>
      </x:c>
      <x:c r="N164" s="7" t="n">
        <x:v>0</x:v>
      </x:c>
      <x:c r="O164" s="10" t="n">
        <x:v>1</x:v>
      </x:c>
      <x:c r="P164" s="11" t="e">
        <x:f>HYPERLINK("https://github.com/kapiltrip/hdlBits/blob/main/study/problems/Day%2010/155-exams__2014_q3fsm.md","Note")</x:f>
        <x:v>HYPERLINK is not implemented. linkLocation=https://github.com/kapiltrip/hdlBits/blob/main/study/problems/Day%2010/155-exams__2014_q3fsm.md, friendlyName=Note</x:v>
      </x:c>
      <x:c r="Q164" s="11" t="e">
        <x:f>HYPERLINK("https://github.com/kapiltrip/hdlBits/blob/main/study/images/Day%2010/155-exams__2014_q3fsm-question-and-answer.png","Image")</x:f>
        <x:v>HYPERLINK is not implemented. linkLocation=https://github.com/kapiltrip/hdlBits/blob/main/study/images/Day%2010/155-exams__2014_q3fsm-question-and-answer.png, friendlyName=Image</x:v>
      </x:c>
      <x:c r="R164" s="11" t="e">
        <x:f>HYPERLINK("https://github.com/kapiltrip/hdlBits/blob/main/study/solutions/Day%2010/155-exams__2014_q3fsm.sv","Code")</x:f>
        <x:v>HYPERLINK is not implemented. linkLocation=https://github.com/kapiltrip/hdlBits/blob/main/study/solutions/Day%2010/155-exams__2014_q3fsm.sv, friendlyName=Code</x:v>
      </x:c>
      <x:c r="S164" s="11" t="e">
        <x:f>HYPERLINK("https://hdlbits.01xz.net/wiki/exams/2014_q3fsm","HDLBits")</x:f>
        <x:v>HYPERLINK is not implemented. linkLocation=https://hdlbits.01xz.net/wiki/exams/2014_q3fsm, friendlyName=HDLBits</x:v>
      </x:c>
      <x:c r="T164" s="8" t="str">
        <x:v>Implement the two-state controller and its three-sample datapath so z reports whether exactly two of each three w samples are 1.</x:v>
      </x:c>
      <x:c r="U164" s="8" t="str">
        <x:v>Keep phase state separate from sample and ones counters; include the current w value in the third-sample decision because nonblocking assignments expose old register values.</x:v>
      </x:c>
    </x:row>
    <x:row r="165" ht="34.04999923706055" customHeight="1">
      <x:c r="A165" s="3">
        <x:v>143</x:v>
      </x:c>
      <x:c r="B165" s="3" t="n">
        <x:v>156</x:v>
      </x:c>
      <x:c r="C165" s="2" t="s">
        <x:v>28</x:v>
      </x:c>
      <x:c r="D165" s="2" t="s">
        <x:v>39</x:v>
      </x:c>
      <x:c r="E165" s="2" t="s">
        <x:v>601</x:v>
      </x:c>
      <x:c r="F165" s="2" t="s">
        <x:v>602</x:v>
      </x:c>
      <x:c r="G165" s="3" t="str">
        <x:v>Completed</x:v>
      </x:c>
      <x:c r="H165" s="3" t="str">
        <x:v>Day 10</x:v>
      </x:c>
      <x:c r="I165" s="56" t="n">
        <x:v>46206</x:v>
      </x:c>
      <x:c r="J165" s="3" t="str">
        <x:v>10:10:20 PM</x:v>
      </x:c>
      <x:c r="K165" s="3" t="n">
        <x:v>2</x:v>
      </x:c>
      <x:c r="L165" s="3" t="n">
        <x:v>0</x:v>
      </x:c>
      <x:c r="M165" s="3" t="n">
        <x:v>0</x:v>
      </x:c>
      <x:c r="N165" s="3" t="n">
        <x:v>0</x:v>
      </x:c>
      <x:c r="O165" s="6" t="n">
        <x:v>1</x:v>
      </x:c>
      <x:c r="P165" s="4" t="e">
        <x:f>HYPERLINK("https://github.com/kapiltrip/hdlBits/blob/main/study/problems/Day%2010/156-exams__2014_q3bfsm.md","Note")</x:f>
        <x:v>HYPERLINK is not implemented. linkLocation=https://github.com/kapiltrip/hdlBits/blob/main/study/problems/Day%2010/156-exams__2014_q3bfsm.md, friendlyName=Note</x:v>
      </x:c>
      <x:c r="Q165" s="4" t="e">
        <x:f>HYPERLINK("https://github.com/kapiltrip/hdlBits/blob/main/study/images/Day%2010/156-exams__2014_q3bfsm-question-and-answer.png","Image")</x:f>
        <x:v>HYPERLINK is not implemented. linkLocation=https://github.com/kapiltrip/hdlBits/blob/main/study/images/Day%2010/156-exams__2014_q3bfsm-question-and-answer.png, friendlyName=Image</x:v>
      </x:c>
      <x:c r="R165" s="4" t="e">
        <x:f>HYPERLINK("https://github.com/kapiltrip/hdlBits/blob/main/study/solutions/Day%2010/156-exams__2014_q3bfsm.sv","Code")</x:f>
        <x:v>HYPERLINK is not implemented. linkLocation=https://github.com/kapiltrip/hdlBits/blob/main/study/solutions/Day%2010/156-exams__2014_q3bfsm.sv, friendlyName=Code</x:v>
      </x:c>
      <x:c r="S165" s="4" t="e">
        <x:f>HYPERLINK("https://hdlbits.01xz.net/wiki/exams/2014_q3bfsm","HDLBits")</x:f>
        <x:v>HYPERLINK is not implemented. linkLocation=https://hdlbits.01xz.net/wiki/exams/2014_q3bfsm, friendlyName=HDLBits</x:v>
      </x:c>
      <x:c r="T165" s="2" t="str">
        <x:v>Implement the complete five-state Moore FSM directly from the supplied state-assigned transition table.</x:v>
      </x:c>
      <x:c r="U165" s="2" t="str">
        <x:v>Separate the state register, complete next-state decoder, and Moore output decode; include a default recovery path for unused encodings.</x:v>
      </x:c>
    </x:row>
    <x:row r="166" ht="34.04999923706055" customHeight="1">
      <x:c r="A166" s="7">
        <x:v>144</x:v>
      </x:c>
      <x:c r="B166" s="7" t="n">
        <x:v>157</x:v>
      </x:c>
      <x:c r="C166" s="8" t="s">
        <x:v>28</x:v>
      </x:c>
      <x:c r="D166" s="8" t="s">
        <x:v>39</x:v>
      </x:c>
      <x:c r="E166" s="8" t="s">
        <x:v>603</x:v>
      </x:c>
      <x:c r="F166" s="8" t="s">
        <x:v>604</x:v>
      </x:c>
      <x:c r="G166" s="7" t="str">
        <x:v>Completed</x:v>
      </x:c>
      <x:c r="H166" s="7" t="str">
        <x:v>Day 10</x:v>
      </x:c>
      <x:c r="I166" s="55" t="n">
        <x:v>46206</x:v>
      </x:c>
      <x:c r="J166" s="7" t="str">
        <x:v>Verified success</x:v>
      </x:c>
      <x:c r="K166" s="7" t="n">
        <x:v>1</x:v>
      </x:c>
      <x:c r="L166" s="7" t="n">
        <x:v>0</x:v>
      </x:c>
      <x:c r="M166" s="7" t="n">
        <x:v>0</x:v>
      </x:c>
      <x:c r="N166" s="7" t="n">
        <x:v>0</x:v>
      </x:c>
      <x:c r="O166" s="10" t="n">
        <x:v>1</x:v>
      </x:c>
      <x:c r="P166" s="11" t="e">
        <x:f>HYPERLINK("https://github.com/kapiltrip/hdlBits/blob/main/study/problems/Day%2010/157-exams__2014_q3c.md","Note")</x:f>
        <x:v>HYPERLINK is not implemented. linkLocation=https://github.com/kapiltrip/hdlBits/blob/main/study/problems/Day%2010/157-exams__2014_q3c.md, friendlyName=Note</x:v>
      </x:c>
      <x:c r="Q166" s="11" t="e">
        <x:f>HYPERLINK("https://github.com/kapiltrip/hdlBits/blob/main/study/images/Day%2010/157-exams__2014_q3c-question-and-answer.png","Image")</x:f>
        <x:v>HYPERLINK is not implemented. linkLocation=https://github.com/kapiltrip/hdlBits/blob/main/study/images/Day%2010/157-exams__2014_q3c-question-and-answer.png, friendlyName=Image</x:v>
      </x:c>
      <x:c r="R166" s="11" t="e">
        <x:f>HYPERLINK("https://github.com/kapiltrip/hdlBits/blob/main/study/solutions/Day%2010/157-exams__2014_q3c.sv","Code")</x:f>
        <x:v>HYPERLINK is not implemented. linkLocation=https://github.com/kapiltrip/hdlBits/blob/main/study/solutions/Day%2010/157-exams__2014_q3c.sv, friendlyName=Code</x:v>
      </x:c>
      <x:c r="S166" s="11" t="e">
        <x:f>HYPERLINK("https://hdlbits.01xz.net/wiki/exams/2014_q3c","HDLBits")</x:f>
        <x:v>HYPERLINK is not implemented. linkLocation=https://hdlbits.01xz.net/wiki/exams/2014_q3c, friendlyName=HDLBits</x:v>
      </x:c>
      <x:c r="T166" s="8" t="str">
        <x:v>Derive only the next-state bit Y0 and Moore output z from the state table; no state register is required.</x:v>
      </x:c>
      <x:c r="U166" s="8" t="str">
        <x:v>Read the selected bit of every next-state entry, derive the x=0 and x=1 cases independently, then combine them with x as the selector.</x:v>
      </x:c>
    </x:row>
    <x:row r="167" ht="34.04999923706055" customHeight="1">
      <x:c r="A167" s="3">
        <x:v>145</x:v>
      </x:c>
      <x:c r="B167" s="3"/>
      <x:c r="C167" s="2" t="s">
        <x:v>28</x:v>
      </x:c>
      <x:c r="D167" s="2" t="s">
        <x:v>39</x:v>
      </x:c>
      <x:c r="E167" s="2" t="s">
        <x:v>605</x:v>
      </x:c>
      <x:c r="F167" s="2" t="s">
        <x:v>606</x:v>
      </x:c>
      <x:c r="G167" s="3" t="s">
        <x:v>523</x:v>
      </x:c>
      <x:c r="H167" s="57" t="str">
        <x:v>Day 11</x:v>
      </x:c>
      <x:c r="I167" s="56"/>
      <x:c r="J167" s="3"/>
      <x:c r="K167" s="3">
        <x:v>0</x:v>
      </x:c>
      <x:c r="L167" s="3">
        <x:v>0</x:v>
      </x:c>
      <x:c r="M167" s="3">
        <x:v>0</x:v>
      </x:c>
      <x:c r="N167" s="3">
        <x:v>0</x:v>
      </x:c>
      <x:c r="O167" s="6"/>
      <x:c r="P167" s="4"/>
      <x:c r="Q167" s="4"/>
      <x:c r="R167" s="4"/>
      <x:c r="S167" s="4" t="e">
        <x:f>HYPERLINK("https://hdlbits.01xz.net/wiki/exams/m2014_q6b","HDLBits")</x:f>
        <x:v>HYPERLINK is not implemented. linkLocation=https://hdlbits.01xz.net/wiki/exams/m2014_q6b, friendlyName=HDLBits</x:v>
      </x:c>
      <x:c r="T167" s="2" t="s">
        <x:v>524</x:v>
      </x:c>
      <x:c r="U167" s="2" t="str">
        <x:v>Planned for 2026-07-04. Add the screenshot, solution, archive number, and actual submission timestamp only after HDLBits reports Success.</x:v>
      </x:c>
    </x:row>
    <x:row r="168" ht="34.04999923706055" customHeight="1">
      <x:c r="A168" s="7">
        <x:v>146</x:v>
      </x:c>
      <x:c r="B168" s="7" t="n">
        <x:v>158</x:v>
      </x:c>
      <x:c r="C168" s="8" t="s">
        <x:v>28</x:v>
      </x:c>
      <x:c r="D168" s="8" t="s">
        <x:v>39</x:v>
      </x:c>
      <x:c r="E168" s="8" t="s">
        <x:v>607</x:v>
      </x:c>
      <x:c r="F168" s="8" t="s">
        <x:v>608</x:v>
      </x:c>
      <x:c r="G168" s="7" t="str">
        <x:v>Completed</x:v>
      </x:c>
      <x:c r="H168" s="7" t="str">
        <x:v>Day 10</x:v>
      </x:c>
      <x:c r="I168" s="55" t="n">
        <x:v>46206</x:v>
      </x:c>
      <x:c r="J168" s="7" t="str">
        <x:v>Verified success</x:v>
      </x:c>
      <x:c r="K168" s="7" t="n">
        <x:v>1</x:v>
      </x:c>
      <x:c r="L168" s="7" t="n">
        <x:v>0</x:v>
      </x:c>
      <x:c r="M168" s="7" t="n">
        <x:v>0</x:v>
      </x:c>
      <x:c r="N168" s="7" t="n">
        <x:v>0</x:v>
      </x:c>
      <x:c r="O168" s="10" t="n">
        <x:v>1</x:v>
      </x:c>
      <x:c r="P168" s="11" t="e">
        <x:f>HYPERLINK("https://github.com/kapiltrip/hdlBits/blob/main/study/problems/Day%2010/158-exams__m2014_q6c.md","Note")</x:f>
        <x:v>HYPERLINK is not implemented. linkLocation=https://github.com/kapiltrip/hdlBits/blob/main/study/problems/Day%2010/158-exams__m2014_q6c.md, friendlyName=Note</x:v>
      </x:c>
      <x:c r="Q168" s="11" t="e">
        <x:f>HYPERLINK("https://github.com/kapiltrip/hdlBits/blob/main/study/images/Day%2010/158-exams__m2014_q6c-question-and-answer.png","Image")</x:f>
        <x:v>HYPERLINK is not implemented. linkLocation=https://github.com/kapiltrip/hdlBits/blob/main/study/images/Day%2010/158-exams__m2014_q6c-question-and-answer.png, friendlyName=Image</x:v>
      </x:c>
      <x:c r="R168" s="11" t="e">
        <x:f>HYPERLINK("https://github.com/kapiltrip/hdlBits/blob/main/study/solutions/Day%2010/158-exams__m2014_q6c.sv","Code")</x:f>
        <x:v>HYPERLINK is not implemented. linkLocation=https://github.com/kapiltrip/hdlBits/blob/main/study/solutions/Day%2010/158-exams__m2014_q6c.sv, friendlyName=Code</x:v>
      </x:c>
      <x:c r="S168" s="11" t="e">
        <x:f>HYPERLINK("https://hdlbits.01xz.net/wiki/exams/m2014_q6c","HDLBits")</x:f>
        <x:v>HYPERLINK is not implemented. linkLocation=https://hdlbits.01xz.net/wiki/exams/m2014_q6c, friendlyName=HDLBits</x:v>
      </x:c>
      <x:c r="T168" s="8" t="str">
        <x:v>Write one-hot next-state equations for Y2 and Y4 from the state diagram.</x:v>
      </x:c>
      <x:c r="U168" s="8" t="str">
        <x:v>A one-hot next-state bit is the OR of all enabled transitions entering that destination state; direct sum-of-products also handles non-one-hot test vectors.</x:v>
      </x:c>
    </x:row>
    <x:row r="169" ht="34.04999923706055" customHeight="1">
      <x:c r="A169" s="3">
        <x:v>147</x:v>
      </x:c>
      <x:c r="B169" s="3"/>
      <x:c r="C169" s="2" t="s">
        <x:v>28</x:v>
      </x:c>
      <x:c r="D169" s="2" t="s">
        <x:v>39</x:v>
      </x:c>
      <x:c r="E169" s="2" t="s">
        <x:v>609</x:v>
      </x:c>
      <x:c r="F169" s="2" t="s">
        <x:v>610</x:v>
      </x:c>
      <x:c r="G169" s="3" t="s">
        <x:v>523</x:v>
      </x:c>
      <x:c r="H169" s="57" t="str">
        <x:v>Day 11</x:v>
      </x:c>
      <x:c r="I169" s="56"/>
      <x:c r="J169" s="3"/>
      <x:c r="K169" s="3">
        <x:v>0</x:v>
      </x:c>
      <x:c r="L169" s="3">
        <x:v>0</x:v>
      </x:c>
      <x:c r="M169" s="3">
        <x:v>0</x:v>
      </x:c>
      <x:c r="N169" s="3">
        <x:v>0</x:v>
      </x:c>
      <x:c r="O169" s="6"/>
      <x:c r="P169" s="4"/>
      <x:c r="Q169" s="4"/>
      <x:c r="R169" s="4"/>
      <x:c r="S169" s="4" t="e">
        <x:f>HYPERLINK("https://hdlbits.01xz.net/wiki/exams/m2014_q6","HDLBits")</x:f>
        <x:v>HYPERLINK is not implemented. linkLocation=https://hdlbits.01xz.net/wiki/exams/m2014_q6, friendlyName=HDLBits</x:v>
      </x:c>
      <x:c r="T169" s="2" t="s">
        <x:v>524</x:v>
      </x:c>
      <x:c r="U169" s="2" t="str">
        <x:v>Planned for 2026-07-04. Add the screenshot, solution, archive number, and actual submission timestamp only after HDLBits reports Success.</x:v>
      </x:c>
    </x:row>
    <x:row r="170" ht="34.04999923706055" customHeight="1">
      <x:c r="A170" s="7">
        <x:v>148</x:v>
      </x:c>
      <x:c r="B170" s="7"/>
      <x:c r="C170" s="8" t="s">
        <x:v>28</x:v>
      </x:c>
      <x:c r="D170" s="8" t="s">
        <x:v>39</x:v>
      </x:c>
      <x:c r="E170" s="8" t="s">
        <x:v>611</x:v>
      </x:c>
      <x:c r="F170" s="8" t="s">
        <x:v>612</x:v>
      </x:c>
      <x:c r="G170" s="7" t="s">
        <x:v>523</x:v>
      </x:c>
      <x:c r="H170" s="57" t="str">
        <x:v>Day 11</x:v>
      </x:c>
      <x:c r="I170" s="55"/>
      <x:c r="J170" s="7"/>
      <x:c r="K170" s="7">
        <x:v>0</x:v>
      </x:c>
      <x:c r="L170" s="7">
        <x:v>0</x:v>
      </x:c>
      <x:c r="M170" s="7">
        <x:v>0</x:v>
      </x:c>
      <x:c r="N170" s="7">
        <x:v>0</x:v>
      </x:c>
      <x:c r="O170" s="10"/>
      <x:c r="P170" s="11"/>
      <x:c r="Q170" s="11"/>
      <x:c r="R170" s="11"/>
      <x:c r="S170" s="11" t="e">
        <x:f>HYPERLINK("https://hdlbits.01xz.net/wiki/exams/2012_q2fsm","HDLBits")</x:f>
        <x:v>HYPERLINK is not implemented. linkLocation=https://hdlbits.01xz.net/wiki/exams/2012_q2fsm, friendlyName=HDLBits</x:v>
      </x:c>
      <x:c r="T170" s="8" t="s">
        <x:v>524</x:v>
      </x:c>
      <x:c r="U170" s="8" t="str">
        <x:v>Planned for 2026-07-04. Add the screenshot, solution, archive number, and actual submission timestamp only after HDLBits reports Success.</x:v>
      </x:c>
    </x:row>
    <x:row r="171" ht="34.04999923706055" customHeight="1">
      <x:c r="A171" s="3">
        <x:v>149</x:v>
      </x:c>
      <x:c r="B171" s="3"/>
      <x:c r="C171" s="2" t="s">
        <x:v>28</x:v>
      </x:c>
      <x:c r="D171" s="2" t="s">
        <x:v>39</x:v>
      </x:c>
      <x:c r="E171" s="2" t="s">
        <x:v>613</x:v>
      </x:c>
      <x:c r="F171" s="2" t="s">
        <x:v>614</x:v>
      </x:c>
      <x:c r="G171" s="3" t="s">
        <x:v>523</x:v>
      </x:c>
      <x:c r="H171" s="57" t="str">
        <x:v>Day 11</x:v>
      </x:c>
      <x:c r="I171" s="56"/>
      <x:c r="J171" s="3"/>
      <x:c r="K171" s="3">
        <x:v>0</x:v>
      </x:c>
      <x:c r="L171" s="3">
        <x:v>0</x:v>
      </x:c>
      <x:c r="M171" s="3">
        <x:v>0</x:v>
      </x:c>
      <x:c r="N171" s="3">
        <x:v>0</x:v>
      </x:c>
      <x:c r="O171" s="6"/>
      <x:c r="P171" s="4"/>
      <x:c r="Q171" s="4"/>
      <x:c r="R171" s="4"/>
      <x:c r="S171" s="4" t="e">
        <x:f>HYPERLINK("https://hdlbits.01xz.net/wiki/exams/2012_q2b","HDLBits")</x:f>
        <x:v>HYPERLINK is not implemented. linkLocation=https://hdlbits.01xz.net/wiki/exams/2012_q2b, friendlyName=HDLBits</x:v>
      </x:c>
      <x:c r="T171" s="2" t="s">
        <x:v>524</x:v>
      </x:c>
      <x:c r="U171" s="2" t="str">
        <x:v>Planned for 2026-07-04. Add the screenshot, solution, archive number, and actual submission timestamp only after HDLBits reports Success.</x:v>
      </x:c>
    </x:row>
    <x:row r="172" ht="34.04999923706055" customHeight="1">
      <x:c r="A172" s="7">
        <x:v>150</x:v>
      </x:c>
      <x:c r="B172" s="7"/>
      <x:c r="C172" s="8" t="s">
        <x:v>28</x:v>
      </x:c>
      <x:c r="D172" s="8" t="s">
        <x:v>39</x:v>
      </x:c>
      <x:c r="E172" s="8" t="s">
        <x:v>611</x:v>
      </x:c>
      <x:c r="F172" s="8" t="s">
        <x:v>615</x:v>
      </x:c>
      <x:c r="G172" s="7" t="s">
        <x:v>2</x:v>
      </x:c>
      <x:c r="H172" s="57" t="str">
        <x:v>Day 11</x:v>
      </x:c>
      <x:c r="I172" s="55"/>
      <x:c r="J172" s="7"/>
      <x:c r="K172" s="7">
        <x:v>3</x:v>
      </x:c>
      <x:c r="L172" s="7">
        <x:v>1</x:v>
      </x:c>
      <x:c r="M172" s="7">
        <x:v>2</x:v>
      </x:c>
      <x:c r="N172" s="7">
        <x:v>0</x:v>
      </x:c>
      <x:c r="O172" s="10">
        <x:v>0</x:v>
      </x:c>
      <x:c r="P172" s="11" t="e">
        <x:f>HYPERLINK("https://github.com/kapiltrip/hdlBits/blob/main/study/Review.md","Review")</x:f>
        <x:v>HYPERLINK is not implemented. linkLocation=https://github.com/kapiltrip/hdlBits/blob/main/study/Review.md, friendlyName=Review</x:v>
      </x:c>
      <x:c r="Q172" s="11" t="e">
        <x:f>HYPERLINK("https://github.com/kapiltrip/hdlBits/blob/main/study/images/Review/review-exams__2013_q2afsm.png","Image")</x:f>
        <x:v>HYPERLINK is not implemented. linkLocation=https://github.com/kapiltrip/hdlBits/blob/main/study/images/Review/review-exams__2013_q2afsm.png, friendlyName=Image</x:v>
      </x:c>
      <x:c r="R172" s="11"/>
      <x:c r="S172" s="11" t="e">
        <x:f>HYPERLINK("https://hdlbits.01xz.net/wiki/exams/2013_q2afsm","HDLBits")</x:f>
        <x:v>HYPERLINK is not implemented. linkLocation=https://hdlbits.01xz.net/wiki/exams/2013_q2afsm, friendlyName=HDLBits</x:v>
      </x:c>
      <x:c r="T172" s="8" t="s">
        <x:v>616</x:v>
      </x:c>
      <x:c r="U172" s="8" t="str">
        <x:v>Planned for 2026-07-04. Add the screenshot, solution, archive number, and actual submission timestamp only after HDLBits reports Success.</x:v>
      </x:c>
    </x:row>
    <x:row r="173" ht="34.04999923706055" customHeight="1">
      <x:c r="A173" s="3">
        <x:v>151</x:v>
      </x:c>
      <x:c r="B173" s="3">
        <x:v>121</x:v>
      </x:c>
      <x:c r="C173" s="2" t="s">
        <x:v>28</x:v>
      </x:c>
      <x:c r="D173" s="2" t="s">
        <x:v>39</x:v>
      </x:c>
      <x:c r="E173" s="2" t="s">
        <x:v>617</x:v>
      </x:c>
      <x:c r="F173" s="2" t="s">
        <x:v>618</x:v>
      </x:c>
      <x:c r="G173" s="3" t="s">
        <x:v>1</x:v>
      </x:c>
      <x:c r="H173" s="3" t="s">
        <x:v>25</x:v>
      </x:c>
      <x:c r="I173" s="56">
        <x:v>46201</x:v>
      </x:c>
      <x:c r="J173" s="3" t="s">
        <x:v>619</x:v>
      </x:c>
      <x:c r="K173" s="3">
        <x:v>2</x:v>
      </x:c>
      <x:c r="L173" s="3">
        <x:v>0</x:v>
      </x:c>
      <x:c r="M173" s="3">
        <x:v>0</x:v>
      </x:c>
      <x:c r="N173" s="3">
        <x:v>0</x:v>
      </x:c>
      <x:c r="O173" s="6">
        <x:v>1</x:v>
      </x:c>
      <x:c r="P173" s="4" t="e">
        <x:f>HYPERLINK("https://github.com/kapiltrip/hdlBits/blob/main/study/problems/Day%2006/121-exams__2013_q2bfsm.md","Note")</x:f>
        <x:v>HYPERLINK is not implemented. linkLocation=https://github.com/kapiltrip/hdlBits/blob/main/study/problems/Day%2006/121-exams__2013_q2bfsm.md, friendlyName=Note</x:v>
      </x:c>
      <x:c r="Q173" s="4" t="e">
        <x:f>HYPERLINK("https://github.com/kapiltrip/hdlBits/blob/main/study/images/Day%2006/121-exams__2013_q2bfsm.png","Image")</x:f>
        <x:v>HYPERLINK is not implemented. linkLocation=https://github.com/kapiltrip/hdlBits/blob/main/study/images/Day%2006/121-exams__2013_q2bfsm.png, friendlyName=Image</x:v>
      </x:c>
      <x:c r="R173" s="4" t="e">
        <x:f>HYPERLINK("https://github.com/kapiltrip/hdlBits/blob/main/study/solutions/Day%2006/121-exams__2013_q2bfsm.sv","Code")</x:f>
        <x:v>HYPERLINK is not implemented. linkLocation=https://github.com/kapiltrip/hdlBits/blob/main/study/solutions/Day%2006/121-exams__2013_q2bfsm.sv, friendlyName=Code</x:v>
      </x:c>
      <x:c r="S173" s="4" t="e">
        <x:f>HYPERLINK("https://hdlbits.01xz.net/wiki/exams/2013_q2bfsm","HDLBits")</x:f>
        <x:v>HYPERLINK is not implemented. linkLocation=https://hdlbits.01xz.net/wiki/exams/2013_q2bfsm, friendlyName=HDLBits</x:v>
      </x:c>
      <x:c r="T173" s="2" t="s">
        <x:v>620</x:v>
      </x:c>
      <x:c r="U173" s="2"/>
    </x:row>
    <x:row r="174" ht="22.049999237060547" customHeight="1">
      <x:c r="A174" s="44" t="s">
        <x:v>621</x:v>
      </x:c>
      <x:c r="B174" s="44"/>
      <x:c r="C174" s="44"/>
      <x:c r="D174" s="44"/>
      <x:c r="E174" s="44"/>
      <x:c r="F174" s="44"/>
      <x:c r="G174" s="44"/>
      <x:c r="H174" s="44"/>
      <x:c r="I174" s="60"/>
      <x:c r="J174" s="44"/>
      <x:c r="K174" s="44"/>
      <x:c r="L174" s="44"/>
      <x:c r="M174" s="44"/>
      <x:c r="N174" s="44"/>
      <x:c r="O174" s="46"/>
      <x:c r="P174" s="44"/>
      <x:c r="Q174" s="44"/>
      <x:c r="R174" s="44"/>
      <x:c r="S174" s="44"/>
      <x:c r="T174" s="44"/>
      <x:c r="U174" s="44"/>
    </x:row>
    <x:row r="175" ht="34.04999923706055" customHeight="1">
      <x:c r="A175" s="7">
        <x:v>152</x:v>
      </x:c>
      <x:c r="B175" s="7">
        <x:v>147</x:v>
      </x:c>
      <x:c r="C175" s="8" t="s">
        <x:v>28</x:v>
      </x:c>
      <x:c r="D175" s="8" t="s">
        <x:v>40</x:v>
      </x:c>
      <x:c r="E175" s="8" t="s">
        <x:v>622</x:v>
      </x:c>
      <x:c r="F175" s="8" t="s">
        <x:v>623</x:v>
      </x:c>
      <x:c r="G175" s="7" t="s">
        <x:v>1</x:v>
      </x:c>
      <x:c r="H175" s="7" t="s">
        <x:v>32</x:v>
      </x:c>
      <x:c r="I175" s="55">
        <x:v>46205</x:v>
      </x:c>
      <x:c r="J175" s="51">
        <x:v>0.68840277777777781</x:v>
      </x:c>
      <x:c r="K175" s="7">
        <x:v>1</x:v>
      </x:c>
      <x:c r="L175" s="7">
        <x:v>0</x:v>
      </x:c>
      <x:c r="M175" s="7">
        <x:v>0</x:v>
      </x:c>
      <x:c r="N175" s="7">
        <x:v>0</x:v>
      </x:c>
      <x:c r="O175" s="10">
        <x:v>1</x:v>
      </x:c>
      <x:c r="P175" s="52" t="e">
        <x:f>HYPERLINK("https://github.com/kapiltrip/hdlBits/blob/main/study/problems/Day%2009/147-exams__review2015_count1k.md","Note")</x:f>
        <x:v>HYPERLINK is not implemented. linkLocation=https://github.com/kapiltrip/hdlBits/blob/main/study/problems/Day%2009/147-exams__review2015_count1k.md, friendlyName=Note</x:v>
      </x:c>
      <x:c r="Q175" s="52" t="e">
        <x:f>HYPERLINK("https://github.com/kapiltrip/hdlBits/blob/main/study/images/Day%2009/147-exams__review2015_count1k.png","Image")</x:f>
        <x:v>HYPERLINK is not implemented. linkLocation=https://github.com/kapiltrip/hdlBits/blob/main/study/images/Day%2009/147-exams__review2015_count1k.png, friendlyName=Image</x:v>
      </x:c>
      <x:c r="R175" s="52" t="e">
        <x:f>HYPERLINK("https://github.com/kapiltrip/hdlBits/blob/main/study/solutions/Day%2009/147-exams__review2015_count1k.sv","Code")</x:f>
        <x:v>HYPERLINK is not implemented. linkLocation=https://github.com/kapiltrip/hdlBits/blob/main/study/solutions/Day%2009/147-exams__review2015_count1k.sv, friendlyName=Code</x:v>
      </x:c>
      <x:c r="S175" s="52" t="e">
        <x:f>HYPERLINK("https://hdlbits.01xz.net/wiki/exams/review2015_count1k","HDLBits")</x:f>
        <x:v>HYPERLINK is not implemented. linkLocation=https://hdlbits.01xz.net/wiki/exams/review2015_count1k, friendlyName=HDLBits</x:v>
      </x:c>
      <x:c r="T175" s="8" t="s">
        <x:v>624</x:v>
      </x:c>
      <x:c r="U175" s="8"/>
    </x:row>
    <x:row r="176" ht="34.04999923706055" customHeight="1">
      <x:c r="A176" s="3">
        <x:v>153</x:v>
      </x:c>
      <x:c r="B176" s="3">
        <x:v>148</x:v>
      </x:c>
      <x:c r="C176" s="2" t="s">
        <x:v>28</x:v>
      </x:c>
      <x:c r="D176" s="2" t="s">
        <x:v>40</x:v>
      </x:c>
      <x:c r="E176" s="2" t="s">
        <x:v>625</x:v>
      </x:c>
      <x:c r="F176" s="2" t="s">
        <x:v>626</x:v>
      </x:c>
      <x:c r="G176" s="3" t="s">
        <x:v>1</x:v>
      </x:c>
      <x:c r="H176" s="3" t="s">
        <x:v>32</x:v>
      </x:c>
      <x:c r="I176" s="56">
        <x:v>46205</x:v>
      </x:c>
      <x:c r="J176" s="48">
        <x:v>0.69986111111111116</x:v>
      </x:c>
      <x:c r="K176" s="3">
        <x:v>12</x:v>
      </x:c>
      <x:c r="L176" s="3">
        <x:v>7</x:v>
      </x:c>
      <x:c r="M176" s="3">
        <x:v>4</x:v>
      </x:c>
      <x:c r="N176" s="3">
        <x:v>0</x:v>
      </x:c>
      <x:c r="O176" s="6">
        <x:v>8.3333333333333329E-2</x:v>
      </x:c>
      <x:c r="P176" s="49" t="e">
        <x:f>HYPERLINK("https://github.com/kapiltrip/hdlBits/blob/main/study/problems/Day%2009/148-exams__review2015_shiftcount.md","Note")</x:f>
        <x:v>HYPERLINK is not implemented. linkLocation=https://github.com/kapiltrip/hdlBits/blob/main/study/problems/Day%2009/148-exams__review2015_shiftcount.md, friendlyName=Note</x:v>
      </x:c>
      <x:c r="Q176" s="49" t="e">
        <x:f>HYPERLINK("https://github.com/kapiltrip/hdlBits/blob/main/study/images/Day%2009/148-exams__review2015_shiftcount.png","Image")</x:f>
        <x:v>HYPERLINK is not implemented. linkLocation=https://github.com/kapiltrip/hdlBits/blob/main/study/images/Day%2009/148-exams__review2015_shiftcount.png, friendlyName=Image</x:v>
      </x:c>
      <x:c r="R176" s="49" t="e">
        <x:f>HYPERLINK("https://github.com/kapiltrip/hdlBits/blob/main/study/solutions/Day%2009/148-exams__review2015_shiftcount.sv","Code")</x:f>
        <x:v>HYPERLINK is not implemented. linkLocation=https://github.com/kapiltrip/hdlBits/blob/main/study/solutions/Day%2009/148-exams__review2015_shiftcount.sv, friendlyName=Code</x:v>
      </x:c>
      <x:c r="S176" s="49" t="e">
        <x:f>HYPERLINK("https://hdlbits.01xz.net/wiki/exams/review2015_shiftcount","HDLBits")</x:f>
        <x:v>HYPERLINK is not implemented. linkLocation=https://hdlbits.01xz.net/wiki/exams/review2015_shiftcount, friendlyName=HDLBits</x:v>
      </x:c>
      <x:c r="T176" s="2" t="s">
        <x:v>627</x:v>
      </x:c>
      <x:c r="U176" s="2"/>
    </x:row>
    <x:row r="177" ht="34.04999923706055" customHeight="1">
      <x:c r="A177" s="7">
        <x:v>154</x:v>
      </x:c>
      <x:c r="B177" s="7">
        <x:v>149</x:v>
      </x:c>
      <x:c r="C177" s="8" t="s">
        <x:v>28</x:v>
      </x:c>
      <x:c r="D177" s="8" t="s">
        <x:v>40</x:v>
      </x:c>
      <x:c r="E177" s="8" t="s">
        <x:v>628</x:v>
      </x:c>
      <x:c r="F177" s="8" t="s">
        <x:v>629</x:v>
      </x:c>
      <x:c r="G177" s="7" t="s">
        <x:v>1</x:v>
      </x:c>
      <x:c r="H177" s="7" t="s">
        <x:v>32</x:v>
      </x:c>
      <x:c r="I177" s="55">
        <x:v>46205</x:v>
      </x:c>
      <x:c r="J177" s="51">
        <x:v>0.72978009259259258</x:v>
      </x:c>
      <x:c r="K177" s="7">
        <x:v>12</x:v>
      </x:c>
      <x:c r="L177" s="7">
        <x:v>6</x:v>
      </x:c>
      <x:c r="M177" s="7">
        <x:v>5</x:v>
      </x:c>
      <x:c r="N177" s="7">
        <x:v>0</x:v>
      </x:c>
      <x:c r="O177" s="10">
        <x:v>8.3333333333333329E-2</x:v>
      </x:c>
      <x:c r="P177" s="52" t="e">
        <x:f>HYPERLINK("https://github.com/kapiltrip/hdlBits/blob/main/study/problems/Day%2009/149-exams__review2015_fsmseq.md","Note")</x:f>
        <x:v>HYPERLINK is not implemented. linkLocation=https://github.com/kapiltrip/hdlBits/blob/main/study/problems/Day%2009/149-exams__review2015_fsmseq.md, friendlyName=Note</x:v>
      </x:c>
      <x:c r="Q177" s="52" t="e">
        <x:f>HYPERLINK("https://github.com/kapiltrip/hdlBits/blob/main/study/images/Day%2009/149-exams__review2015_fsmseq.png","Image")</x:f>
        <x:v>HYPERLINK is not implemented. linkLocation=https://github.com/kapiltrip/hdlBits/blob/main/study/images/Day%2009/149-exams__review2015_fsmseq.png, friendlyName=Image</x:v>
      </x:c>
      <x:c r="R177" s="52" t="e">
        <x:f>HYPERLINK("https://github.com/kapiltrip/hdlBits/blob/main/study/solutions/Day%2009/149-exams__review2015_fsmseq.sv","Code")</x:f>
        <x:v>HYPERLINK is not implemented. linkLocation=https://github.com/kapiltrip/hdlBits/blob/main/study/solutions/Day%2009/149-exams__review2015_fsmseq.sv, friendlyName=Code</x:v>
      </x:c>
      <x:c r="S177" s="52" t="e">
        <x:f>HYPERLINK("https://hdlbits.01xz.net/wiki/exams/review2015_fsmseq","HDLBits")</x:f>
        <x:v>HYPERLINK is not implemented. linkLocation=https://hdlbits.01xz.net/wiki/exams/review2015_fsmseq, friendlyName=HDLBits</x:v>
      </x:c>
      <x:c r="T177" s="8" t="s">
        <x:v>630</x:v>
      </x:c>
      <x:c r="U177" s="8"/>
    </x:row>
    <x:row r="178" ht="34.04999923706055" customHeight="1">
      <x:c r="A178" s="3">
        <x:v>155</x:v>
      </x:c>
      <x:c r="B178" s="3">
        <x:v>150</x:v>
      </x:c>
      <x:c r="C178" s="2" t="s">
        <x:v>28</x:v>
      </x:c>
      <x:c r="D178" s="2" t="s">
        <x:v>40</x:v>
      </x:c>
      <x:c r="E178" s="2" t="s">
        <x:v>631</x:v>
      </x:c>
      <x:c r="F178" s="2" t="s">
        <x:v>632</x:v>
      </x:c>
      <x:c r="G178" s="3" t="s">
        <x:v>1</x:v>
      </x:c>
      <x:c r="H178" s="3" t="s">
        <x:v>32</x:v>
      </x:c>
      <x:c r="I178" s="56">
        <x:v>46205</x:v>
      </x:c>
      <x:c r="J178" s="48">
        <x:v>0.75184027777777773</x:v>
      </x:c>
      <x:c r="K178" s="3">
        <x:v>9</x:v>
      </x:c>
      <x:c r="L178" s="3">
        <x:v>4</x:v>
      </x:c>
      <x:c r="M178" s="3">
        <x:v>4</x:v>
      </x:c>
      <x:c r="N178" s="3">
        <x:v>0</x:v>
      </x:c>
      <x:c r="O178" s="6">
        <x:v>0.1111111111111111</x:v>
      </x:c>
      <x:c r="P178" s="49" t="e">
        <x:f>HYPERLINK("https://github.com/kapiltrip/hdlBits/blob/main/study/problems/Day%2009/150-exams__review2015_fsmshift.md","Note")</x:f>
        <x:v>HYPERLINK is not implemented. linkLocation=https://github.com/kapiltrip/hdlBits/blob/main/study/problems/Day%2009/150-exams__review2015_fsmshift.md, friendlyName=Note</x:v>
      </x:c>
      <x:c r="Q178" s="49" t="e">
        <x:f>HYPERLINK("https://github.com/kapiltrip/hdlBits/blob/main/study/images/Day%2009/150-exams__review2015_fsmshift.png","Image")</x:f>
        <x:v>HYPERLINK is not implemented. linkLocation=https://github.com/kapiltrip/hdlBits/blob/main/study/images/Day%2009/150-exams__review2015_fsmshift.png, friendlyName=Image</x:v>
      </x:c>
      <x:c r="R178" s="49" t="e">
        <x:f>HYPERLINK("https://github.com/kapiltrip/hdlBits/blob/main/study/solutions/Day%2009/150-exams__review2015_fsmshift.sv","Code")</x:f>
        <x:v>HYPERLINK is not implemented. linkLocation=https://github.com/kapiltrip/hdlBits/blob/main/study/solutions/Day%2009/150-exams__review2015_fsmshift.sv, friendlyName=Code</x:v>
      </x:c>
      <x:c r="S178" s="49" t="e">
        <x:f>HYPERLINK("https://hdlbits.01xz.net/wiki/exams/review2015_fsmshift","HDLBits")</x:f>
        <x:v>HYPERLINK is not implemented. linkLocation=https://hdlbits.01xz.net/wiki/exams/review2015_fsmshift, friendlyName=HDLBits</x:v>
      </x:c>
      <x:c r="T178" s="2" t="s">
        <x:v>633</x:v>
      </x:c>
      <x:c r="U178" s="2"/>
    </x:row>
    <x:row r="179" ht="34.04999923706055" customHeight="1">
      <x:c r="A179" s="7">
        <x:v>156</x:v>
      </x:c>
      <x:c r="B179" s="7" t="n">
        <x:v>153</x:v>
      </x:c>
      <x:c r="C179" s="8" t="str">
        <x:v>Circuits</x:v>
      </x:c>
      <x:c r="D179" s="8" t="str">
        <x:v>Building Larger Circuits</x:v>
      </x:c>
      <x:c r="E179" s="8" t="str">
        <x:v>FSM: The complete FSM</x:v>
      </x:c>
      <x:c r="F179" s="8" t="str">
        <x:v>exams/review2015_fsm</x:v>
      </x:c>
      <x:c r="G179" s="7" t="str">
        <x:v>Completed</x:v>
      </x:c>
      <x:c r="H179" s="7" t="str">
        <x:v>Day 09</x:v>
      </x:c>
      <x:c r="I179" s="55" t="n">
        <x:v>46205</x:v>
      </x:c>
      <x:c r="J179" s="7" t="str">
        <x:v>10:20:45 PM</x:v>
      </x:c>
      <x:c r="K179" s="7" t="n">
        <x:v>8</x:v>
      </x:c>
      <x:c r="L179" s="7" t="n">
        <x:v>5</x:v>
      </x:c>
      <x:c r="M179" s="7" t="n">
        <x:v>1</x:v>
      </x:c>
      <x:c r="N179" s="7" t="n">
        <x:v>0</x:v>
      </x:c>
      <x:c r="O179" s="10" t="n">
        <x:v>0.25</x:v>
      </x:c>
      <x:c r="P179" s="11" t="e">
        <x:f>HYPERLINK("https://github.com/kapiltrip/hdlBits/blob/main/study/problems/Day%2009/153-exams__review2015_fsm.md","Note")</x:f>
        <x:v>HYPERLINK is not implemented. linkLocation=https://github.com/kapiltrip/hdlBits/blob/main/study/problems/Day%2009/153-exams__review2015_fsm.md, friendlyName=Note</x:v>
      </x:c>
      <x:c r="Q179" s="11" t="e">
        <x:f>HYPERLINK("https://github.com/kapiltrip/hdlBits/blob/main/study/images/Day%2009/153-exams__review2015_fsm-question-and-successful-submission.png","Image")</x:f>
        <x:v>HYPERLINK is not implemented. linkLocation=https://github.com/kapiltrip/hdlBits/blob/main/study/images/Day%2009/153-exams__review2015_fsm-question-and-successful-submission.png, friendlyName=Image</x:v>
      </x:c>
      <x:c r="R179" s="11" t="e">
        <x:f>HYPERLINK("https://github.com/kapiltrip/hdlBits/blob/main/study/solutions/Day%2009/153-exams__review2015_fsm.sv","Code")</x:f>
        <x:v>HYPERLINK is not implemented. linkLocation=https://github.com/kapiltrip/hdlBits/blob/main/study/solutions/Day%2009/153-exams__review2015_fsm.sv, friendlyName=Code</x:v>
      </x:c>
      <x:c r="S179" s="11" t="e">
        <x:f>HYPERLINK("https://hdlbits.01xz.net/wiki/exams/review2015_fsm","HDLBits")</x:f>
        <x:v>HYPERLINK is not implemented. linkLocation=https://hdlbits.01xz.net/wiki/exams/review2015_fsm, friendlyName=HDLBits</x:v>
      </x:c>
      <x:c r="T179" s="8" t="str">
        <x:v>Ten-state Moore controller: search for 1101, assert shift_ena across four capture states, wait in COUNT for done_counting, then hold done in WAIT until ack. Live HDLBits verification: 2 successes, 5 incorrect attempts, 1 compile error, 8 total attempts; last success 10:20:45 PM.</x:v>
      </x:c>
      <x:c r="U179" s="8"/>
    </x:row>
    <x:row r="180" ht="34.04999923706055" customHeight="1">
      <x:c r="A180" s="3">
        <x:v>157</x:v>
      </x:c>
      <x:c r="B180" s="3" t="n">
        <x:v>154</x:v>
      </x:c>
      <x:c r="C180" s="2" t="str">
        <x:v>Circuits</x:v>
      </x:c>
      <x:c r="D180" s="2" t="str">
        <x:v>Building Larger Circuits</x:v>
      </x:c>
      <x:c r="E180" s="2" t="str">
        <x:v>The complete timer</x:v>
      </x:c>
      <x:c r="F180" s="2" t="str">
        <x:v>exams/review2015_fancytimer</x:v>
      </x:c>
      <x:c r="G180" s="3" t="str">
        <x:v>Completed</x:v>
      </x:c>
      <x:c r="H180" s="3" t="str">
        <x:v>Day 09</x:v>
      </x:c>
      <x:c r="I180" s="56" t="n">
        <x:v>46205</x:v>
      </x:c>
      <x:c r="J180" s="3" t="str">
        <x:v>11:38:15 PM</x:v>
      </x:c>
      <x:c r="K180" s="3" t="n">
        <x:v>2</x:v>
      </x:c>
      <x:c r="L180" s="3" t="n">
        <x:v>0</x:v>
      </x:c>
      <x:c r="M180" s="3" t="n">
        <x:v>0</x:v>
      </x:c>
      <x:c r="N180" s="3" t="n">
        <x:v>0</x:v>
      </x:c>
      <x:c r="O180" s="6" t="n">
        <x:v>1</x:v>
      </x:c>
      <x:c r="P180" s="4" t="e">
        <x:f>HYPERLINK("https://github.com/kapiltrip/hdlBits/blob/main/study/problems/Day%2009/154-exams__review2015_fancytimer.md","Note")</x:f>
        <x:v>HYPERLINK is not implemented. linkLocation=https://github.com/kapiltrip/hdlBits/blob/main/study/problems/Day%2009/154-exams__review2015_fancytimer.md, friendlyName=Note</x:v>
      </x:c>
      <x:c r="Q180" s="4" t="e">
        <x:f>HYPERLINK("https://github.com/kapiltrip/hdlBits/blob/main/study/images/Day%2009/154-exams__review2015_fancytimer-question-and-successful-submission.png","Image")</x:f>
        <x:v>HYPERLINK is not implemented. linkLocation=https://github.com/kapiltrip/hdlBits/blob/main/study/images/Day%2009/154-exams__review2015_fancytimer-question-and-successful-submission.png, friendlyName=Image</x:v>
      </x:c>
      <x:c r="R180" s="4" t="e">
        <x:f>HYPERLINK("https://github.com/kapiltrip/hdlBits/blob/main/study/solutions/Day%2009/154-exams__review2015_fancytimer.sv","Code")</x:f>
        <x:v>HYPERLINK is not implemented. linkLocation=https://github.com/kapiltrip/hdlBits/blob/main/study/solutions/Day%2009/154-exams__review2015_fancytimer.sv, friendlyName=Code</x:v>
      </x:c>
      <x:c r="S180" s="4" t="e">
        <x:f>HYPERLINK("https://hdlbits.01xz.net/wiki/exams/review2015_fancytimer","HDLBits")</x:f>
        <x:v>HYPERLINK is not implemented. linkLocation=https://hdlbits.01xz.net/wiki/exams/review2015_fancytimer, friendlyName=HDLBits</x:v>
      </x:c>
      <x:c r="T180" s="2" t="str">
        <x:v>Complete timer with separate FSM and datapath. delay captures the four serial bits, count_remaining loads the completed value on the fourth shift edge, and a modulo-1000 counter controls each decrement. Live HDLBits verification: 2 successes from 2 attempts; last success 11:38:15 PM.</x:v>
      </x:c>
      <x:c r="U180" s="2"/>
    </x:row>
    <x:row r="181" ht="34.04999923706055" customHeight="1">
      <x:c r="A181" s="7">
        <x:v>158</x:v>
      </x:c>
      <x:c r="B181" s="7"/>
      <x:c r="C181" s="8" t="s">
        <x:v>28</x:v>
      </x:c>
      <x:c r="D181" s="8" t="s">
        <x:v>40</x:v>
      </x:c>
      <x:c r="E181" s="8" t="s">
        <x:v>634</x:v>
      </x:c>
      <x:c r="F181" s="8" t="s">
        <x:v>635</x:v>
      </x:c>
      <x:c r="G181" s="7" t="s">
        <x:v>523</x:v>
      </x:c>
      <x:c r="H181" s="57" t="str">
        <x:v>Day 11</x:v>
      </x:c>
      <x:c r="I181" s="55"/>
      <x:c r="J181" s="7"/>
      <x:c r="K181" s="7">
        <x:v>0</x:v>
      </x:c>
      <x:c r="L181" s="7">
        <x:v>0</x:v>
      </x:c>
      <x:c r="M181" s="7">
        <x:v>0</x:v>
      </x:c>
      <x:c r="N181" s="7">
        <x:v>0</x:v>
      </x:c>
      <x:c r="O181" s="10"/>
      <x:c r="P181" s="11"/>
      <x:c r="Q181" s="11"/>
      <x:c r="R181" s="11"/>
      <x:c r="S181" s="11" t="e">
        <x:f>HYPERLINK("https://hdlbits.01xz.net/wiki/exams/review2015_fsmonehot","HDLBits")</x:f>
        <x:v>HYPERLINK is not implemented. linkLocation=https://hdlbits.01xz.net/wiki/exams/review2015_fsmonehot, friendlyName=HDLBits</x:v>
      </x:c>
      <x:c r="T181" s="8" t="s">
        <x:v>524</x:v>
      </x:c>
      <x:c r="U181" s="8" t="str">
        <x:v>Planned for 2026-07-04. Add the screenshot, solution, archive number, and actual submission timestamp only after HDLBits reports Success.</x:v>
      </x:c>
    </x:row>
    <x:row r="182" ht="25.049999237060547" customHeight="1">
      <x:c r="A182" s="41" t="s">
        <x:v>636</x:v>
      </x:c>
      <x:c r="B182" s="41"/>
      <x:c r="C182" s="41"/>
      <x:c r="D182" s="41"/>
      <x:c r="E182" s="41"/>
      <x:c r="F182" s="41"/>
      <x:c r="G182" s="41"/>
      <x:c r="H182" s="41"/>
      <x:c r="I182" s="59"/>
      <x:c r="J182" s="41"/>
      <x:c r="K182" s="41"/>
      <x:c r="L182" s="41"/>
      <x:c r="M182" s="41"/>
      <x:c r="N182" s="41"/>
      <x:c r="O182" s="43"/>
      <x:c r="P182" s="41"/>
      <x:c r="Q182" s="41"/>
      <x:c r="R182" s="41"/>
      <x:c r="S182" s="41"/>
      <x:c r="T182" s="41"/>
      <x:c r="U182" s="41"/>
    </x:row>
    <x:row r="183" ht="22.049999237060547" customHeight="1">
      <x:c r="A183" s="44" t="s">
        <x:v>637</x:v>
      </x:c>
      <x:c r="B183" s="44"/>
      <x:c r="C183" s="44"/>
      <x:c r="D183" s="44"/>
      <x:c r="E183" s="44"/>
      <x:c r="F183" s="44"/>
      <x:c r="G183" s="44"/>
      <x:c r="H183" s="44"/>
      <x:c r="I183" s="60"/>
      <x:c r="J183" s="44"/>
      <x:c r="K183" s="44"/>
      <x:c r="L183" s="44"/>
      <x:c r="M183" s="44"/>
      <x:c r="N183" s="44"/>
      <x:c r="O183" s="46"/>
      <x:c r="P183" s="44"/>
      <x:c r="Q183" s="44"/>
      <x:c r="R183" s="44"/>
      <x:c r="S183" s="44"/>
      <x:c r="T183" s="44"/>
      <x:c r="U183" s="44"/>
    </x:row>
    <x:row r="184" ht="34.04999923706055" customHeight="1">
      <x:c r="A184" s="3">
        <x:v>159</x:v>
      </x:c>
      <x:c r="B184" s="3">
        <x:v>122</x:v>
      </x:c>
      <x:c r="C184" s="2" t="s">
        <x:v>41</x:v>
      </x:c>
      <x:c r="D184" s="2" t="s">
        <x:v>42</x:v>
      </x:c>
      <x:c r="E184" s="2" t="s">
        <x:v>638</x:v>
      </x:c>
      <x:c r="F184" s="2" t="s">
        <x:v>639</x:v>
      </x:c>
      <x:c r="G184" s="3" t="s">
        <x:v>1</x:v>
      </x:c>
      <x:c r="H184" s="3" t="s">
        <x:v>25</x:v>
      </x:c>
      <x:c r="I184" s="56">
        <x:v>46201</x:v>
      </x:c>
      <x:c r="J184" s="3" t="s">
        <x:v>640</x:v>
      </x:c>
      <x:c r="K184" s="3">
        <x:v>4</x:v>
      </x:c>
      <x:c r="L184" s="3">
        <x:v>2</x:v>
      </x:c>
      <x:c r="M184" s="3">
        <x:v>0</x:v>
      </x:c>
      <x:c r="N184" s="3">
        <x:v>1</x:v>
      </x:c>
      <x:c r="O184" s="6">
        <x:v>0.25</x:v>
      </x:c>
      <x:c r="P184" s="4" t="e">
        <x:f>HYPERLINK("https://github.com/kapiltrip/hdlBits/blob/main/study/problems/Day%2006/122-bugs_mux2.md","Note")</x:f>
        <x:v>HYPERLINK is not implemented. linkLocation=https://github.com/kapiltrip/hdlBits/blob/main/study/problems/Day%2006/122-bugs_mux2.md, friendlyName=Note</x:v>
      </x:c>
      <x:c r="Q184" s="4" t="e">
        <x:f>HYPERLINK("https://github.com/kapiltrip/hdlBits/blob/main/study/images/Day%2006/122-bugs_mux2.png","Image")</x:f>
        <x:v>HYPERLINK is not implemented. linkLocation=https://github.com/kapiltrip/hdlBits/blob/main/study/images/Day%2006/122-bugs_mux2.png, friendlyName=Image</x:v>
      </x:c>
      <x:c r="R184" s="4" t="e">
        <x:f>HYPERLINK("https://github.com/kapiltrip/hdlBits/blob/main/study/solutions/Day%2006/122-bugs_mux2.sv","Code")</x:f>
        <x:v>HYPERLINK is not implemented. linkLocation=https://github.com/kapiltrip/hdlBits/blob/main/study/solutions/Day%2006/122-bugs_mux2.sv, friendlyName=Code</x:v>
      </x:c>
      <x:c r="S184" s="4" t="e">
        <x:f>HYPERLINK("https://hdlbits.01xz.net/wiki/bugs_mux2","HDLBits")</x:f>
        <x:v>HYPERLINK is not implemented. linkLocation=https://hdlbits.01xz.net/wiki/bugs_mux2, friendlyName=HDLBits</x:v>
      </x:c>
      <x:c r="T184" s="2" t="s">
        <x:v>641</x:v>
      </x:c>
      <x:c r="U184" s="2"/>
    </x:row>
    <x:row r="185" ht="34.04999923706055" customHeight="1">
      <x:c r="A185" s="7">
        <x:v>160</x:v>
      </x:c>
      <x:c r="B185" s="7">
        <x:v>123</x:v>
      </x:c>
      <x:c r="C185" s="8" t="s">
        <x:v>41</x:v>
      </x:c>
      <x:c r="D185" s="8" t="s">
        <x:v>42</x:v>
      </x:c>
      <x:c r="E185" s="8" t="s">
        <x:v>642</x:v>
      </x:c>
      <x:c r="F185" s="8" t="s">
        <x:v>643</x:v>
      </x:c>
      <x:c r="G185" s="7" t="s">
        <x:v>1</x:v>
      </x:c>
      <x:c r="H185" s="7" t="s">
        <x:v>25</x:v>
      </x:c>
      <x:c r="I185" s="55">
        <x:v>46201</x:v>
      </x:c>
      <x:c r="J185" s="7" t="s">
        <x:v>644</x:v>
      </x:c>
      <x:c r="K185" s="7">
        <x:v>2</x:v>
      </x:c>
      <x:c r="L185" s="7">
        <x:v>1</x:v>
      </x:c>
      <x:c r="M185" s="7">
        <x:v>0</x:v>
      </x:c>
      <x:c r="N185" s="7">
        <x:v>0</x:v>
      </x:c>
      <x:c r="O185" s="10">
        <x:v>0.5</x:v>
      </x:c>
      <x:c r="P185" s="11" t="e">
        <x:f>HYPERLINK("https://github.com/kapiltrip/hdlBits/blob/main/study/problems/Day%2006/123-bugs_nand3.md","Note")</x:f>
        <x:v>HYPERLINK is not implemented. linkLocation=https://github.com/kapiltrip/hdlBits/blob/main/study/problems/Day%2006/123-bugs_nand3.md, friendlyName=Note</x:v>
      </x:c>
      <x:c r="Q185" s="11" t="e">
        <x:f>HYPERLINK("https://github.com/kapiltrip/hdlBits/blob/main/study/images/Day%2006/123-bugs_nand3.png","Image")</x:f>
        <x:v>HYPERLINK is not implemented. linkLocation=https://github.com/kapiltrip/hdlBits/blob/main/study/images/Day%2006/123-bugs_nand3.png, friendlyName=Image</x:v>
      </x:c>
      <x:c r="R185" s="11" t="e">
        <x:f>HYPERLINK("https://github.com/kapiltrip/hdlBits/blob/main/study/solutions/Day%2006/123-bugs_nand3.sv","Code")</x:f>
        <x:v>HYPERLINK is not implemented. linkLocation=https://github.com/kapiltrip/hdlBits/blob/main/study/solutions/Day%2006/123-bugs_nand3.sv, friendlyName=Code</x:v>
      </x:c>
      <x:c r="S185" s="11" t="e">
        <x:f>HYPERLINK("https://hdlbits.01xz.net/wiki/bugs_nand3","HDLBits")</x:f>
        <x:v>HYPERLINK is not implemented. linkLocation=https://hdlbits.01xz.net/wiki/bugs_nand3, friendlyName=HDLBits</x:v>
      </x:c>
      <x:c r="T185" s="8" t="s">
        <x:v>645</x:v>
      </x:c>
      <x:c r="U185" s="8"/>
    </x:row>
    <x:row r="186" ht="34.04999923706055" customHeight="1">
      <x:c r="A186" s="3">
        <x:v>161</x:v>
      </x:c>
      <x:c r="B186" s="3">
        <x:v>124</x:v>
      </x:c>
      <x:c r="C186" s="2" t="s">
        <x:v>41</x:v>
      </x:c>
      <x:c r="D186" s="2" t="s">
        <x:v>42</x:v>
      </x:c>
      <x:c r="E186" s="2" t="s">
        <x:v>638</x:v>
      </x:c>
      <x:c r="F186" s="2" t="s">
        <x:v>646</x:v>
      </x:c>
      <x:c r="G186" s="3" t="s">
        <x:v>1</x:v>
      </x:c>
      <x:c r="H186" s="3" t="s">
        <x:v>25</x:v>
      </x:c>
      <x:c r="I186" s="56">
        <x:v>46201</x:v>
      </x:c>
      <x:c r="J186" s="3" t="s">
        <x:v>647</x:v>
      </x:c>
      <x:c r="K186" s="3">
        <x:v>7</x:v>
      </x:c>
      <x:c r="L186" s="3">
        <x:v>6</x:v>
      </x:c>
      <x:c r="M186" s="3">
        <x:v>0</x:v>
      </x:c>
      <x:c r="N186" s="3">
        <x:v>0</x:v>
      </x:c>
      <x:c r="O186" s="6">
        <x:v>0.14000000000000001</x:v>
      </x:c>
      <x:c r="P186" s="4" t="e">
        <x:f>HYPERLINK("https://github.com/kapiltrip/hdlBits/blob/main/study/problems/Day%2006/124-bugs_mux4.md","Note")</x:f>
        <x:v>HYPERLINK is not implemented. linkLocation=https://github.com/kapiltrip/hdlBits/blob/main/study/problems/Day%2006/124-bugs_mux4.md, friendlyName=Note</x:v>
      </x:c>
      <x:c r="Q186" s="4" t="e">
        <x:f>HYPERLINK("https://github.com/kapiltrip/hdlBits/blob/main/study/images/Day%2006/124-bugs_mux4.png","Image")</x:f>
        <x:v>HYPERLINK is not implemented. linkLocation=https://github.com/kapiltrip/hdlBits/blob/main/study/images/Day%2006/124-bugs_mux4.png, friendlyName=Image</x:v>
      </x:c>
      <x:c r="R186" s="4" t="e">
        <x:f>HYPERLINK("https://github.com/kapiltrip/hdlBits/blob/main/study/solutions/Day%2006/124-bugs_mux4.sv","Code")</x:f>
        <x:v>HYPERLINK is not implemented. linkLocation=https://github.com/kapiltrip/hdlBits/blob/main/study/solutions/Day%2006/124-bugs_mux4.sv, friendlyName=Code</x:v>
      </x:c>
      <x:c r="S186" s="4" t="e">
        <x:f>HYPERLINK("https://hdlbits.01xz.net/wiki/bugs_mux4","HDLBits")</x:f>
        <x:v>HYPERLINK is not implemented. linkLocation=https://hdlbits.01xz.net/wiki/bugs_mux4, friendlyName=HDLBits</x:v>
      </x:c>
      <x:c r="T186" s="2" t="s">
        <x:v>648</x:v>
      </x:c>
      <x:c r="U186" s="2"/>
    </x:row>
    <x:row r="187" ht="34.04999923706055" customHeight="1">
      <x:c r="A187" s="7">
        <x:v>162</x:v>
      </x:c>
      <x:c r="B187" s="7">
        <x:v>125</x:v>
      </x:c>
      <x:c r="C187" s="8" t="s">
        <x:v>41</x:v>
      </x:c>
      <x:c r="D187" s="8" t="s">
        <x:v>42</x:v>
      </x:c>
      <x:c r="E187" s="8" t="s">
        <x:v>649</x:v>
      </x:c>
      <x:c r="F187" s="8" t="s">
        <x:v>650</x:v>
      </x:c>
      <x:c r="G187" s="7" t="s">
        <x:v>1</x:v>
      </x:c>
      <x:c r="H187" s="7" t="s">
        <x:v>25</x:v>
      </x:c>
      <x:c r="I187" s="55">
        <x:v>46201</x:v>
      </x:c>
      <x:c r="J187" s="7" t="s">
        <x:v>651</x:v>
      </x:c>
      <x:c r="K187" s="7">
        <x:v>12</x:v>
      </x:c>
      <x:c r="L187" s="7">
        <x:v>6</x:v>
      </x:c>
      <x:c r="M187" s="7">
        <x:v>4</x:v>
      </x:c>
      <x:c r="N187" s="7">
        <x:v>0</x:v>
      </x:c>
      <x:c r="O187" s="10">
        <x:v>0.17</x:v>
      </x:c>
      <x:c r="P187" s="11" t="e">
        <x:f>HYPERLINK("https://github.com/kapiltrip/hdlBits/blob/main/study/problems/Day%2006/125-bugs_addsubz.md","Note")</x:f>
        <x:v>HYPERLINK is not implemented. linkLocation=https://github.com/kapiltrip/hdlBits/blob/main/study/problems/Day%2006/125-bugs_addsubz.md, friendlyName=Note</x:v>
      </x:c>
      <x:c r="Q187" s="11" t="e">
        <x:f>HYPERLINK("https://github.com/kapiltrip/hdlBits/blob/main/study/images/Day%2006/125-bugs_addsubz.png","Image")</x:f>
        <x:v>HYPERLINK is not implemented. linkLocation=https://github.com/kapiltrip/hdlBits/blob/main/study/images/Day%2006/125-bugs_addsubz.png, friendlyName=Image</x:v>
      </x:c>
      <x:c r="R187" s="11" t="e">
        <x:f>HYPERLINK("https://github.com/kapiltrip/hdlBits/blob/main/study/solutions/Day%2006/125-bugs_addsubz.sv","Code")</x:f>
        <x:v>HYPERLINK is not implemented. linkLocation=https://github.com/kapiltrip/hdlBits/blob/main/study/solutions/Day%2006/125-bugs_addsubz.sv, friendlyName=Code</x:v>
      </x:c>
      <x:c r="S187" s="11" t="e">
        <x:f>HYPERLINK("https://hdlbits.01xz.net/wiki/bugs_addsubz","HDLBits")</x:f>
        <x:v>HYPERLINK is not implemented. linkLocation=https://hdlbits.01xz.net/wiki/bugs_addsubz, friendlyName=HDLBits</x:v>
      </x:c>
      <x:c r="T187" s="8" t="s">
        <x:v>652</x:v>
      </x:c>
      <x:c r="U187" s="8"/>
    </x:row>
    <x:row r="188" ht="34.04999923706055" customHeight="1">
      <x:c r="A188" s="3">
        <x:v>163</x:v>
      </x:c>
      <x:c r="B188" s="3">
        <x:v>126</x:v>
      </x:c>
      <x:c r="C188" s="2" t="s">
        <x:v>41</x:v>
      </x:c>
      <x:c r="D188" s="2" t="s">
        <x:v>42</x:v>
      </x:c>
      <x:c r="E188" s="2" t="s">
        <x:v>189</x:v>
      </x:c>
      <x:c r="F188" s="2" t="s">
        <x:v>653</x:v>
      </x:c>
      <x:c r="G188" s="3" t="s">
        <x:v>1</x:v>
      </x:c>
      <x:c r="H188" s="3" t="s">
        <x:v>25</x:v>
      </x:c>
      <x:c r="I188" s="56">
        <x:v>46201</x:v>
      </x:c>
      <x:c r="J188" s="3" t="s">
        <x:v>654</x:v>
      </x:c>
      <x:c r="K188" s="3">
        <x:v>5</x:v>
      </x:c>
      <x:c r="L188" s="3">
        <x:v>2</x:v>
      </x:c>
      <x:c r="M188" s="3">
        <x:v>2</x:v>
      </x:c>
      <x:c r="N188" s="3">
        <x:v>0</x:v>
      </x:c>
      <x:c r="O188" s="6">
        <x:v>0.2</x:v>
      </x:c>
      <x:c r="P188" s="4" t="e">
        <x:f>HYPERLINK("https://github.com/kapiltrip/hdlBits/blob/main/study/problems/Day%2006/126-bugs_case.md","Note")</x:f>
        <x:v>HYPERLINK is not implemented. linkLocation=https://github.com/kapiltrip/hdlBits/blob/main/study/problems/Day%2006/126-bugs_case.md, friendlyName=Note</x:v>
      </x:c>
      <x:c r="Q188" s="4" t="e">
        <x:f>HYPERLINK("https://github.com/kapiltrip/hdlBits/blob/main/study/images/Day%2006/126-bugs_case.png","Image")</x:f>
        <x:v>HYPERLINK is not implemented. linkLocation=https://github.com/kapiltrip/hdlBits/blob/main/study/images/Day%2006/126-bugs_case.png, friendlyName=Image</x:v>
      </x:c>
      <x:c r="R188" s="4" t="e">
        <x:f>HYPERLINK("https://github.com/kapiltrip/hdlBits/blob/main/study/solutions/Day%2006/126-bugs_case.sv","Code")</x:f>
        <x:v>HYPERLINK is not implemented. linkLocation=https://github.com/kapiltrip/hdlBits/blob/main/study/solutions/Day%2006/126-bugs_case.sv, friendlyName=Code</x:v>
      </x:c>
      <x:c r="S188" s="4" t="e">
        <x:f>HYPERLINK("https://hdlbits.01xz.net/wiki/bugs_case","HDLBits")</x:f>
        <x:v>HYPERLINK is not implemented. linkLocation=https://hdlbits.01xz.net/wiki/bugs_case, friendlyName=HDLBits</x:v>
      </x:c>
      <x:c r="T188" s="2" t="s">
        <x:v>655</x:v>
      </x:c>
      <x:c r="U188" s="2"/>
    </x:row>
    <x:row r="189" ht="22.049999237060547" customHeight="1">
      <x:c r="A189" s="44" t="s">
        <x:v>656</x:v>
      </x:c>
      <x:c r="B189" s="44"/>
      <x:c r="C189" s="44"/>
      <x:c r="D189" s="44"/>
      <x:c r="E189" s="44"/>
      <x:c r="F189" s="44"/>
      <x:c r="G189" s="44"/>
      <x:c r="H189" s="44"/>
      <x:c r="I189" s="60"/>
      <x:c r="J189" s="44"/>
      <x:c r="K189" s="44"/>
      <x:c r="L189" s="44"/>
      <x:c r="M189" s="44"/>
      <x:c r="N189" s="44"/>
      <x:c r="O189" s="46"/>
      <x:c r="P189" s="44"/>
      <x:c r="Q189" s="44"/>
      <x:c r="R189" s="44"/>
      <x:c r="S189" s="44"/>
      <x:c r="T189" s="44"/>
      <x:c r="U189" s="44"/>
    </x:row>
    <x:row r="190" ht="34.04999923706055" customHeight="1">
      <x:c r="A190" s="7">
        <x:v>164</x:v>
      </x:c>
      <x:c r="B190" s="7">
        <x:v>127</x:v>
      </x:c>
      <x:c r="C190" s="8" t="s">
        <x:v>41</x:v>
      </x:c>
      <x:c r="D190" s="8" t="s">
        <x:v>43</x:v>
      </x:c>
      <x:c r="E190" s="8" t="s">
        <x:v>657</x:v>
      </x:c>
      <x:c r="F190" s="8" t="s">
        <x:v>658</x:v>
      </x:c>
      <x:c r="G190" s="7" t="s">
        <x:v>1</x:v>
      </x:c>
      <x:c r="H190" s="7" t="s">
        <x:v>25</x:v>
      </x:c>
      <x:c r="I190" s="55">
        <x:v>46201</x:v>
      </x:c>
      <x:c r="J190" s="7" t="s">
        <x:v>659</x:v>
      </x:c>
      <x:c r="K190" s="7">
        <x:v>2</x:v>
      </x:c>
      <x:c r="L190" s="7">
        <x:v>1</x:v>
      </x:c>
      <x:c r="M190" s="7">
        <x:v>0</x:v>
      </x:c>
      <x:c r="N190" s="7">
        <x:v>0</x:v>
      </x:c>
      <x:c r="O190" s="10">
        <x:v>0.5</x:v>
      </x:c>
      <x:c r="P190" s="11" t="e">
        <x:f>HYPERLINK("https://github.com/kapiltrip/hdlBits/blob/main/study/problems/Day%2006/127-sim__circuit1.md","Note")</x:f>
        <x:v>HYPERLINK is not implemented. linkLocation=https://github.com/kapiltrip/hdlBits/blob/main/study/problems/Day%2006/127-sim__circuit1.md, friendlyName=Note</x:v>
      </x:c>
      <x:c r="Q190" s="11" t="e">
        <x:f>HYPERLINK("https://github.com/kapiltrip/hdlBits/blob/main/study/images/Day%2006/127-sim__circuit1.png","Image")</x:f>
        <x:v>HYPERLINK is not implemented. linkLocation=https://github.com/kapiltrip/hdlBits/blob/main/study/images/Day%2006/127-sim__circuit1.png, friendlyName=Image</x:v>
      </x:c>
      <x:c r="R190" s="11" t="e">
        <x:f>HYPERLINK("https://github.com/kapiltrip/hdlBits/blob/main/study/solutions/Day%2006/127-sim__circuit1.sv","Code")</x:f>
        <x:v>HYPERLINK is not implemented. linkLocation=https://github.com/kapiltrip/hdlBits/blob/main/study/solutions/Day%2006/127-sim__circuit1.sv, friendlyName=Code</x:v>
      </x:c>
      <x:c r="S190" s="11" t="e">
        <x:f>HYPERLINK("https://hdlbits.01xz.net/wiki/sim/circuit1","HDLBits")</x:f>
        <x:v>HYPERLINK is not implemented. linkLocation=https://hdlbits.01xz.net/wiki/sim/circuit1, friendlyName=HDLBits</x:v>
      </x:c>
      <x:c r="T190" s="8" t="s">
        <x:v>660</x:v>
      </x:c>
      <x:c r="U190" s="8"/>
    </x:row>
    <x:row r="191" ht="34.04999923706055" customHeight="1">
      <x:c r="A191" s="3">
        <x:v>165</x:v>
      </x:c>
      <x:c r="B191" s="3">
        <x:v>128</x:v>
      </x:c>
      <x:c r="C191" s="2" t="s">
        <x:v>41</x:v>
      </x:c>
      <x:c r="D191" s="2" t="s">
        <x:v>43</x:v>
      </x:c>
      <x:c r="E191" s="2" t="s">
        <x:v>661</x:v>
      </x:c>
      <x:c r="F191" s="2" t="s">
        <x:v>662</x:v>
      </x:c>
      <x:c r="G191" s="3" t="s">
        <x:v>1</x:v>
      </x:c>
      <x:c r="H191" s="3" t="s">
        <x:v>25</x:v>
      </x:c>
      <x:c r="I191" s="56">
        <x:v>46201</x:v>
      </x:c>
      <x:c r="J191" s="3" t="s">
        <x:v>663</x:v>
      </x:c>
      <x:c r="K191" s="3">
        <x:v>2</x:v>
      </x:c>
      <x:c r="L191" s="3">
        <x:v>1</x:v>
      </x:c>
      <x:c r="M191" s="3">
        <x:v>0</x:v>
      </x:c>
      <x:c r="N191" s="3">
        <x:v>0</x:v>
      </x:c>
      <x:c r="O191" s="6">
        <x:v>0.5</x:v>
      </x:c>
      <x:c r="P191" s="4" t="e">
        <x:f>HYPERLINK("https://github.com/kapiltrip/hdlBits/blob/main/study/problems/Day%2006/128-sim__circuit2.md","Note")</x:f>
        <x:v>HYPERLINK is not implemented. linkLocation=https://github.com/kapiltrip/hdlBits/blob/main/study/problems/Day%2006/128-sim__circuit2.md, friendlyName=Note</x:v>
      </x:c>
      <x:c r="Q191" s="4" t="e">
        <x:f>HYPERLINK("https://github.com/kapiltrip/hdlBits/blob/main/study/images/Day%2006/128-sim__circuit2.png","Image")</x:f>
        <x:v>HYPERLINK is not implemented. linkLocation=https://github.com/kapiltrip/hdlBits/blob/main/study/images/Day%2006/128-sim__circuit2.png, friendlyName=Image</x:v>
      </x:c>
      <x:c r="R191" s="4" t="e">
        <x:f>HYPERLINK("https://github.com/kapiltrip/hdlBits/blob/main/study/solutions/Day%2006/128-sim__circuit2.sv","Code")</x:f>
        <x:v>HYPERLINK is not implemented. linkLocation=https://github.com/kapiltrip/hdlBits/blob/main/study/solutions/Day%2006/128-sim__circuit2.sv, friendlyName=Code</x:v>
      </x:c>
      <x:c r="S191" s="4" t="e">
        <x:f>HYPERLINK("https://hdlbits.01xz.net/wiki/sim/circuit2","HDLBits")</x:f>
        <x:v>HYPERLINK is not implemented. linkLocation=https://hdlbits.01xz.net/wiki/sim/circuit2, friendlyName=HDLBits</x:v>
      </x:c>
      <x:c r="T191" s="2" t="s">
        <x:v>664</x:v>
      </x:c>
      <x:c r="U191" s="2"/>
    </x:row>
    <x:row r="192" ht="34.04999923706055" customHeight="1">
      <x:c r="A192" s="7">
        <x:v>166</x:v>
      </x:c>
      <x:c r="B192" s="7">
        <x:v>129</x:v>
      </x:c>
      <x:c r="C192" s="8" t="s">
        <x:v>41</x:v>
      </x:c>
      <x:c r="D192" s="8" t="s">
        <x:v>43</x:v>
      </x:c>
      <x:c r="E192" s="8" t="s">
        <x:v>665</x:v>
      </x:c>
      <x:c r="F192" s="8" t="s">
        <x:v>666</x:v>
      </x:c>
      <x:c r="G192" s="7" t="s">
        <x:v>1</x:v>
      </x:c>
      <x:c r="H192" s="7" t="s">
        <x:v>25</x:v>
      </x:c>
      <x:c r="I192" s="55">
        <x:v>46201</x:v>
      </x:c>
      <x:c r="J192" s="7" t="s">
        <x:v>667</x:v>
      </x:c>
      <x:c r="K192" s="7">
        <x:v>1</x:v>
      </x:c>
      <x:c r="L192" s="7">
        <x:v>0</x:v>
      </x:c>
      <x:c r="M192" s="7">
        <x:v>0</x:v>
      </x:c>
      <x:c r="N192" s="7">
        <x:v>0</x:v>
      </x:c>
      <x:c r="O192" s="10">
        <x:v>1</x:v>
      </x:c>
      <x:c r="P192" s="11" t="e">
        <x:f>HYPERLINK("https://github.com/kapiltrip/hdlBits/blob/main/study/problems/Day%2006/129-sim__circuit3.md","Note")</x:f>
        <x:v>HYPERLINK is not implemented. linkLocation=https://github.com/kapiltrip/hdlBits/blob/main/study/problems/Day%2006/129-sim__circuit3.md, friendlyName=Note</x:v>
      </x:c>
      <x:c r="Q192" s="11" t="e">
        <x:f>HYPERLINK("https://github.com/kapiltrip/hdlBits/blob/main/study/images/Day%2006/129-sim__circuit3.png","Image")</x:f>
        <x:v>HYPERLINK is not implemented. linkLocation=https://github.com/kapiltrip/hdlBits/blob/main/study/images/Day%2006/129-sim__circuit3.png, friendlyName=Image</x:v>
      </x:c>
      <x:c r="R192" s="11" t="e">
        <x:f>HYPERLINK("https://github.com/kapiltrip/hdlBits/blob/main/study/solutions/Day%2006/129-sim__circuit3.sv","Code")</x:f>
        <x:v>HYPERLINK is not implemented. linkLocation=https://github.com/kapiltrip/hdlBits/blob/main/study/solutions/Day%2006/129-sim__circuit3.sv, friendlyName=Code</x:v>
      </x:c>
      <x:c r="S192" s="11" t="e">
        <x:f>HYPERLINK("https://hdlbits.01xz.net/wiki/sim/circuit3","HDLBits")</x:f>
        <x:v>HYPERLINK is not implemented. linkLocation=https://hdlbits.01xz.net/wiki/sim/circuit3, friendlyName=HDLBits</x:v>
      </x:c>
      <x:c r="T192" s="8" t="s">
        <x:v>668</x:v>
      </x:c>
      <x:c r="U192" s="8"/>
    </x:row>
    <x:row r="193" ht="34.04999923706055" customHeight="1">
      <x:c r="A193" s="3">
        <x:v>167</x:v>
      </x:c>
      <x:c r="B193" s="3">
        <x:v>130</x:v>
      </x:c>
      <x:c r="C193" s="2" t="s">
        <x:v>41</x:v>
      </x:c>
      <x:c r="D193" s="2" t="s">
        <x:v>43</x:v>
      </x:c>
      <x:c r="E193" s="2" t="s">
        <x:v>669</x:v>
      </x:c>
      <x:c r="F193" s="2" t="s">
        <x:v>670</x:v>
      </x:c>
      <x:c r="G193" s="3" t="s">
        <x:v>1</x:v>
      </x:c>
      <x:c r="H193" s="3" t="s">
        <x:v>25</x:v>
      </x:c>
      <x:c r="I193" s="56">
        <x:v>46201</x:v>
      </x:c>
      <x:c r="J193" s="3" t="s">
        <x:v>671</x:v>
      </x:c>
      <x:c r="K193" s="3">
        <x:v>4</x:v>
      </x:c>
      <x:c r="L193" s="3">
        <x:v>2</x:v>
      </x:c>
      <x:c r="M193" s="3">
        <x:v>1</x:v>
      </x:c>
      <x:c r="N193" s="3">
        <x:v>0</x:v>
      </x:c>
      <x:c r="O193" s="6">
        <x:v>0.25</x:v>
      </x:c>
      <x:c r="P193" s="4" t="e">
        <x:f>HYPERLINK("https://github.com/kapiltrip/hdlBits/blob/main/study/problems/Day%2006/130-sim__circuit4.md","Note")</x:f>
        <x:v>HYPERLINK is not implemented. linkLocation=https://github.com/kapiltrip/hdlBits/blob/main/study/problems/Day%2006/130-sim__circuit4.md, friendlyName=Note</x:v>
      </x:c>
      <x:c r="Q193" s="4" t="e">
        <x:f>HYPERLINK("https://github.com/kapiltrip/hdlBits/blob/main/study/images/Day%2006/130-sim__circuit4.png","Image")</x:f>
        <x:v>HYPERLINK is not implemented. linkLocation=https://github.com/kapiltrip/hdlBits/blob/main/study/images/Day%2006/130-sim__circuit4.png, friendlyName=Image</x:v>
      </x:c>
      <x:c r="R193" s="4" t="e">
        <x:f>HYPERLINK("https://github.com/kapiltrip/hdlBits/blob/main/study/solutions/Day%2006/130-sim__circuit4.sv","Code")</x:f>
        <x:v>HYPERLINK is not implemented. linkLocation=https://github.com/kapiltrip/hdlBits/blob/main/study/solutions/Day%2006/130-sim__circuit4.sv, friendlyName=Code</x:v>
      </x:c>
      <x:c r="S193" s="4" t="e">
        <x:f>HYPERLINK("https://hdlbits.01xz.net/wiki/sim/circuit4","HDLBits")</x:f>
        <x:v>HYPERLINK is not implemented. linkLocation=https://hdlbits.01xz.net/wiki/sim/circuit4, friendlyName=HDLBits</x:v>
      </x:c>
      <x:c r="T193" s="2" t="s">
        <x:v>672</x:v>
      </x:c>
      <x:c r="U193" s="2"/>
    </x:row>
    <x:row r="194" ht="34.04999923706055" customHeight="1">
      <x:c r="A194" s="7">
        <x:v>168</x:v>
      </x:c>
      <x:c r="B194" s="7">
        <x:v>131</x:v>
      </x:c>
      <x:c r="C194" s="8" t="s">
        <x:v>41</x:v>
      </x:c>
      <x:c r="D194" s="8" t="s">
        <x:v>43</x:v>
      </x:c>
      <x:c r="E194" s="8" t="s">
        <x:v>673</x:v>
      </x:c>
      <x:c r="F194" s="8" t="s">
        <x:v>674</x:v>
      </x:c>
      <x:c r="G194" s="7" t="s">
        <x:v>1</x:v>
      </x:c>
      <x:c r="H194" s="7" t="s">
        <x:v>25</x:v>
      </x:c>
      <x:c r="I194" s="55">
        <x:v>46201</x:v>
      </x:c>
      <x:c r="J194" s="7" t="s">
        <x:v>675</x:v>
      </x:c>
      <x:c r="K194" s="7">
        <x:v>4</x:v>
      </x:c>
      <x:c r="L194" s="7">
        <x:v>0</x:v>
      </x:c>
      <x:c r="M194" s="7">
        <x:v>2</x:v>
      </x:c>
      <x:c r="N194" s="7">
        <x:v>0</x:v>
      </x:c>
      <x:c r="O194" s="10">
        <x:v>0.5</x:v>
      </x:c>
      <x:c r="P194" s="11" t="e">
        <x:f>HYPERLINK("https://github.com/kapiltrip/hdlBits/blob/main/study/problems/Day%2006/131-sim__circuit5.md","Note")</x:f>
        <x:v>HYPERLINK is not implemented. linkLocation=https://github.com/kapiltrip/hdlBits/blob/main/study/problems/Day%2006/131-sim__circuit5.md, friendlyName=Note</x:v>
      </x:c>
      <x:c r="Q194" s="11" t="e">
        <x:f>HYPERLINK("https://github.com/kapiltrip/hdlBits/blob/main/study/images/Day%2006/131-sim__circuit5.png","Image")</x:f>
        <x:v>HYPERLINK is not implemented. linkLocation=https://github.com/kapiltrip/hdlBits/blob/main/study/images/Day%2006/131-sim__circuit5.png, friendlyName=Image</x:v>
      </x:c>
      <x:c r="R194" s="11" t="e">
        <x:f>HYPERLINK("https://github.com/kapiltrip/hdlBits/blob/main/study/solutions/Day%2006/131-sim__circuit5.sv","Code")</x:f>
        <x:v>HYPERLINK is not implemented. linkLocation=https://github.com/kapiltrip/hdlBits/blob/main/study/solutions/Day%2006/131-sim__circuit5.sv, friendlyName=Code</x:v>
      </x:c>
      <x:c r="S194" s="11" t="e">
        <x:f>HYPERLINK("https://hdlbits.01xz.net/wiki/sim/circuit5","HDLBits")</x:f>
        <x:v>HYPERLINK is not implemented. linkLocation=https://hdlbits.01xz.net/wiki/sim/circuit5, friendlyName=HDLBits</x:v>
      </x:c>
      <x:c r="T194" s="8" t="s">
        <x:v>676</x:v>
      </x:c>
      <x:c r="U194" s="8"/>
    </x:row>
    <x:row r="195" ht="34.04999923706055" customHeight="1">
      <x:c r="A195" s="3">
        <x:v>169</x:v>
      </x:c>
      <x:c r="B195" s="3">
        <x:v>132</x:v>
      </x:c>
      <x:c r="C195" s="2" t="s">
        <x:v>41</x:v>
      </x:c>
      <x:c r="D195" s="2" t="s">
        <x:v>43</x:v>
      </x:c>
      <x:c r="E195" s="2" t="s">
        <x:v>677</x:v>
      </x:c>
      <x:c r="F195" s="2" t="s">
        <x:v>678</x:v>
      </x:c>
      <x:c r="G195" s="3" t="s">
        <x:v>1</x:v>
      </x:c>
      <x:c r="H195" s="3" t="s">
        <x:v>25</x:v>
      </x:c>
      <x:c r="I195" s="56">
        <x:v>46201</x:v>
      </x:c>
      <x:c r="J195" s="3" t="s">
        <x:v>679</x:v>
      </x:c>
      <x:c r="K195" s="3">
        <x:v>2</x:v>
      </x:c>
      <x:c r="L195" s="3">
        <x:v>1</x:v>
      </x:c>
      <x:c r="M195" s="3">
        <x:v>0</x:v>
      </x:c>
      <x:c r="N195" s="3">
        <x:v>0</x:v>
      </x:c>
      <x:c r="O195" s="6">
        <x:v>0.5</x:v>
      </x:c>
      <x:c r="P195" s="4" t="e">
        <x:f>HYPERLINK("https://github.com/kapiltrip/hdlBits/blob/main/study/problems/Day%2006/132-sim__circuit6.md","Note")</x:f>
        <x:v>HYPERLINK is not implemented. linkLocation=https://github.com/kapiltrip/hdlBits/blob/main/study/problems/Day%2006/132-sim__circuit6.md, friendlyName=Note</x:v>
      </x:c>
      <x:c r="Q195" s="4" t="e">
        <x:f>HYPERLINK("https://github.com/kapiltrip/hdlBits/blob/main/study/images/Day%2006/132-sim__circuit6.png","Image")</x:f>
        <x:v>HYPERLINK is not implemented. linkLocation=https://github.com/kapiltrip/hdlBits/blob/main/study/images/Day%2006/132-sim__circuit6.png, friendlyName=Image</x:v>
      </x:c>
      <x:c r="R195" s="4" t="e">
        <x:f>HYPERLINK("https://github.com/kapiltrip/hdlBits/blob/main/study/solutions/Day%2006/132-sim__circuit6.sv","Code")</x:f>
        <x:v>HYPERLINK is not implemented. linkLocation=https://github.com/kapiltrip/hdlBits/blob/main/study/solutions/Day%2006/132-sim__circuit6.sv, friendlyName=Code</x:v>
      </x:c>
      <x:c r="S195" s="4" t="e">
        <x:f>HYPERLINK("https://hdlbits.01xz.net/wiki/sim/circuit6","HDLBits")</x:f>
        <x:v>HYPERLINK is not implemented. linkLocation=https://hdlbits.01xz.net/wiki/sim/circuit6, friendlyName=HDLBits</x:v>
      </x:c>
      <x:c r="T195" s="2" t="s">
        <x:v>680</x:v>
      </x:c>
      <x:c r="U195" s="2"/>
    </x:row>
    <x:row r="196" ht="34.04999923706055" customHeight="1">
      <x:c r="A196" s="7">
        <x:v>170</x:v>
      </x:c>
      <x:c r="B196" s="7">
        <x:v>133</x:v>
      </x:c>
      <x:c r="C196" s="8" t="s">
        <x:v>41</x:v>
      </x:c>
      <x:c r="D196" s="8" t="s">
        <x:v>43</x:v>
      </x:c>
      <x:c r="E196" s="8" t="s">
        <x:v>681</x:v>
      </x:c>
      <x:c r="F196" s="8" t="s">
        <x:v>682</x:v>
      </x:c>
      <x:c r="G196" s="7" t="s">
        <x:v>1</x:v>
      </x:c>
      <x:c r="H196" s="7" t="s">
        <x:v>25</x:v>
      </x:c>
      <x:c r="I196" s="55">
        <x:v>46201</x:v>
      </x:c>
      <x:c r="J196" s="7" t="s">
        <x:v>683</x:v>
      </x:c>
      <x:c r="K196" s="7">
        <x:v>5</x:v>
      </x:c>
      <x:c r="L196" s="7">
        <x:v>4</x:v>
      </x:c>
      <x:c r="M196" s="7">
        <x:v>0</x:v>
      </x:c>
      <x:c r="N196" s="7">
        <x:v>0</x:v>
      </x:c>
      <x:c r="O196" s="10">
        <x:v>0.2</x:v>
      </x:c>
      <x:c r="P196" s="11" t="e">
        <x:f>HYPERLINK("https://github.com/kapiltrip/hdlBits/blob/main/study/problems/Day%2006/133-sim__circuit7.md","Note")</x:f>
        <x:v>HYPERLINK is not implemented. linkLocation=https://github.com/kapiltrip/hdlBits/blob/main/study/problems/Day%2006/133-sim__circuit7.md, friendlyName=Note</x:v>
      </x:c>
      <x:c r="Q196" s="11" t="e">
        <x:f>HYPERLINK("https://github.com/kapiltrip/hdlBits/blob/main/study/images/Day%2006/133-sim__circuit7.png","Image")</x:f>
        <x:v>HYPERLINK is not implemented. linkLocation=https://github.com/kapiltrip/hdlBits/blob/main/study/images/Day%2006/133-sim__circuit7.png, friendlyName=Image</x:v>
      </x:c>
      <x:c r="R196" s="11" t="e">
        <x:f>HYPERLINK("https://github.com/kapiltrip/hdlBits/blob/main/study/solutions/Day%2006/133-sim__circuit7.sv","Code")</x:f>
        <x:v>HYPERLINK is not implemented. linkLocation=https://github.com/kapiltrip/hdlBits/blob/main/study/solutions/Day%2006/133-sim__circuit7.sv, friendlyName=Code</x:v>
      </x:c>
      <x:c r="S196" s="11" t="e">
        <x:f>HYPERLINK("https://hdlbits.01xz.net/wiki/sim/circuit7","HDLBits")</x:f>
        <x:v>HYPERLINK is not implemented. linkLocation=https://hdlbits.01xz.net/wiki/sim/circuit7, friendlyName=HDLBits</x:v>
      </x:c>
      <x:c r="T196" s="8" t="s">
        <x:v>684</x:v>
      </x:c>
      <x:c r="U196" s="8"/>
    </x:row>
    <x:row r="197" ht="34.04999923706055" customHeight="1">
      <x:c r="A197" s="3">
        <x:v>171</x:v>
      </x:c>
      <x:c r="B197" s="3">
        <x:v>134</x:v>
      </x:c>
      <x:c r="C197" s="2" t="s">
        <x:v>41</x:v>
      </x:c>
      <x:c r="D197" s="2" t="s">
        <x:v>43</x:v>
      </x:c>
      <x:c r="E197" s="2" t="s">
        <x:v>685</x:v>
      </x:c>
      <x:c r="F197" s="2" t="s">
        <x:v>686</x:v>
      </x:c>
      <x:c r="G197" s="3" t="s">
        <x:v>1</x:v>
      </x:c>
      <x:c r="H197" s="3" t="s">
        <x:v>25</x:v>
      </x:c>
      <x:c r="I197" s="56">
        <x:v>46201</x:v>
      </x:c>
      <x:c r="J197" s="3" t="s">
        <x:v>323</x:v>
      </x:c>
      <x:c r="K197" s="3">
        <x:v>18</x:v>
      </x:c>
      <x:c r="L197" s="3">
        <x:v>14</x:v>
      </x:c>
      <x:c r="M197" s="3">
        <x:v>3</x:v>
      </x:c>
      <x:c r="N197" s="3">
        <x:v>0</x:v>
      </x:c>
      <x:c r="O197" s="6">
        <x:v>0.06</x:v>
      </x:c>
      <x:c r="P197" s="4" t="e">
        <x:f>HYPERLINK("https://github.com/kapiltrip/hdlBits/blob/main/study/problems/Day%2006/134-sim__circuit8.md","Note")</x:f>
        <x:v>HYPERLINK is not implemented. linkLocation=https://github.com/kapiltrip/hdlBits/blob/main/study/problems/Day%2006/134-sim__circuit8.md, friendlyName=Note</x:v>
      </x:c>
      <x:c r="Q197" s="4" t="e">
        <x:f>HYPERLINK("https://github.com/kapiltrip/hdlBits/blob/main/study/images/Day%2006/134-sim__circuit8.png","Image")</x:f>
        <x:v>HYPERLINK is not implemented. linkLocation=https://github.com/kapiltrip/hdlBits/blob/main/study/images/Day%2006/134-sim__circuit8.png, friendlyName=Image</x:v>
      </x:c>
      <x:c r="R197" s="4" t="e">
        <x:f>HYPERLINK("https://github.com/kapiltrip/hdlBits/blob/main/study/solutions/Day%2006/134-sim__circuit8.sv","Code")</x:f>
        <x:v>HYPERLINK is not implemented. linkLocation=https://github.com/kapiltrip/hdlBits/blob/main/study/solutions/Day%2006/134-sim__circuit8.sv, friendlyName=Code</x:v>
      </x:c>
      <x:c r="S197" s="4" t="e">
        <x:f>HYPERLINK("https://hdlbits.01xz.net/wiki/sim/circuit8","HDLBits")</x:f>
        <x:v>HYPERLINK is not implemented. linkLocation=https://hdlbits.01xz.net/wiki/sim/circuit8, friendlyName=HDLBits</x:v>
      </x:c>
      <x:c r="T197" s="2" t="s">
        <x:v>687</x:v>
      </x:c>
      <x:c r="U197" s="2"/>
    </x:row>
    <x:row r="198" ht="34.04999923706055" customHeight="1">
      <x:c r="A198" s="7">
        <x:v>172</x:v>
      </x:c>
      <x:c r="B198" s="7">
        <x:v>135</x:v>
      </x:c>
      <x:c r="C198" s="8" t="s">
        <x:v>41</x:v>
      </x:c>
      <x:c r="D198" s="8" t="s">
        <x:v>43</x:v>
      </x:c>
      <x:c r="E198" s="8" t="s">
        <x:v>688</x:v>
      </x:c>
      <x:c r="F198" s="8" t="s">
        <x:v>689</x:v>
      </x:c>
      <x:c r="G198" s="7" t="s">
        <x:v>1</x:v>
      </x:c>
      <x:c r="H198" s="7" t="s">
        <x:v>25</x:v>
      </x:c>
      <x:c r="I198" s="55">
        <x:v>46201</x:v>
      </x:c>
      <x:c r="J198" s="7" t="s">
        <x:v>690</x:v>
      </x:c>
      <x:c r="K198" s="7">
        <x:v>3</x:v>
      </x:c>
      <x:c r="L198" s="7">
        <x:v>2</x:v>
      </x:c>
      <x:c r="M198" s="7">
        <x:v>0</x:v>
      </x:c>
      <x:c r="N198" s="7">
        <x:v>0</x:v>
      </x:c>
      <x:c r="O198" s="10">
        <x:v>0.33</x:v>
      </x:c>
      <x:c r="P198" s="11" t="e">
        <x:f>HYPERLINK("https://github.com/kapiltrip/hdlBits/blob/main/study/problems/Day%2006/135-sim__circuit9.md","Note")</x:f>
        <x:v>HYPERLINK is not implemented. linkLocation=https://github.com/kapiltrip/hdlBits/blob/main/study/problems/Day%2006/135-sim__circuit9.md, friendlyName=Note</x:v>
      </x:c>
      <x:c r="Q198" s="11" t="e">
        <x:f>HYPERLINK("https://github.com/kapiltrip/hdlBits/blob/main/study/images/Day%2006/135-sim__circuit9.png","Image")</x:f>
        <x:v>HYPERLINK is not implemented. linkLocation=https://github.com/kapiltrip/hdlBits/blob/main/study/images/Day%2006/135-sim__circuit9.png, friendlyName=Image</x:v>
      </x:c>
      <x:c r="R198" s="11" t="e">
        <x:f>HYPERLINK("https://github.com/kapiltrip/hdlBits/blob/main/study/solutions/Day%2006/135-sim__circuit9.sv","Code")</x:f>
        <x:v>HYPERLINK is not implemented. linkLocation=https://github.com/kapiltrip/hdlBits/blob/main/study/solutions/Day%2006/135-sim__circuit9.sv, friendlyName=Code</x:v>
      </x:c>
      <x:c r="S198" s="11" t="e">
        <x:f>HYPERLINK("https://hdlbits.01xz.net/wiki/sim/circuit9","HDLBits")</x:f>
        <x:v>HYPERLINK is not implemented. linkLocation=https://hdlbits.01xz.net/wiki/sim/circuit9, friendlyName=HDLBits</x:v>
      </x:c>
      <x:c r="T198" s="8" t="s">
        <x:v>691</x:v>
      </x:c>
      <x:c r="U198" s="8"/>
    </x:row>
    <x:row r="199" ht="34.04999923706055" customHeight="1">
      <x:c r="A199" s="3">
        <x:v>173</x:v>
      </x:c>
      <x:c r="B199" s="3">
        <x:v>136</x:v>
      </x:c>
      <x:c r="C199" s="2" t="s">
        <x:v>41</x:v>
      </x:c>
      <x:c r="D199" s="2" t="s">
        <x:v>43</x:v>
      </x:c>
      <x:c r="E199" s="2" t="s">
        <x:v>692</x:v>
      </x:c>
      <x:c r="F199" s="2" t="s">
        <x:v>693</x:v>
      </x:c>
      <x:c r="G199" s="3" t="s">
        <x:v>1</x:v>
      </x:c>
      <x:c r="H199" s="3" t="s">
        <x:v>25</x:v>
      </x:c>
      <x:c r="I199" s="56">
        <x:v>46201</x:v>
      </x:c>
      <x:c r="J199" s="3" t="s">
        <x:v>694</x:v>
      </x:c>
      <x:c r="K199" s="3">
        <x:v>1</x:v>
      </x:c>
      <x:c r="L199" s="3">
        <x:v>0</x:v>
      </x:c>
      <x:c r="M199" s="3">
        <x:v>0</x:v>
      </x:c>
      <x:c r="N199" s="3">
        <x:v>0</x:v>
      </x:c>
      <x:c r="O199" s="6">
        <x:v>1</x:v>
      </x:c>
      <x:c r="P199" s="4" t="e">
        <x:f>HYPERLINK("https://github.com/kapiltrip/hdlBits/blob/main/study/problems/Day%2006/136-sim__circuit10.md","Note")</x:f>
        <x:v>HYPERLINK is not implemented. linkLocation=https://github.com/kapiltrip/hdlBits/blob/main/study/problems/Day%2006/136-sim__circuit10.md, friendlyName=Note</x:v>
      </x:c>
      <x:c r="Q199" s="4" t="e">
        <x:f>HYPERLINK("https://github.com/kapiltrip/hdlBits/blob/main/study/images/Day%2006/136-sim__circuit10.png","Image")</x:f>
        <x:v>HYPERLINK is not implemented. linkLocation=https://github.com/kapiltrip/hdlBits/blob/main/study/images/Day%2006/136-sim__circuit10.png, friendlyName=Image</x:v>
      </x:c>
      <x:c r="R199" s="4" t="e">
        <x:f>HYPERLINK("https://github.com/kapiltrip/hdlBits/blob/main/study/solutions/Day%2006/136-sim__circuit10.sv","Code")</x:f>
        <x:v>HYPERLINK is not implemented. linkLocation=https://github.com/kapiltrip/hdlBits/blob/main/study/solutions/Day%2006/136-sim__circuit10.sv, friendlyName=Code</x:v>
      </x:c>
      <x:c r="S199" s="4" t="e">
        <x:f>HYPERLINK("https://hdlbits.01xz.net/wiki/sim/circuit10","HDLBits")</x:f>
        <x:v>HYPERLINK is not implemented. linkLocation=https://hdlbits.01xz.net/wiki/sim/circuit10, friendlyName=HDLBits</x:v>
      </x:c>
      <x:c r="T199" s="2" t="s">
        <x:v>695</x:v>
      </x:c>
      <x:c r="U199" s="2"/>
    </x:row>
    <x:row r="200" ht="25.049999237060547" customHeight="1">
      <x:c r="A200" s="41" t="s">
        <x:v>696</x:v>
      </x:c>
      <x:c r="B200" s="41"/>
      <x:c r="C200" s="41"/>
      <x:c r="D200" s="41"/>
      <x:c r="E200" s="41"/>
      <x:c r="F200" s="41"/>
      <x:c r="G200" s="41"/>
      <x:c r="H200" s="41"/>
      <x:c r="I200" s="59"/>
      <x:c r="J200" s="41"/>
      <x:c r="K200" s="41"/>
      <x:c r="L200" s="41"/>
      <x:c r="M200" s="41"/>
      <x:c r="N200" s="41"/>
      <x:c r="O200" s="43"/>
      <x:c r="P200" s="41"/>
      <x:c r="Q200" s="41"/>
      <x:c r="R200" s="41"/>
      <x:c r="S200" s="41"/>
      <x:c r="T200" s="41"/>
      <x:c r="U200" s="41"/>
    </x:row>
    <x:row r="201" ht="34.04999923706055" customHeight="1">
      <x:c r="A201" s="7">
        <x:v>174</x:v>
      </x:c>
      <x:c r="B201" s="7">
        <x:v>137</x:v>
      </x:c>
      <x:c r="C201" s="8" t="s">
        <x:v>44</x:v>
      </x:c>
      <x:c r="D201" s="8"/>
      <x:c r="E201" s="8" t="s">
        <x:v>697</x:v>
      </x:c>
      <x:c r="F201" s="8" t="s">
        <x:v>698</x:v>
      </x:c>
      <x:c r="G201" s="7" t="s">
        <x:v>1</x:v>
      </x:c>
      <x:c r="H201" s="7" t="s">
        <x:v>25</x:v>
      </x:c>
      <x:c r="I201" s="55">
        <x:v>46201</x:v>
      </x:c>
      <x:c r="J201" s="7" t="s">
        <x:v>699</x:v>
      </x:c>
      <x:c r="K201" s="7">
        <x:v>5</x:v>
      </x:c>
      <x:c r="L201" s="7">
        <x:v>0</x:v>
      </x:c>
      <x:c r="M201" s="7">
        <x:v>4</x:v>
      </x:c>
      <x:c r="N201" s="7">
        <x:v>0</x:v>
      </x:c>
      <x:c r="O201" s="10">
        <x:v>0.2</x:v>
      </x:c>
      <x:c r="P201" s="11" t="e">
        <x:f>HYPERLINK("https://github.com/kapiltrip/hdlBits/blob/main/study/problems/Day%2006/137-tb__clock.md","Note")</x:f>
        <x:v>HYPERLINK is not implemented. linkLocation=https://github.com/kapiltrip/hdlBits/blob/main/study/problems/Day%2006/137-tb__clock.md, friendlyName=Note</x:v>
      </x:c>
      <x:c r="Q201" s="11" t="e">
        <x:f>HYPERLINK("https://github.com/kapiltrip/hdlBits/blob/main/study/images/Day%2006/137-tb__clock.png","Image")</x:f>
        <x:v>HYPERLINK is not implemented. linkLocation=https://github.com/kapiltrip/hdlBits/blob/main/study/images/Day%2006/137-tb__clock.png, friendlyName=Image</x:v>
      </x:c>
      <x:c r="R201" s="11" t="e">
        <x:f>HYPERLINK("https://github.com/kapiltrip/hdlBits/blob/main/study/solutions/Day%2006/137-tb__clock.sv","Code")</x:f>
        <x:v>HYPERLINK is not implemented. linkLocation=https://github.com/kapiltrip/hdlBits/blob/main/study/solutions/Day%2006/137-tb__clock.sv, friendlyName=Code</x:v>
      </x:c>
      <x:c r="S201" s="11" t="e">
        <x:f>HYPERLINK("https://hdlbits.01xz.net/wiki/tb/clock","HDLBits")</x:f>
        <x:v>HYPERLINK is not implemented. linkLocation=https://hdlbits.01xz.net/wiki/tb/clock, friendlyName=HDLBits</x:v>
      </x:c>
      <x:c r="T201" s="8" t="s">
        <x:v>700</x:v>
      </x:c>
      <x:c r="U201" s="8"/>
    </x:row>
    <x:row r="202" ht="34.04999923706055" customHeight="1">
      <x:c r="A202" s="3">
        <x:v>175</x:v>
      </x:c>
      <x:c r="B202" s="3">
        <x:v>138</x:v>
      </x:c>
      <x:c r="C202" s="2" t="s">
        <x:v>44</x:v>
      </x:c>
      <x:c r="D202" s="2"/>
      <x:c r="E202" s="2" t="s">
        <x:v>701</x:v>
      </x:c>
      <x:c r="F202" s="2" t="s">
        <x:v>702</x:v>
      </x:c>
      <x:c r="G202" s="3" t="s">
        <x:v>1</x:v>
      </x:c>
      <x:c r="H202" s="3" t="s">
        <x:v>25</x:v>
      </x:c>
      <x:c r="I202" s="56">
        <x:v>46201</x:v>
      </x:c>
      <x:c r="J202" s="3" t="s">
        <x:v>703</x:v>
      </x:c>
      <x:c r="K202" s="3">
        <x:v>4</x:v>
      </x:c>
      <x:c r="L202" s="3">
        <x:v>3</x:v>
      </x:c>
      <x:c r="M202" s="3">
        <x:v>0</x:v>
      </x:c>
      <x:c r="N202" s="3">
        <x:v>0</x:v>
      </x:c>
      <x:c r="O202" s="6">
        <x:v>0.25</x:v>
      </x:c>
      <x:c r="P202" s="4" t="e">
        <x:f>HYPERLINK("https://github.com/kapiltrip/hdlBits/blob/main/study/problems/Day%2006/138-tb__tb1.md","Note")</x:f>
        <x:v>HYPERLINK is not implemented. linkLocation=https://github.com/kapiltrip/hdlBits/blob/main/study/problems/Day%2006/138-tb__tb1.md, friendlyName=Note</x:v>
      </x:c>
      <x:c r="Q202" s="4" t="e">
        <x:f>HYPERLINK("https://github.com/kapiltrip/hdlBits/blob/main/study/images/Day%2006/138-tb__tb1.png","Image")</x:f>
        <x:v>HYPERLINK is not implemented. linkLocation=https://github.com/kapiltrip/hdlBits/blob/main/study/images/Day%2006/138-tb__tb1.png, friendlyName=Image</x:v>
      </x:c>
      <x:c r="R202" s="4" t="e">
        <x:f>HYPERLINK("https://github.com/kapiltrip/hdlBits/blob/main/study/solutions/Day%2006/138-tb__tb1.sv","Code")</x:f>
        <x:v>HYPERLINK is not implemented. linkLocation=https://github.com/kapiltrip/hdlBits/blob/main/study/solutions/Day%2006/138-tb__tb1.sv, friendlyName=Code</x:v>
      </x:c>
      <x:c r="S202" s="4" t="e">
        <x:f>HYPERLINK("https://hdlbits.01xz.net/wiki/tb/tb1","HDLBits")</x:f>
        <x:v>HYPERLINK is not implemented. linkLocation=https://hdlbits.01xz.net/wiki/tb/tb1, friendlyName=HDLBits</x:v>
      </x:c>
      <x:c r="T202" s="2" t="s">
        <x:v>704</x:v>
      </x:c>
      <x:c r="U202" s="2"/>
    </x:row>
    <x:row r="203" ht="34.04999923706055" customHeight="1">
      <x:c r="A203" s="7">
        <x:v>176</x:v>
      </x:c>
      <x:c r="B203" s="7">
        <x:v>139</x:v>
      </x:c>
      <x:c r="C203" s="8" t="s">
        <x:v>44</x:v>
      </x:c>
      <x:c r="D203" s="8"/>
      <x:c r="E203" s="8" t="s">
        <x:v>79</x:v>
      </x:c>
      <x:c r="F203" s="8" t="s">
        <x:v>705</x:v>
      </x:c>
      <x:c r="G203" s="7" t="s">
        <x:v>1</x:v>
      </x:c>
      <x:c r="H203" s="7" t="s">
        <x:v>25</x:v>
      </x:c>
      <x:c r="I203" s="55">
        <x:v>46201</x:v>
      </x:c>
      <x:c r="J203" s="7" t="s">
        <x:v>706</x:v>
      </x:c>
      <x:c r="K203" s="7">
        <x:v>7</x:v>
      </x:c>
      <x:c r="L203" s="7">
        <x:v>2</x:v>
      </x:c>
      <x:c r="M203" s="7">
        <x:v>4</x:v>
      </x:c>
      <x:c r="N203" s="7">
        <x:v>0</x:v>
      </x:c>
      <x:c r="O203" s="10">
        <x:v>0.14000000000000001</x:v>
      </x:c>
      <x:c r="P203" s="11" t="e">
        <x:f>HYPERLINK("https://github.com/kapiltrip/hdlBits/blob/main/study/problems/Day%2006/139-tb__and.md","Note")</x:f>
        <x:v>HYPERLINK is not implemented. linkLocation=https://github.com/kapiltrip/hdlBits/blob/main/study/problems/Day%2006/139-tb__and.md, friendlyName=Note</x:v>
      </x:c>
      <x:c r="Q203" s="11" t="e">
        <x:f>HYPERLINK("https://github.com/kapiltrip/hdlBits/blob/main/study/images/Day%2006/139-tb__and.png","Image")</x:f>
        <x:v>HYPERLINK is not implemented. linkLocation=https://github.com/kapiltrip/hdlBits/blob/main/study/images/Day%2006/139-tb__and.png, friendlyName=Image</x:v>
      </x:c>
      <x:c r="R203" s="11" t="e">
        <x:f>HYPERLINK("https://github.com/kapiltrip/hdlBits/blob/main/study/solutions/Day%2006/139-tb__and.sv","Code")</x:f>
        <x:v>HYPERLINK is not implemented. linkLocation=https://github.com/kapiltrip/hdlBits/blob/main/study/solutions/Day%2006/139-tb__and.sv, friendlyName=Code</x:v>
      </x:c>
      <x:c r="S203" s="11" t="e">
        <x:f>HYPERLINK("https://hdlbits.01xz.net/wiki/tb/and","HDLBits")</x:f>
        <x:v>HYPERLINK is not implemented. linkLocation=https://hdlbits.01xz.net/wiki/tb/and, friendlyName=HDLBits</x:v>
      </x:c>
      <x:c r="T203" s="8" t="s">
        <x:v>707</x:v>
      </x:c>
      <x:c r="U203" s="8"/>
    </x:row>
    <x:row r="204" ht="34.04999923706055" customHeight="1">
      <x:c r="A204" s="3">
        <x:v>177</x:v>
      </x:c>
      <x:c r="B204" s="3">
        <x:v>140</x:v>
      </x:c>
      <x:c r="C204" s="2" t="s">
        <x:v>44</x:v>
      </x:c>
      <x:c r="D204" s="2"/>
      <x:c r="E204" s="2" t="s">
        <x:v>708</x:v>
      </x:c>
      <x:c r="F204" s="2" t="s">
        <x:v>709</x:v>
      </x:c>
      <x:c r="G204" s="3" t="s">
        <x:v>1</x:v>
      </x:c>
      <x:c r="H204" s="3" t="s">
        <x:v>25</x:v>
      </x:c>
      <x:c r="I204" s="56">
        <x:v>46201</x:v>
      </x:c>
      <x:c r="J204" s="3" t="s">
        <x:v>710</x:v>
      </x:c>
      <x:c r="K204" s="3">
        <x:v>7</x:v>
      </x:c>
      <x:c r="L204" s="3">
        <x:v>5</x:v>
      </x:c>
      <x:c r="M204" s="3">
        <x:v>1</x:v>
      </x:c>
      <x:c r="N204" s="3">
        <x:v>0</x:v>
      </x:c>
      <x:c r="O204" s="6">
        <x:v>0.14000000000000001</x:v>
      </x:c>
      <x:c r="P204" s="4" t="e">
        <x:f>HYPERLINK("https://github.com/kapiltrip/hdlBits/blob/main/study/problems/Day%2006/140-tb__tb2.md","Note")</x:f>
        <x:v>HYPERLINK is not implemented. linkLocation=https://github.com/kapiltrip/hdlBits/blob/main/study/problems/Day%2006/140-tb__tb2.md, friendlyName=Note</x:v>
      </x:c>
      <x:c r="Q204" s="4" t="e">
        <x:f>HYPERLINK("https://github.com/kapiltrip/hdlBits/blob/main/study/images/Day%2006/140-tb__tb2.png","Image")</x:f>
        <x:v>HYPERLINK is not implemented. linkLocation=https://github.com/kapiltrip/hdlBits/blob/main/study/images/Day%2006/140-tb__tb2.png, friendlyName=Image</x:v>
      </x:c>
      <x:c r="R204" s="4" t="e">
        <x:f>HYPERLINK("https://github.com/kapiltrip/hdlBits/blob/main/study/solutions/Day%2006/140-tb__tb2.sv","Code")</x:f>
        <x:v>HYPERLINK is not implemented. linkLocation=https://github.com/kapiltrip/hdlBits/blob/main/study/solutions/Day%2006/140-tb__tb2.sv, friendlyName=Code</x:v>
      </x:c>
      <x:c r="S204" s="4" t="e">
        <x:f>HYPERLINK("https://hdlbits.01xz.net/wiki/tb/tb2","HDLBits")</x:f>
        <x:v>HYPERLINK is not implemented. linkLocation=https://hdlbits.01xz.net/wiki/tb/tb2, friendlyName=HDLBits</x:v>
      </x:c>
      <x:c r="T204" s="2" t="s">
        <x:v>711</x:v>
      </x:c>
      <x:c r="U204" s="2"/>
    </x:row>
    <x:row r="205" ht="34.04999923706055" customHeight="1">
      <x:c r="A205" s="12">
        <x:v>178</x:v>
      </x:c>
      <x:c r="B205" s="12">
        <x:v>141</x:v>
      </x:c>
      <x:c r="C205" s="13" t="s">
        <x:v>44</x:v>
      </x:c>
      <x:c r="D205" s="13"/>
      <x:c r="E205" s="13" t="s">
        <x:v>712</x:v>
      </x:c>
      <x:c r="F205" s="13" t="s">
        <x:v>713</x:v>
      </x:c>
      <x:c r="G205" s="12" t="s">
        <x:v>1</x:v>
      </x:c>
      <x:c r="H205" s="12" t="s">
        <x:v>25</x:v>
      </x:c>
      <x:c r="I205" s="61">
        <x:v>46201</x:v>
      </x:c>
      <x:c r="J205" s="12" t="s">
        <x:v>714</x:v>
      </x:c>
      <x:c r="K205" s="12">
        <x:v>9</x:v>
      </x:c>
      <x:c r="L205" s="12">
        <x:v>2</x:v>
      </x:c>
      <x:c r="M205" s="12">
        <x:v>5</x:v>
      </x:c>
      <x:c r="N205" s="12">
        <x:v>0</x:v>
      </x:c>
      <x:c r="O205" s="15">
        <x:v>0.22</x:v>
      </x:c>
      <x:c r="P205" s="16" t="e">
        <x:f>HYPERLINK("https://github.com/kapiltrip/hdlBits/blob/main/study/problems/Day%2006/141-tb__tff.md","Note")</x:f>
        <x:v>HYPERLINK is not implemented. linkLocation=https://github.com/kapiltrip/hdlBits/blob/main/study/problems/Day%2006/141-tb__tff.md, friendlyName=Note</x:v>
      </x:c>
      <x:c r="Q205" s="16" t="e">
        <x:f>HYPERLINK("https://github.com/kapiltrip/hdlBits/blob/main/study/images/Day%2006/141-tb__tff.png","Image")</x:f>
        <x:v>HYPERLINK is not implemented. linkLocation=https://github.com/kapiltrip/hdlBits/blob/main/study/images/Day%2006/141-tb__tff.png, friendlyName=Image</x:v>
      </x:c>
      <x:c r="R205" s="16" t="e">
        <x:f>HYPERLINK("https://github.com/kapiltrip/hdlBits/blob/main/study/solutions/Day%2006/141-tb__tff.sv","Code")</x:f>
        <x:v>HYPERLINK is not implemented. linkLocation=https://github.com/kapiltrip/hdlBits/blob/main/study/solutions/Day%2006/141-tb__tff.sv, friendlyName=Code</x:v>
      </x:c>
      <x:c r="S205" s="16" t="e">
        <x:f>HYPERLINK("https://hdlbits.01xz.net/wiki/tb/tff","HDLBits")</x:f>
        <x:v>HYPERLINK is not implemented. linkLocation=https://hdlbits.01xz.net/wiki/tb/tff, friendlyName=HDLBits</x:v>
      </x:c>
      <x:c r="T205" s="13" t="s">
        <x:v>715</x:v>
      </x:c>
      <x:c r="U205" s="13"/>
    </x:row>
  </x:sheetData>
  <x:mergeCells>
    <x:mergeCell ref="A182:U182"/>
    <x:mergeCell ref="A183:U183"/>
    <x:mergeCell ref="A189:U189"/>
    <x:mergeCell ref="A200:U200"/>
    <x:mergeCell ref="A117:U117"/>
    <x:mergeCell ref="A126:U126"/>
    <x:mergeCell ref="A136:U136"/>
    <x:mergeCell ref="A140:U140"/>
    <x:mergeCell ref="A174:U174"/>
    <x:mergeCell ref="A57:U57"/>
    <x:mergeCell ref="A75:U75"/>
    <x:mergeCell ref="A81:U81"/>
    <x:mergeCell ref="A89:U89"/>
    <x:mergeCell ref="A98:U98"/>
    <x:mergeCell ref="A19:U19"/>
    <x:mergeCell ref="A29:U29"/>
    <x:mergeCell ref="A39:U39"/>
    <x:mergeCell ref="A48:U48"/>
    <x:mergeCell ref="A56:U56"/>
    <x:mergeCell ref="A1:U2"/>
    <x:mergeCell ref="A3:U3"/>
    <x:mergeCell ref="A6:U6"/>
    <x:mergeCell ref="A9:U9"/>
    <x:mergeCell ref="A10:U10"/>
  </x:mergeCells>
  <x:conditionalFormatting sqref="G6:G205">
    <x:cfRule type="containsText" dxfId="2" priority="1" operator="containsText" text="Completed"/>
    <x:cfRule type="containsText" dxfId="1" priority="2" operator="containsText" text="Review"/>
    <x:cfRule type="containsText" dxfId="0" priority="3" operator="containsText" text="To Do"/>
  </x:conditionalFormatting>
  <x:conditionalFormatting sqref="O6:O205">
    <x:cfRule type="colorScale" priority="4">
      <x:colorScale>
        <x:cfvo type="min"/>
        <x:cfvo type="percentile" val="50"/>
        <x:cfvo type="max"/>
        <x:color rgb="FFF8696B"/>
        <x:color rgb="FFFFEB84"/>
        <x:color rgb="FF63BE7B"/>
      </x:colorScale>
    </x:cfRule>
  </x:conditionalFormatting>
  <x:dataValidations count="1">
    <x:dataValidation type="list" sqref="G6:G205">
      <x:formula1>"Completed,Review,To Do"</x:formula1>
    </x:dataValidation>
  </x:dataValidations>
  <x:pageMargins left="0.7" right="0.7" top="0.75" bottom="0.75" header="0.3" footer="0.3"/>
</x:worksheet>
</file>